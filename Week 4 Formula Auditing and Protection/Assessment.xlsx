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4 Formula Auditing and Protection\"/>
    </mc:Choice>
  </mc:AlternateContent>
  <xr:revisionPtr revIDLastSave="0" documentId="13_ncr:1_{5E481D69-F1F6-4FB1-8AC5-1EC241422C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8" r:id="rId1"/>
    <sheet name="Data" sheetId="5" r:id="rId2"/>
    <sheet name="sales_data_sample" sheetId="7" state="veryHidden" r:id="rId3"/>
    <sheet name="Admin" sheetId="6" state="veryHidden" r:id="rId4"/>
  </sheets>
  <externalReferences>
    <externalReference r:id="rId5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Finish_date">'[1]Project-Data'!$E$6:$E$65</definedName>
    <definedName name="MCQno1">Admin!$B$3:$B$6</definedName>
    <definedName name="MCQno10">Admin!$B$55:$B$58</definedName>
    <definedName name="MCQno11">Admin!$B$60:$B$63</definedName>
    <definedName name="MCQno12">Admin!$B$65:$B$68</definedName>
    <definedName name="MCQno13">Admin!$B$71:$B$74</definedName>
    <definedName name="MCQno2">Admin!$B$9:$B$12</definedName>
    <definedName name="MCQno3">Admin!$B$15:$B$18</definedName>
    <definedName name="MCQno4">Admin!$B$20:$B$23</definedName>
    <definedName name="MCQno5">Admin!$B$25:$B$28</definedName>
    <definedName name="MCQno6">Admin!$B$31:$B$34</definedName>
    <definedName name="MCQno7">Admin!$B$37:$B$40</definedName>
    <definedName name="MCQno8">Admin!$B$43:$B$46</definedName>
    <definedName name="MCQno9">Admin!$B$49:$B$52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5" l="1"/>
  <c r="M2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4" i="5"/>
  <c r="B2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U6" i="5" s="1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T9" i="5"/>
  <c r="H9" i="5"/>
  <c r="T8" i="5"/>
  <c r="H8" i="5"/>
  <c r="T7" i="5"/>
  <c r="H7" i="5"/>
  <c r="T6" i="5"/>
  <c r="P6" i="5"/>
  <c r="H6" i="5"/>
  <c r="T5" i="5"/>
  <c r="P5" i="5"/>
  <c r="H5" i="5"/>
  <c r="T4" i="5"/>
  <c r="P4" i="5"/>
  <c r="H4" i="5"/>
  <c r="G2" i="5"/>
  <c r="F2" i="5"/>
  <c r="D2" i="5"/>
  <c r="C2" i="5"/>
  <c r="P2" i="5" l="1"/>
  <c r="D54" i="6"/>
  <c r="Q4" i="5"/>
  <c r="H2" i="5"/>
  <c r="U4" i="5"/>
  <c r="U7" i="5"/>
  <c r="Q6" i="5"/>
  <c r="U8" i="5"/>
  <c r="Q5" i="5"/>
  <c r="T2" i="5"/>
  <c r="L2" i="5"/>
  <c r="U9" i="5"/>
  <c r="U5" i="5"/>
  <c r="Q2" i="5" l="1"/>
  <c r="D59" i="6"/>
  <c r="B58" i="6"/>
  <c r="B56" i="6"/>
  <c r="B57" i="6"/>
  <c r="B55" i="6"/>
  <c r="D64" i="6" l="1"/>
  <c r="B67" i="6" s="1"/>
  <c r="B60" i="6"/>
  <c r="B61" i="6"/>
  <c r="B62" i="6"/>
  <c r="B65" i="6" l="1"/>
  <c r="B68" i="6"/>
  <c r="B66" i="6"/>
</calcChain>
</file>

<file path=xl/sharedStrings.xml><?xml version="1.0" encoding="utf-8"?>
<sst xmlns="http://schemas.openxmlformats.org/spreadsheetml/2006/main" count="45126" uniqueCount="883">
  <si>
    <t>Excel Skills for Business: Intermediate II</t>
  </si>
  <si>
    <t>Total</t>
  </si>
  <si>
    <t>Week 4: Formula Auditing &amp; Protection</t>
  </si>
  <si>
    <t xml:space="preserve">Configure formula calculation options 
Trace Precedents and Dependents
Error Checking
Evaluate Formula &amp; Watch Window
Protecting Workbooks and Worksheets
</t>
  </si>
  <si>
    <t>Week 4: Learning Objectives</t>
  </si>
  <si>
    <t>Units</t>
  </si>
  <si>
    <t>Thompson</t>
  </si>
  <si>
    <t>Unit Cost</t>
  </si>
  <si>
    <t>source:</t>
  </si>
  <si>
    <t>Does the number reported above represent the number of cells we need to repair? Explain.</t>
  </si>
  <si>
    <t>No. Sometimes erors produce other errors in a chain for a particular calculation.</t>
  </si>
  <si>
    <t>Activate the cell M2, one of the cells containing an error, then select Trace Dependents. What happens and why?</t>
  </si>
  <si>
    <t>C2</t>
  </si>
  <si>
    <t>L2</t>
  </si>
  <si>
    <t>L17</t>
  </si>
  <si>
    <t>There are 3 (other) cells that should agree with the value in cell B2. Report their addresses here</t>
  </si>
  <si>
    <t>What is the name given to the type of checking being done here?</t>
  </si>
  <si>
    <t>Is there another group of cells that should agree in their value? If so, list their addresses</t>
  </si>
  <si>
    <t>Activate L2 and use the Trace Error to find the root cause of the error report in that cell. Was there anything to edit in cell L2 itself?</t>
  </si>
  <si>
    <t>What facility would allow us to protect the formulae in column H as well as the summary tables to the right of this.</t>
  </si>
  <si>
    <t>Driefly outline what to do for the data in K2:M17</t>
  </si>
  <si>
    <t>Highlight the working range e.g. A1:M46, right click and select Format cells. Select Protection and Unlock selected range.</t>
  </si>
  <si>
    <t>Highlight the range K2:M17 now, right click and select Format cells. Select Protection and Lock selected range.</t>
  </si>
  <si>
    <t>Right click on tab sheet name and select protect worksheet (Optionally supply an UNFORGETTABLE password).</t>
  </si>
  <si>
    <t>cross checking (totals and subtotals)</t>
  </si>
  <si>
    <t>State the type of Data Validation that might have been used for each of the columns requested</t>
  </si>
  <si>
    <t>Dropdown List</t>
  </si>
  <si>
    <t>Yes, there is a one to one correspondence between errors counted to cells in need of repair</t>
  </si>
  <si>
    <t>Nothing except for a ping. There are no cells that depend on this cell as an input.</t>
  </si>
  <si>
    <t>Arrows appear from the cell, with at least one being red indicating the error</t>
  </si>
  <si>
    <t>L1</t>
  </si>
  <si>
    <t>A1</t>
  </si>
  <si>
    <t>D3</t>
  </si>
  <si>
    <t>F4</t>
  </si>
  <si>
    <t>A2</t>
  </si>
  <si>
    <t>B15</t>
  </si>
  <si>
    <t>D12</t>
  </si>
  <si>
    <t>MCQno1</t>
  </si>
  <si>
    <t>MCQno2</t>
  </si>
  <si>
    <t>MCQno3</t>
  </si>
  <si>
    <t>MCQno4</t>
  </si>
  <si>
    <t>MCQno5</t>
  </si>
  <si>
    <t>error matching</t>
  </si>
  <si>
    <t>tracing precedents</t>
  </si>
  <si>
    <t>tracing precedents and error checking options</t>
  </si>
  <si>
    <t>MCQno6</t>
  </si>
  <si>
    <t>MCQno7</t>
  </si>
  <si>
    <t>no</t>
  </si>
  <si>
    <t>List Options</t>
  </si>
  <si>
    <t>MCQno8</t>
  </si>
  <si>
    <t>Protect Sheet</t>
  </si>
  <si>
    <t>Hide Sheet</t>
  </si>
  <si>
    <t>Add a comment</t>
  </si>
  <si>
    <t>MCQno9</t>
  </si>
  <si>
    <t>MCQno10</t>
  </si>
  <si>
    <t>Before Hurdle Task Options</t>
  </si>
  <si>
    <t>After Hurdle Task Options</t>
  </si>
  <si>
    <t>Go back and correct errors before proceeding with this question.</t>
  </si>
  <si>
    <t xml:space="preserve"> </t>
  </si>
  <si>
    <t>MCQno11</t>
  </si>
  <si>
    <t>MCQno12</t>
  </si>
  <si>
    <t>Date Only</t>
  </si>
  <si>
    <t>Whole number</t>
  </si>
  <si>
    <t>Positive Value</t>
  </si>
  <si>
    <t>MCQno13</t>
  </si>
  <si>
    <t>``</t>
  </si>
  <si>
    <t>https://www.kaggle.com/kyanyoga/sample-sales-data/data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</si>
  <si>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</si>
  <si>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</si>
  <si>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</si>
  <si>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</si>
  <si>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</si>
  <si>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</si>
  <si>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</si>
  <si>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</si>
  <si>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</si>
  <si>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</si>
  <si>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</si>
  <si>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</si>
  <si>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</si>
  <si>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</si>
  <si>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</si>
  <si>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</si>
  <si>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</si>
  <si>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</si>
  <si>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</si>
  <si>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</si>
  <si>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</si>
  <si>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</si>
  <si>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</si>
  <si>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</si>
  <si>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</si>
  <si>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</si>
  <si>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</si>
  <si>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</si>
  <si>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</si>
  <si>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</si>
  <si>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</si>
  <si>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</si>
  <si>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</si>
  <si>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</si>
  <si>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</si>
  <si>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</si>
  <si>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</si>
  <si>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</si>
  <si>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</si>
  <si>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</si>
  <si>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</si>
  <si>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</si>
  <si>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</si>
  <si>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</si>
  <si>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</si>
  <si>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</si>
  <si>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</si>
  <si>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</si>
  <si>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</si>
  <si>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</si>
  <si>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</si>
  <si>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</si>
  <si>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</si>
  <si>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</si>
  <si>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</si>
  <si>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</si>
  <si>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</si>
  <si>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</si>
  <si>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</si>
  <si>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</si>
  <si>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</si>
  <si>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</si>
  <si>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</si>
  <si>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</si>
  <si>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</si>
  <si>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</si>
  <si>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</si>
  <si>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</si>
  <si>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</si>
  <si>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</si>
  <si>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</si>
  <si>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</si>
  <si>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</si>
  <si>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</si>
  <si>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</si>
  <si>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</si>
  <si>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</si>
  <si>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</si>
  <si>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</si>
  <si>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</si>
  <si>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</si>
  <si>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</si>
  <si>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</si>
  <si>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</si>
  <si>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</si>
  <si>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</si>
  <si>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</si>
  <si>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</si>
  <si>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</si>
  <si>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</si>
  <si>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</si>
  <si>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</si>
  <si>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</si>
  <si>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</si>
  <si>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</si>
  <si>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</si>
  <si>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</si>
  <si>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</si>
  <si>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</si>
  <si>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</si>
  <si>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</si>
  <si>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</si>
  <si>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</si>
  <si>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</si>
  <si>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</si>
  <si>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</si>
  <si>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</si>
  <si>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</si>
  <si>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</si>
  <si>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</si>
  <si>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</si>
  <si>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</si>
  <si>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</si>
  <si>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</si>
  <si>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</si>
  <si>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</si>
  <si>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</si>
  <si>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</si>
  <si>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</si>
  <si>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</si>
  <si>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</si>
  <si>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</si>
  <si>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</si>
  <si>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</si>
  <si>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</si>
  <si>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</si>
  <si>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</si>
  <si>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</si>
  <si>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</si>
  <si>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</si>
  <si>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</si>
  <si>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</si>
  <si>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</si>
  <si>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</si>
  <si>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</si>
  <si>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</si>
  <si>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</si>
  <si>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</si>
  <si>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</si>
  <si>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</si>
  <si>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</si>
  <si>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</si>
  <si>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</si>
  <si>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</si>
  <si>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</si>
  <si>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</si>
  <si>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</si>
  <si>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</si>
  <si>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</si>
  <si>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</si>
  <si>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</si>
  <si>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</si>
  <si>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</si>
  <si>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</si>
  <si>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</si>
  <si>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</si>
  <si>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</si>
  <si>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</si>
  <si>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</si>
  <si>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</si>
  <si>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</si>
  <si>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</si>
  <si>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</si>
  <si>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</si>
  <si>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</si>
  <si>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</si>
  <si>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</si>
  <si>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</si>
  <si>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</si>
  <si>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</si>
  <si>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</si>
  <si>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</si>
  <si>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</si>
  <si>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</si>
  <si>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</si>
  <si>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</si>
  <si>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</si>
  <si>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</si>
  <si>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</si>
  <si>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</si>
  <si>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</si>
  <si>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</si>
  <si>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</si>
  <si>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</si>
  <si>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</si>
  <si>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</si>
  <si>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</si>
  <si>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</si>
  <si>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</si>
  <si>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</si>
  <si>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</si>
  <si>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</si>
  <si>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</si>
  <si>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</si>
  <si>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</si>
  <si>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</si>
  <si>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</si>
  <si>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</si>
  <si>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</si>
  <si>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</si>
  <si>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</si>
  <si>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</si>
  <si>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</si>
  <si>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</si>
  <si>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</si>
  <si>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</si>
  <si>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</si>
  <si>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</si>
  <si>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</si>
  <si>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</si>
  <si>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</si>
  <si>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</si>
  <si>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</si>
  <si>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</si>
  <si>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</si>
  <si>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</si>
  <si>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</si>
  <si>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</si>
  <si>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</si>
  <si>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</si>
  <si>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</si>
  <si>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</si>
  <si>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</si>
  <si>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</si>
  <si>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</si>
  <si>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</si>
  <si>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</si>
  <si>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</si>
  <si>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</si>
  <si>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</si>
  <si>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</si>
  <si>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</si>
  <si>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</si>
  <si>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</si>
  <si>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</si>
  <si>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</si>
  <si>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</si>
  <si>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</si>
  <si>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</si>
  <si>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</si>
  <si>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</si>
  <si>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</si>
  <si>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</si>
  <si>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</si>
  <si>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</si>
  <si>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</si>
  <si>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</si>
  <si>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</si>
  <si>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</si>
  <si>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</si>
  <si>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</si>
  <si>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</si>
  <si>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</si>
  <si>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</si>
  <si>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</si>
  <si>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</si>
  <si>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</si>
  <si>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</si>
  <si>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</si>
  <si>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</si>
  <si>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</si>
  <si>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</si>
  <si>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</si>
  <si>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</si>
  <si>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</si>
  <si>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</si>
  <si>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</si>
  <si>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</si>
  <si>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</si>
  <si>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</si>
  <si>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</si>
  <si>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</si>
  <si>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</si>
  <si>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</si>
  <si>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</si>
  <si>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</si>
  <si>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</si>
  <si>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</si>
  <si>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</si>
  <si>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</si>
  <si>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</si>
  <si>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</si>
  <si>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</si>
  <si>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</si>
  <si>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</si>
  <si>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</si>
  <si>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</si>
  <si>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</si>
  <si>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</si>
  <si>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</si>
  <si>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</si>
  <si>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</si>
  <si>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</si>
  <si>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</si>
  <si>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</si>
  <si>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</si>
  <si>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</si>
  <si>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</si>
  <si>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</si>
  <si>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</si>
  <si>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</si>
  <si>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</si>
  <si>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</si>
  <si>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</si>
  <si>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</si>
  <si>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</si>
  <si>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</si>
  <si>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</si>
  <si>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</si>
  <si>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</si>
  <si>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</si>
  <si>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</si>
  <si>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</si>
  <si>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</si>
  <si>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</si>
  <si>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</si>
  <si>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</si>
  <si>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</si>
  <si>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</si>
  <si>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</si>
  <si>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</si>
  <si>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</si>
  <si>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</si>
  <si>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</si>
  <si>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</si>
  <si>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</si>
  <si>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</si>
  <si>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</si>
  <si>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</si>
  <si>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</si>
  <si>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</si>
  <si>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</si>
  <si>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</si>
  <si>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</si>
  <si>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</si>
  <si>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</si>
  <si>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</si>
  <si>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</si>
  <si>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</si>
  <si>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</si>
  <si>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</si>
  <si>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</si>
  <si>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</si>
  <si>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</si>
  <si>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</si>
  <si>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</si>
  <si>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</si>
  <si>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</si>
  <si>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</si>
  <si>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</si>
  <si>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</si>
  <si>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</si>
  <si>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</si>
  <si>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</si>
  <si>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</si>
  <si>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</si>
  <si>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</si>
  <si>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</si>
  <si>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</si>
  <si>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</si>
  <si>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</si>
  <si>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</si>
  <si>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</si>
  <si>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</si>
  <si>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</si>
  <si>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</si>
  <si>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</si>
  <si>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</si>
  <si>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</si>
  <si>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</si>
  <si>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</si>
  <si>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</si>
  <si>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</si>
  <si>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</si>
  <si>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</si>
  <si>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</si>
  <si>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</si>
  <si>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</si>
  <si>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</si>
  <si>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</si>
  <si>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</si>
  <si>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</si>
  <si>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</si>
  <si>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</si>
  <si>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</si>
  <si>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</si>
  <si>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</si>
  <si>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</si>
  <si>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</si>
  <si>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</si>
  <si>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</si>
  <si>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</si>
  <si>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</si>
  <si>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</si>
  <si>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</si>
  <si>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</si>
  <si>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</si>
  <si>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</si>
  <si>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</si>
  <si>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</si>
  <si>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</si>
  <si>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</si>
  <si>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</si>
  <si>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</si>
  <si>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</si>
  <si>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</si>
  <si>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</si>
  <si>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</si>
  <si>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</si>
  <si>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</si>
  <si>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</si>
  <si>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</si>
  <si>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</si>
  <si>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</si>
  <si>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</si>
  <si>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</si>
  <si>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</si>
  <si>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</si>
  <si>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</si>
  <si>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</si>
  <si>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</si>
  <si>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</si>
  <si>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</si>
  <si>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</si>
  <si>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</si>
  <si>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</si>
  <si>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</si>
  <si>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</si>
  <si>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</si>
  <si>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</si>
  <si>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</si>
  <si>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</si>
  <si>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</si>
  <si>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</si>
  <si>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</si>
  <si>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</si>
  <si>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</si>
  <si>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</si>
  <si>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</si>
  <si>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</si>
  <si>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</si>
  <si>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</si>
  <si>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</si>
  <si>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</si>
  <si>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</si>
  <si>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</si>
  <si>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</si>
  <si>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</si>
  <si>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</si>
  <si>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</si>
  <si>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</si>
  <si>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</si>
  <si>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</si>
  <si>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</si>
  <si>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</si>
  <si>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</si>
  <si>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</si>
  <si>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</si>
  <si>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</si>
  <si>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</si>
  <si>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</si>
  <si>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</si>
  <si>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</si>
  <si>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</si>
  <si>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</si>
  <si>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</si>
  <si>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</si>
  <si>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</si>
  <si>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</si>
  <si>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</si>
  <si>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</si>
  <si>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</si>
  <si>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</si>
  <si>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</si>
  <si>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</si>
  <si>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</si>
  <si>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</si>
  <si>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</si>
  <si>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</si>
  <si>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</si>
  <si>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</si>
  <si>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</si>
  <si>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</si>
  <si>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</si>
  <si>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</si>
  <si>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</si>
  <si>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</si>
  <si>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</si>
  <si>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</si>
  <si>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</si>
  <si>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</si>
  <si>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</si>
  <si>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</si>
  <si>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</si>
  <si>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</si>
  <si>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</si>
  <si>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</si>
  <si>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</si>
  <si>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</si>
  <si>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</si>
  <si>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</si>
  <si>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</si>
  <si>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</si>
  <si>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</si>
  <si>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</si>
  <si>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</si>
  <si>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</si>
  <si>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</si>
  <si>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</si>
  <si>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</si>
  <si>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</si>
  <si>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</si>
  <si>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</si>
  <si>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</si>
  <si>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</si>
  <si>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</si>
  <si>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</si>
  <si>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</si>
  <si>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</si>
  <si>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</si>
  <si>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</si>
  <si>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</si>
  <si>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</si>
  <si>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</si>
  <si>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</si>
  <si>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</si>
  <si>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</si>
  <si>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</si>
  <si>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</si>
  <si>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</si>
  <si>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</si>
  <si>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</si>
  <si>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</si>
  <si>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</si>
  <si>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</si>
  <si>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</si>
  <si>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</si>
  <si>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</si>
  <si>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</si>
  <si>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</si>
  <si>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</si>
  <si>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</si>
  <si>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</si>
  <si>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</si>
  <si>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</si>
  <si>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</si>
  <si>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</si>
  <si>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</si>
  <si>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</si>
  <si>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</si>
  <si>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</si>
  <si>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</si>
  <si>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</si>
  <si>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</si>
  <si>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</si>
  <si>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</si>
  <si>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</si>
  <si>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</si>
  <si>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</si>
  <si>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</si>
  <si>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</si>
  <si>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</si>
  <si>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</si>
  <si>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</si>
  <si>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</si>
  <si>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</si>
  <si>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</si>
  <si>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</si>
  <si>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</si>
  <si>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</si>
  <si>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</si>
  <si>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</si>
  <si>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</si>
  <si>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</si>
  <si>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</si>
  <si>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</si>
  <si>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</si>
  <si>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</si>
  <si>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</si>
  <si>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</si>
  <si>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</si>
  <si>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</si>
  <si>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</si>
  <si>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</si>
  <si>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</si>
  <si>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</si>
  <si>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</si>
  <si>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</si>
  <si>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</si>
  <si>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</si>
  <si>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</si>
  <si>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</si>
  <si>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</si>
  <si>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</si>
  <si>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</si>
  <si>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</si>
  <si>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</si>
  <si>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</si>
  <si>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</si>
  <si>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</si>
  <si>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</si>
  <si>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</si>
  <si>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</si>
  <si>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</si>
  <si>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</si>
  <si>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</si>
  <si>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</si>
  <si>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</si>
  <si>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</si>
  <si>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</si>
  <si>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</si>
  <si>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</si>
  <si>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</si>
  <si>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</si>
  <si>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</si>
  <si>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</si>
  <si>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</si>
  <si>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</si>
  <si>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</si>
  <si>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</si>
  <si>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</si>
  <si>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</si>
  <si>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</si>
  <si>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</si>
  <si>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</si>
  <si>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</si>
  <si>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</si>
  <si>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</si>
  <si>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</si>
  <si>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</si>
  <si>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</si>
  <si>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</si>
  <si>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</si>
  <si>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</si>
  <si>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</si>
  <si>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</si>
  <si>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</si>
  <si>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</si>
  <si>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</si>
  <si>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</si>
  <si>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</si>
  <si>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</si>
  <si>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</si>
  <si>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</si>
  <si>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</si>
  <si>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</si>
  <si>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</si>
  <si>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</si>
  <si>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</si>
  <si>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</si>
  <si>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</si>
  <si>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</si>
  <si>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</si>
  <si>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</si>
  <si>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</si>
  <si>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</si>
  <si>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</si>
  <si>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</si>
  <si>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</si>
  <si>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</si>
  <si>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</si>
  <si>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</si>
  <si>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</si>
  <si>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</si>
  <si>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</si>
  <si>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</si>
  <si>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</si>
  <si>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</si>
  <si>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</si>
  <si>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</si>
  <si>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</si>
  <si>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</si>
  <si>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</si>
  <si>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</si>
  <si>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</si>
  <si>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</si>
  <si>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</si>
  <si>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</si>
  <si>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</si>
  <si>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</si>
  <si>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</si>
  <si>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</si>
  <si>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</si>
  <si>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</si>
  <si>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</si>
  <si>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</si>
  <si>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</si>
  <si>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</si>
  <si>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</si>
  <si>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</si>
  <si>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</si>
  <si>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</si>
  <si>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</si>
  <si>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</si>
  <si>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</si>
  <si>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</si>
  <si>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</si>
  <si>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</si>
  <si>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</si>
  <si>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</si>
  <si>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</si>
  <si>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</si>
  <si>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</si>
  <si>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</si>
  <si>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</si>
  <si>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</si>
  <si>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</si>
  <si>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</si>
  <si>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</si>
  <si>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</si>
  <si>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</si>
  <si>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</si>
  <si>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</si>
  <si>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</si>
  <si>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</si>
  <si>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</si>
  <si>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</si>
  <si>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</si>
  <si>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</si>
  <si>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</si>
  <si>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</si>
  <si>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</si>
  <si>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</si>
  <si>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</si>
  <si>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</si>
  <si>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</si>
  <si>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</si>
  <si>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</si>
  <si>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</si>
  <si>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</si>
  <si>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</si>
  <si>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</si>
  <si>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</si>
  <si>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</si>
  <si>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</si>
  <si>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</si>
  <si>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</si>
  <si>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</si>
  <si>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</si>
  <si>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</si>
  <si>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</si>
  <si>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</si>
  <si>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</si>
  <si>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</si>
  <si>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</si>
  <si>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</si>
  <si>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</si>
  <si>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</si>
  <si>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</si>
  <si>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</si>
  <si>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</si>
  <si>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</si>
  <si>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</si>
  <si>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</si>
  <si>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</si>
  <si>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</si>
  <si>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</si>
  <si>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</si>
  <si>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</si>
  <si>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</si>
  <si>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</si>
  <si>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</si>
  <si>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</si>
  <si>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</si>
  <si>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</si>
  <si>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</si>
  <si>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</si>
  <si>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</si>
  <si>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</si>
  <si>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</si>
  <si>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</si>
  <si>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</si>
  <si>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</si>
  <si>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</si>
  <si>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</si>
  <si>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</si>
  <si>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</si>
  <si>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</si>
  <si>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</si>
  <si>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</si>
  <si>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</si>
  <si>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</si>
  <si>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</si>
  <si>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</si>
  <si>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</si>
  <si>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</si>
  <si>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</si>
  <si>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</si>
  <si>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</si>
  <si>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</si>
  <si>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</si>
  <si>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</si>
  <si>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</si>
  <si>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</si>
  <si>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</si>
  <si>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</si>
  <si>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</si>
  <si>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</si>
  <si>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</si>
  <si>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</si>
  <si>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</si>
  <si>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</si>
  <si>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</si>
  <si>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Nothing except for a ping because that cell is not in error.</t>
  </si>
  <si>
    <t>D2</t>
  </si>
  <si>
    <t>G2</t>
  </si>
  <si>
    <t>yes,  H2 and M17 only</t>
  </si>
  <si>
    <t>H111 had a spelling error (syntax error), H2 itself did not need to be changed.</t>
  </si>
  <si>
    <t>H2 had a spelling error (syntax error) that had  to be changed.</t>
  </si>
  <si>
    <t>H2  did not need to be changed.</t>
  </si>
  <si>
    <t>H2  and H111 both contained errors that had to be corrected.</t>
  </si>
  <si>
    <t>yes,  H2, M2, Q2 and U2 only</t>
  </si>
  <si>
    <t>yes,  H2, M2, Q2 and U2  as well as the group F2, L2 P2 and T2</t>
  </si>
  <si>
    <t>Highlight the range H2:U22 now, right click and select Format cells. Select Protection and Lock selected range.</t>
  </si>
  <si>
    <t>Highlight the working range e.g. A1:G2826, right click and select Format cells. Select Protection and Unlock selected range.</t>
  </si>
  <si>
    <t>Final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</si>
</sst>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  <numFmt numFmtId="168" formatCode="_-[$$-409]* #,##0.00_ ;_-[$$-409]* \-#,##0.00\ ;_-[$$-409]* &quot;-&quot;??_ ;_-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2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1" applyFont="1" applyAlignment="1">
      <alignment horizontal="left" indent="3"/>
    </xf>
    <xf numFmtId="0" fontId="0" fillId="3" borderId="7" xfId="0" applyFill="1" applyBorder="1"/>
    <xf numFmtId="0" fontId="5" fillId="5" borderId="0" xfId="0" applyFont="1" applyFill="1"/>
    <xf numFmtId="22" fontId="0" fillId="0" borderId="0" xfId="0" applyNumberFormat="1"/>
    <xf numFmtId="0" fontId="6" fillId="0" borderId="0" xfId="1" applyFont="1" applyAlignment="1">
      <alignment horizontal="left" indent="3"/>
    </xf>
    <xf numFmtId="0" fontId="6" fillId="0" borderId="0" xfId="1" applyFont="1"/>
    <xf numFmtId="0" fontId="6" fillId="0" borderId="2" xfId="1" applyFont="1" applyBorder="1"/>
    <xf numFmtId="0" fontId="10" fillId="0" borderId="0" xfId="3" applyFont="1"/>
    <xf numFmtId="0" fontId="6" fillId="0" borderId="0" xfId="0" applyFont="1" applyAlignment="1">
      <alignment horizontal="left" indent="3"/>
    </xf>
    <xf numFmtId="0" fontId="6" fillId="0" borderId="0" xfId="0" applyFont="1"/>
    <xf numFmtId="0" fontId="11" fillId="0" borderId="0" xfId="4" applyFont="1" applyBorder="1" applyAlignment="1">
      <alignment horizontal="left" indent="3"/>
    </xf>
    <xf numFmtId="0" fontId="11" fillId="0" borderId="0" xfId="4" applyFont="1" applyBorder="1"/>
    <xf numFmtId="0" fontId="12" fillId="0" borderId="6" xfId="1" applyFont="1" applyBorder="1" applyAlignment="1">
      <alignment horizontal="left" indent="3"/>
    </xf>
    <xf numFmtId="0" fontId="12" fillId="0" borderId="6" xfId="1" applyFont="1" applyBorder="1"/>
    <xf numFmtId="0" fontId="6" fillId="0" borderId="0" xfId="0" applyFont="1" applyAlignment="1">
      <alignment vertical="top" wrapText="1"/>
    </xf>
    <xf numFmtId="0" fontId="13" fillId="0" borderId="0" xfId="1" applyFont="1"/>
    <xf numFmtId="0" fontId="14" fillId="0" borderId="0" xfId="0" applyFont="1"/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3" xfId="0" applyFont="1" applyBorder="1"/>
    <xf numFmtId="166" fontId="14" fillId="0" borderId="5" xfId="0" applyNumberFormat="1" applyFont="1" applyBorder="1"/>
    <xf numFmtId="164" fontId="14" fillId="0" borderId="5" xfId="6" applyFont="1" applyBorder="1"/>
    <xf numFmtId="0" fontId="15" fillId="4" borderId="8" xfId="0" applyFont="1" applyFill="1" applyBorder="1" applyAlignment="1">
      <alignment horizontal="center" vertical="center"/>
    </xf>
    <xf numFmtId="1" fontId="15" fillId="4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6" fillId="0" borderId="0" xfId="0" applyFont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horizontal="left" vertical="center"/>
    </xf>
    <xf numFmtId="164" fontId="14" fillId="0" borderId="10" xfId="6" applyFont="1" applyBorder="1" applyAlignment="1">
      <alignment horizontal="left" vertical="center"/>
    </xf>
    <xf numFmtId="164" fontId="14" fillId="0" borderId="10" xfId="5" applyNumberFormat="1" applyFont="1" applyBorder="1" applyAlignment="1">
      <alignment vertical="center"/>
    </xf>
    <xf numFmtId="164" fontId="14" fillId="0" borderId="0" xfId="0" applyNumberFormat="1" applyFont="1"/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166" fontId="14" fillId="0" borderId="10" xfId="6" applyNumberFormat="1" applyFont="1" applyBorder="1"/>
    <xf numFmtId="164" fontId="14" fillId="0" borderId="10" xfId="6" applyFont="1" applyBorder="1"/>
    <xf numFmtId="164" fontId="17" fillId="0" borderId="0" xfId="6" applyFont="1" applyBorder="1"/>
    <xf numFmtId="0" fontId="14" fillId="0" borderId="0" xfId="0" applyFont="1" applyAlignment="1">
      <alignment horizontal="left" vertical="center"/>
    </xf>
    <xf numFmtId="0" fontId="7" fillId="0" borderId="2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9" fillId="2" borderId="4" xfId="2" applyFont="1" applyFill="1" applyBorder="1" applyAlignment="1">
      <alignment horizontal="center"/>
    </xf>
    <xf numFmtId="0" fontId="9" fillId="2" borderId="5" xfId="2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168" fontId="14" fillId="0" borderId="10" xfId="6" quotePrefix="1" applyNumberFormat="1" applyFont="1" applyBorder="1"/>
    <xf numFmtId="168" fontId="14" fillId="0" borderId="4" xfId="0" applyNumberFormat="1" applyFont="1" applyBorder="1" applyAlignment="1">
      <alignment horizontal="center"/>
    </xf>
  </cellXfs>
  <cellStyles count="7">
    <cellStyle name="Comma" xfId="5" builtinId="3"/>
    <cellStyle name="Currency" xfId="6" builtinId="4"/>
    <cellStyle name="MQ Heading 1" xfId="4" xr:uid="{00000000-0005-0000-0000-000002000000}"/>
    <cellStyle name="Normal" xfId="0" builtinId="0"/>
    <cellStyle name="Normal 2 2" xfId="1" xr:uid="{00000000-0005-0000-0000-000004000000}"/>
    <cellStyle name="Normal 4" xfId="3" xr:uid="{00000000-0005-0000-0000-000005000000}"/>
    <cellStyle name="Title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36095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2870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2%20Course%202%20-%20Intermediate%20I/03%20Week%203/04%20Assessments/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P30"/>
  <sheetViews>
    <sheetView showGridLines="0" zoomScaleNormal="100" workbookViewId="0">
      <selection activeCell="I6" sqref="I6:O6"/>
    </sheetView>
  </sheetViews>
  <sheetFormatPr defaultColWidth="9.88671875" defaultRowHeight="14.4"/>
  <cols>
    <col min="1" max="1" width="9.88671875" style="5"/>
    <col min="2" max="2" width="12" style="6" customWidth="1"/>
    <col min="3" max="3" width="15.88671875" style="6" customWidth="1"/>
    <col min="4" max="4" width="12.6640625" style="6" customWidth="1"/>
    <col min="5" max="6" width="9.88671875" style="6"/>
    <col min="7" max="7" width="11" style="6" customWidth="1"/>
    <col min="8" max="8" width="19.109375" style="6" customWidth="1"/>
    <col min="9" max="9" width="3.6640625" style="6" customWidth="1"/>
    <col min="10" max="10" width="3.88671875" style="6" customWidth="1"/>
    <col min="11" max="12" width="12.33203125" style="6" customWidth="1"/>
    <col min="13" max="13" width="47.44140625" style="6" customWidth="1"/>
    <col min="14" max="14" width="4.44140625" style="6" customWidth="1"/>
    <col min="15" max="15" width="4" style="6" customWidth="1"/>
    <col min="16" max="16" width="12.33203125" style="6" customWidth="1"/>
    <col min="17" max="16384" width="9.88671875" style="6"/>
  </cols>
  <sheetData>
    <row r="1" spans="1:16">
      <c r="H1" s="7"/>
    </row>
    <row r="2" spans="1:16" ht="34.799999999999997">
      <c r="H2" s="40" t="s">
        <v>0</v>
      </c>
      <c r="I2" s="41"/>
      <c r="J2" s="41"/>
      <c r="K2" s="41"/>
      <c r="L2" s="41"/>
      <c r="M2" s="41"/>
      <c r="N2" s="41"/>
      <c r="O2" s="41"/>
      <c r="P2" s="41"/>
    </row>
    <row r="3" spans="1:16">
      <c r="H3" s="7"/>
    </row>
    <row r="4" spans="1:16" ht="30">
      <c r="H4" s="42" t="s">
        <v>2</v>
      </c>
      <c r="I4" s="43"/>
      <c r="J4" s="43"/>
      <c r="K4" s="43"/>
      <c r="L4" s="43"/>
      <c r="M4" s="43"/>
      <c r="N4" s="43"/>
      <c r="O4" s="43"/>
      <c r="P4" s="43"/>
    </row>
    <row r="5" spans="1:16" ht="15" thickBot="1">
      <c r="H5" s="7"/>
    </row>
    <row r="6" spans="1:16" ht="31.8" thickBot="1">
      <c r="H6" s="7"/>
      <c r="I6" s="44" t="s">
        <v>882</v>
      </c>
      <c r="J6" s="45"/>
      <c r="K6" s="45"/>
      <c r="L6" s="45"/>
      <c r="M6" s="45"/>
      <c r="N6" s="45"/>
      <c r="O6" s="46"/>
      <c r="P6" s="8"/>
    </row>
    <row r="7" spans="1:16" s="10" customFormat="1">
      <c r="A7" s="9"/>
    </row>
    <row r="8" spans="1:16" s="10" customFormat="1">
      <c r="A8" s="9"/>
    </row>
    <row r="9" spans="1:16" s="10" customFormat="1">
      <c r="A9" s="9"/>
    </row>
    <row r="10" spans="1:16" ht="18" thickBot="1">
      <c r="A10" s="11" t="s">
        <v>4</v>
      </c>
      <c r="B10" s="12"/>
      <c r="C10" s="12"/>
      <c r="D10" s="12"/>
      <c r="E10" s="12"/>
      <c r="F10" s="12"/>
      <c r="G10" s="12"/>
      <c r="H10" s="8"/>
      <c r="I10" s="10"/>
      <c r="J10" s="10"/>
      <c r="K10" s="10"/>
      <c r="L10" s="10"/>
      <c r="M10" s="10"/>
      <c r="N10" s="10"/>
      <c r="O10" s="10"/>
      <c r="P10" s="10"/>
    </row>
    <row r="11" spans="1:16" ht="12.6" customHeight="1" thickTop="1">
      <c r="A11" s="13"/>
      <c r="B11" s="14"/>
      <c r="C11" s="14"/>
      <c r="D11" s="14"/>
      <c r="E11" s="14"/>
      <c r="F11" s="14"/>
      <c r="G11" s="14"/>
      <c r="H11" s="14"/>
      <c r="I11" s="10"/>
      <c r="J11" s="10"/>
      <c r="K11" s="10"/>
      <c r="L11" s="10" t="s">
        <v>8</v>
      </c>
      <c r="M11" s="10" t="s">
        <v>66</v>
      </c>
      <c r="N11" s="10"/>
      <c r="O11" s="10"/>
      <c r="P11" s="10"/>
    </row>
    <row r="12" spans="1:16" ht="78" customHeight="1">
      <c r="B12" s="47" t="s">
        <v>3</v>
      </c>
      <c r="C12" s="47"/>
      <c r="D12" s="47"/>
      <c r="E12" s="47"/>
      <c r="F12" s="47"/>
      <c r="G12" s="47"/>
      <c r="H12" s="47"/>
      <c r="I12" s="15"/>
      <c r="J12" s="15"/>
      <c r="K12" s="15"/>
      <c r="L12" s="15"/>
      <c r="M12" s="15"/>
      <c r="N12" s="15"/>
      <c r="O12" s="15"/>
    </row>
    <row r="13" spans="1:16" s="10" customFormat="1" ht="9" customHeight="1">
      <c r="A13" s="9"/>
    </row>
    <row r="14" spans="1:16" s="10" customFormat="1" ht="5.4" customHeight="1">
      <c r="A14" s="9"/>
    </row>
    <row r="15" spans="1:16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</sheetData>
  <mergeCells count="4">
    <mergeCell ref="H2:P2"/>
    <mergeCell ref="H4:P4"/>
    <mergeCell ref="I6:O6"/>
    <mergeCell ref="B12:H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B1:U2833"/>
  <sheetViews>
    <sheetView tabSelected="1" zoomScale="90" zoomScaleNormal="90" workbookViewId="0">
      <selection activeCell="Q19" sqref="Q19"/>
    </sheetView>
  </sheetViews>
  <sheetFormatPr defaultRowHeight="14.4"/>
  <cols>
    <col min="1" max="1" width="9" style="17" customWidth="1"/>
    <col min="2" max="2" width="20" style="17" bestFit="1" customWidth="1"/>
    <col min="3" max="3" width="14" style="17" customWidth="1"/>
    <col min="4" max="4" width="11.88671875" style="17" customWidth="1"/>
    <col min="5" max="5" width="8.88671875" style="17"/>
    <col min="6" max="6" width="7.33203125" style="17" bestFit="1" customWidth="1"/>
    <col min="7" max="7" width="9.6640625" style="17" customWidth="1"/>
    <col min="8" max="8" width="15.33203125" style="17" bestFit="1" customWidth="1"/>
    <col min="9" max="9" width="2.33203125" style="17" customWidth="1"/>
    <col min="10" max="10" width="2.44140625" style="17" customWidth="1"/>
    <col min="11" max="11" width="12.44140625" style="17" bestFit="1" customWidth="1"/>
    <col min="12" max="12" width="8.44140625" style="17" bestFit="1" customWidth="1"/>
    <col min="13" max="13" width="15.88671875" style="17" customWidth="1"/>
    <col min="14" max="14" width="2.44140625" style="17" customWidth="1"/>
    <col min="15" max="15" width="11.6640625" style="17" bestFit="1" customWidth="1"/>
    <col min="16" max="16" width="8.88671875" style="17"/>
    <col min="17" max="17" width="15.33203125" style="17" bestFit="1" customWidth="1"/>
    <col min="18" max="18" width="1.88671875" style="17" customWidth="1"/>
    <col min="19" max="19" width="10.44140625" style="17" customWidth="1"/>
    <col min="20" max="20" width="8.88671875" style="17"/>
    <col min="21" max="21" width="19.88671875" style="17" customWidth="1"/>
    <col min="22" max="16384" width="8.88671875" style="17"/>
  </cols>
  <sheetData>
    <row r="1" spans="2:21" ht="15" thickBot="1"/>
    <row r="2" spans="2:21" ht="15" thickBot="1">
      <c r="B2" s="18">
        <f>COUNT(B4:B2826)</f>
        <v>2823</v>
      </c>
      <c r="C2" s="19">
        <f>COUNTA(C4:C2826)</f>
        <v>2823</v>
      </c>
      <c r="D2" s="19">
        <f>COUNTA(D4:D2826)</f>
        <v>2823</v>
      </c>
      <c r="E2" s="19"/>
      <c r="F2" s="19">
        <f>SUM(F4:F2826)</f>
        <v>99067</v>
      </c>
      <c r="G2" s="19">
        <f>COUNT(G4:G2826)</f>
        <v>2823</v>
      </c>
      <c r="H2" s="49">
        <f>SUM(H4:H2826)</f>
        <v>8290886.7900000047</v>
      </c>
      <c r="K2" s="20"/>
      <c r="L2" s="19">
        <f>SUM(L4:L22)</f>
        <v>99067</v>
      </c>
      <c r="M2" s="21">
        <f>SUM(M4:M22)</f>
        <v>8290886.7899999991</v>
      </c>
      <c r="O2" s="20"/>
      <c r="P2" s="19">
        <f>SUM(P4:P6)</f>
        <v>99067</v>
      </c>
      <c r="Q2" s="22">
        <f>SUM(Q4:Q6)</f>
        <v>8290886.7899999954</v>
      </c>
      <c r="S2" s="20"/>
      <c r="T2" s="19">
        <f>SUM(T4:T9)</f>
        <v>99067</v>
      </c>
      <c r="U2" s="22">
        <f>SUM(U4:U9)</f>
        <v>8290886.7900000056</v>
      </c>
    </row>
    <row r="3" spans="2:21" s="27" customFormat="1" ht="24" customHeight="1">
      <c r="B3" s="23" t="s">
        <v>67</v>
      </c>
      <c r="C3" s="24" t="s">
        <v>87</v>
      </c>
      <c r="D3" s="24" t="s">
        <v>91</v>
      </c>
      <c r="E3" s="25" t="s">
        <v>73</v>
      </c>
      <c r="F3" s="25" t="s">
        <v>5</v>
      </c>
      <c r="G3" s="25" t="s">
        <v>7</v>
      </c>
      <c r="H3" s="26" t="s">
        <v>1</v>
      </c>
      <c r="K3" s="24" t="s">
        <v>87</v>
      </c>
      <c r="L3" s="25" t="s">
        <v>5</v>
      </c>
      <c r="M3" s="26" t="s">
        <v>1</v>
      </c>
      <c r="O3" s="24" t="s">
        <v>91</v>
      </c>
      <c r="P3" s="25" t="s">
        <v>5</v>
      </c>
      <c r="Q3" s="26" t="s">
        <v>1</v>
      </c>
      <c r="S3" s="25" t="s">
        <v>73</v>
      </c>
      <c r="T3" s="25" t="s">
        <v>5</v>
      </c>
      <c r="U3" s="26" t="s">
        <v>1</v>
      </c>
    </row>
    <row r="4" spans="2:21">
      <c r="B4" s="28">
        <v>10107</v>
      </c>
      <c r="C4" s="29" t="s">
        <v>100</v>
      </c>
      <c r="D4" s="29" t="s">
        <v>104</v>
      </c>
      <c r="E4" s="30" t="s">
        <v>93</v>
      </c>
      <c r="F4" s="28">
        <v>30</v>
      </c>
      <c r="G4" s="31">
        <v>95.7</v>
      </c>
      <c r="H4" s="32">
        <f>F4*G4</f>
        <v>2871</v>
      </c>
      <c r="I4" s="33"/>
      <c r="K4" s="34" t="s">
        <v>168</v>
      </c>
      <c r="L4" s="35">
        <f>SUMIFS($F$4:$F$2826,$C$4:$C$2826,K4)</f>
        <v>6246</v>
      </c>
      <c r="M4" s="36">
        <f>SUMIFS($H$4:$H$2826,$C$4:$C$2826,K4)</f>
        <v>521598.45999999985</v>
      </c>
      <c r="O4" s="29" t="s">
        <v>104</v>
      </c>
      <c r="P4" s="35">
        <f>SUMIFS($F$4:$F$2826,$D$4:$D$2826,O4)</f>
        <v>39134</v>
      </c>
      <c r="Q4" s="37">
        <f>SUMIFS($H$4:$H$2826,$D$4:$D$2826,O4)</f>
        <v>2590392.1999999951</v>
      </c>
      <c r="S4" s="34" t="s">
        <v>444</v>
      </c>
      <c r="T4" s="35">
        <f>SUMIFS($F$4:$F$2826,$E$4:$E$2826,S4)</f>
        <v>2038</v>
      </c>
      <c r="U4" s="37">
        <f>SUMIFS($H$4:$H$2826,$E$4:$E$2826,S4)</f>
        <v>171195.49000000002</v>
      </c>
    </row>
    <row r="5" spans="2:21">
      <c r="B5" s="28">
        <v>10121</v>
      </c>
      <c r="C5" s="29" t="s">
        <v>109</v>
      </c>
      <c r="D5" s="29" t="s">
        <v>104</v>
      </c>
      <c r="E5" s="30" t="s">
        <v>93</v>
      </c>
      <c r="F5" s="28">
        <v>34</v>
      </c>
      <c r="G5" s="31">
        <v>81.349999999999994</v>
      </c>
      <c r="H5" s="32">
        <f t="shared" ref="H5:H68" si="0">F5*G5</f>
        <v>2765.8999999999996</v>
      </c>
      <c r="I5" s="33"/>
      <c r="K5" s="34" t="s">
        <v>229</v>
      </c>
      <c r="L5" s="35">
        <f t="shared" ref="L5:L22" si="1">SUMIFS($F$4:$F$2826,$C$4:$C$2826,K5)</f>
        <v>1974</v>
      </c>
      <c r="M5" s="36">
        <f t="shared" ref="M5:M22" si="2">SUMIFS($H$4:$H$2826,$C$4:$C$2826,K5)</f>
        <v>172793.05000000002</v>
      </c>
      <c r="O5" s="29" t="s">
        <v>119</v>
      </c>
      <c r="P5" s="35">
        <f t="shared" ref="P5:P6" si="3">SUMIFS($F$4:$F$2826,$D$4:$D$2826,O5)</f>
        <v>52519</v>
      </c>
      <c r="Q5" s="37">
        <f t="shared" ref="Q5:Q6" si="4">SUMIFS($H$4:$H$2826,$D$4:$D$2826,O5)</f>
        <v>4961736.6800000006</v>
      </c>
      <c r="S5" s="30" t="s">
        <v>256</v>
      </c>
      <c r="T5" s="35">
        <f>SUMIFS($F$4:$F$2826,$E$4:$E$2826,S5)</f>
        <v>597</v>
      </c>
      <c r="U5" s="37">
        <f t="shared" ref="U5:U9" si="5">SUMIFS($H$4:$H$2826,$E$4:$E$2826,S5)</f>
        <v>55171.32</v>
      </c>
    </row>
    <row r="6" spans="2:21">
      <c r="B6" s="28">
        <v>10134</v>
      </c>
      <c r="C6" s="29" t="s">
        <v>109</v>
      </c>
      <c r="D6" s="29" t="s">
        <v>119</v>
      </c>
      <c r="E6" s="30" t="s">
        <v>93</v>
      </c>
      <c r="F6" s="28">
        <v>41</v>
      </c>
      <c r="G6" s="31">
        <v>94.74</v>
      </c>
      <c r="H6" s="32">
        <f t="shared" si="0"/>
        <v>3884.3399999999997</v>
      </c>
      <c r="I6" s="33"/>
      <c r="K6" s="34" t="s">
        <v>480</v>
      </c>
      <c r="L6" s="35">
        <f t="shared" si="1"/>
        <v>1074</v>
      </c>
      <c r="M6" s="36">
        <f t="shared" si="2"/>
        <v>94528.88</v>
      </c>
      <c r="O6" s="29" t="s">
        <v>232</v>
      </c>
      <c r="P6" s="35">
        <f t="shared" si="3"/>
        <v>7414</v>
      </c>
      <c r="Q6" s="37">
        <f t="shared" si="4"/>
        <v>738757.90999999992</v>
      </c>
      <c r="S6" s="34" t="s">
        <v>400</v>
      </c>
      <c r="T6" s="35">
        <f t="shared" ref="T6:T9" si="6">SUMIFS($F$4:$F$2826,$E$4:$E$2826,S6)</f>
        <v>1490</v>
      </c>
      <c r="U6" s="37">
        <f t="shared" si="5"/>
        <v>120601.78000000001</v>
      </c>
    </row>
    <row r="7" spans="2:21">
      <c r="B7" s="28">
        <v>10145</v>
      </c>
      <c r="C7" s="29" t="s">
        <v>100</v>
      </c>
      <c r="D7" s="29" t="s">
        <v>119</v>
      </c>
      <c r="E7" s="30" t="s">
        <v>93</v>
      </c>
      <c r="F7" s="28">
        <v>45</v>
      </c>
      <c r="G7" s="31">
        <v>83.26</v>
      </c>
      <c r="H7" s="32">
        <f t="shared" si="0"/>
        <v>3746.7000000000003</v>
      </c>
      <c r="I7" s="33"/>
      <c r="K7" s="34" t="s">
        <v>322</v>
      </c>
      <c r="L7" s="35">
        <f t="shared" si="1"/>
        <v>2293</v>
      </c>
      <c r="M7" s="36">
        <f t="shared" si="2"/>
        <v>193504.34000000003</v>
      </c>
      <c r="S7" s="34" t="s">
        <v>518</v>
      </c>
      <c r="T7" s="35">
        <f t="shared" si="6"/>
        <v>1879</v>
      </c>
      <c r="U7" s="37">
        <f t="shared" si="5"/>
        <v>158910.19999999998</v>
      </c>
    </row>
    <row r="8" spans="2:21">
      <c r="B8" s="28">
        <v>10159</v>
      </c>
      <c r="C8" s="29" t="s">
        <v>100</v>
      </c>
      <c r="D8" s="29" t="s">
        <v>119</v>
      </c>
      <c r="E8" s="30" t="s">
        <v>93</v>
      </c>
      <c r="F8" s="28">
        <v>49</v>
      </c>
      <c r="G8" s="31">
        <v>100</v>
      </c>
      <c r="H8" s="32">
        <f t="shared" si="0"/>
        <v>4900</v>
      </c>
      <c r="I8" s="33"/>
      <c r="K8" s="34" t="s">
        <v>429</v>
      </c>
      <c r="L8" s="35">
        <f t="shared" si="1"/>
        <v>2197</v>
      </c>
      <c r="M8" s="36">
        <f t="shared" si="2"/>
        <v>192747.63</v>
      </c>
      <c r="S8" s="34" t="s">
        <v>526</v>
      </c>
      <c r="T8" s="35">
        <f t="shared" si="6"/>
        <v>1660</v>
      </c>
      <c r="U8" s="37">
        <f t="shared" si="5"/>
        <v>133868.64000000001</v>
      </c>
    </row>
    <row r="9" spans="2:21">
      <c r="B9" s="28">
        <v>10168</v>
      </c>
      <c r="C9" s="29" t="s">
        <v>100</v>
      </c>
      <c r="D9" s="29" t="s">
        <v>119</v>
      </c>
      <c r="E9" s="30" t="s">
        <v>93</v>
      </c>
      <c r="F9" s="28">
        <v>36</v>
      </c>
      <c r="G9" s="31">
        <v>96.66</v>
      </c>
      <c r="H9" s="32">
        <f t="shared" si="0"/>
        <v>3479.7599999999998</v>
      </c>
      <c r="I9" s="33"/>
      <c r="K9" s="34" t="s">
        <v>208</v>
      </c>
      <c r="L9" s="35">
        <f t="shared" si="1"/>
        <v>3192</v>
      </c>
      <c r="M9" s="36">
        <f t="shared" si="2"/>
        <v>268714.70000000007</v>
      </c>
      <c r="S9" s="30" t="s">
        <v>93</v>
      </c>
      <c r="T9" s="35">
        <f t="shared" si="6"/>
        <v>91403</v>
      </c>
      <c r="U9" s="37">
        <f t="shared" si="5"/>
        <v>7651139.3600000059</v>
      </c>
    </row>
    <row r="10" spans="2:21">
      <c r="B10" s="28">
        <v>10180</v>
      </c>
      <c r="C10" s="29" t="s">
        <v>109</v>
      </c>
      <c r="D10" s="29" t="s">
        <v>104</v>
      </c>
      <c r="E10" s="30" t="s">
        <v>93</v>
      </c>
      <c r="F10" s="28">
        <v>29</v>
      </c>
      <c r="G10" s="31">
        <v>86.13</v>
      </c>
      <c r="H10" s="32">
        <f t="shared" si="0"/>
        <v>2497.77</v>
      </c>
      <c r="I10" s="33"/>
      <c r="K10" s="34" t="s">
        <v>109</v>
      </c>
      <c r="L10" s="35">
        <f t="shared" si="1"/>
        <v>11090</v>
      </c>
      <c r="M10" s="36">
        <f t="shared" si="2"/>
        <v>919257.84999999974</v>
      </c>
      <c r="U10" s="38">
        <v>15000000</v>
      </c>
    </row>
    <row r="11" spans="2:21">
      <c r="B11" s="28">
        <v>10188</v>
      </c>
      <c r="C11" s="29" t="s">
        <v>149</v>
      </c>
      <c r="D11" s="29" t="s">
        <v>119</v>
      </c>
      <c r="E11" s="30" t="s">
        <v>93</v>
      </c>
      <c r="F11" s="28">
        <v>48</v>
      </c>
      <c r="G11" s="31">
        <v>100</v>
      </c>
      <c r="H11" s="32">
        <f t="shared" si="0"/>
        <v>4800</v>
      </c>
      <c r="I11" s="33"/>
      <c r="K11" s="34" t="s">
        <v>566</v>
      </c>
      <c r="L11" s="35">
        <f t="shared" si="1"/>
        <v>2148</v>
      </c>
      <c r="M11" s="36">
        <f t="shared" si="2"/>
        <v>178689.08</v>
      </c>
    </row>
    <row r="12" spans="2:21">
      <c r="B12" s="28">
        <v>10201</v>
      </c>
      <c r="C12" s="29" t="s">
        <v>100</v>
      </c>
      <c r="D12" s="29" t="s">
        <v>104</v>
      </c>
      <c r="E12" s="30" t="s">
        <v>93</v>
      </c>
      <c r="F12" s="28">
        <v>22</v>
      </c>
      <c r="G12" s="31">
        <v>98.57</v>
      </c>
      <c r="H12" s="32">
        <f t="shared" si="0"/>
        <v>2168.54</v>
      </c>
      <c r="I12" s="33"/>
      <c r="K12" s="34" t="s">
        <v>614</v>
      </c>
      <c r="L12" s="35">
        <f t="shared" si="1"/>
        <v>490</v>
      </c>
      <c r="M12" s="36">
        <f t="shared" si="2"/>
        <v>43237.24</v>
      </c>
    </row>
    <row r="13" spans="2:21">
      <c r="B13" s="28">
        <v>10211</v>
      </c>
      <c r="C13" s="29" t="s">
        <v>109</v>
      </c>
      <c r="D13" s="29" t="s">
        <v>119</v>
      </c>
      <c r="E13" s="30" t="s">
        <v>93</v>
      </c>
      <c r="F13" s="28">
        <v>41</v>
      </c>
      <c r="G13" s="31">
        <v>100</v>
      </c>
      <c r="H13" s="32">
        <f t="shared" si="0"/>
        <v>4100</v>
      </c>
      <c r="I13" s="33"/>
      <c r="K13" s="34" t="s">
        <v>352</v>
      </c>
      <c r="L13" s="35">
        <f t="shared" si="1"/>
        <v>3773</v>
      </c>
      <c r="M13" s="36">
        <f t="shared" si="2"/>
        <v>309402.86999999988</v>
      </c>
    </row>
    <row r="14" spans="2:21">
      <c r="B14" s="28">
        <v>10223</v>
      </c>
      <c r="C14" s="29" t="s">
        <v>168</v>
      </c>
      <c r="D14" s="29" t="s">
        <v>119</v>
      </c>
      <c r="E14" s="30" t="s">
        <v>93</v>
      </c>
      <c r="F14" s="28">
        <v>37</v>
      </c>
      <c r="G14" s="31">
        <v>100</v>
      </c>
      <c r="H14" s="32">
        <f t="shared" si="0"/>
        <v>3700</v>
      </c>
      <c r="I14" s="33"/>
      <c r="K14" s="34" t="s">
        <v>288</v>
      </c>
      <c r="L14" s="35">
        <f t="shared" si="1"/>
        <v>1842</v>
      </c>
      <c r="M14" s="36">
        <f t="shared" si="2"/>
        <v>153076.68999999994</v>
      </c>
    </row>
    <row r="15" spans="2:21">
      <c r="B15" s="28">
        <v>10237</v>
      </c>
      <c r="C15" s="29" t="s">
        <v>100</v>
      </c>
      <c r="D15" s="29" t="s">
        <v>104</v>
      </c>
      <c r="E15" s="30" t="s">
        <v>93</v>
      </c>
      <c r="F15" s="28">
        <v>23</v>
      </c>
      <c r="G15" s="31">
        <v>100</v>
      </c>
      <c r="H15" s="32">
        <f t="shared" si="0"/>
        <v>2300</v>
      </c>
      <c r="K15" s="34" t="s">
        <v>149</v>
      </c>
      <c r="L15" s="35">
        <f t="shared" si="1"/>
        <v>2842</v>
      </c>
      <c r="M15" s="36">
        <f t="shared" si="2"/>
        <v>246115.8000000001</v>
      </c>
    </row>
    <row r="16" spans="2:21">
      <c r="B16" s="28">
        <v>10251</v>
      </c>
      <c r="C16" s="29" t="s">
        <v>100</v>
      </c>
      <c r="D16" s="29" t="s">
        <v>119</v>
      </c>
      <c r="E16" s="30" t="s">
        <v>93</v>
      </c>
      <c r="F16" s="28">
        <v>28</v>
      </c>
      <c r="G16" s="31">
        <v>100</v>
      </c>
      <c r="H16" s="32">
        <f t="shared" si="0"/>
        <v>2800</v>
      </c>
      <c r="K16" s="34" t="s">
        <v>552</v>
      </c>
      <c r="L16" s="35">
        <f t="shared" si="1"/>
        <v>961</v>
      </c>
      <c r="M16" s="36">
        <f t="shared" si="2"/>
        <v>80291.169999999984</v>
      </c>
    </row>
    <row r="17" spans="2:13">
      <c r="B17" s="28">
        <v>10263</v>
      </c>
      <c r="C17" s="29" t="s">
        <v>100</v>
      </c>
      <c r="D17" s="29" t="s">
        <v>119</v>
      </c>
      <c r="E17" s="30" t="s">
        <v>93</v>
      </c>
      <c r="F17" s="28">
        <v>34</v>
      </c>
      <c r="G17" s="31">
        <v>100</v>
      </c>
      <c r="H17" s="32">
        <f t="shared" si="0"/>
        <v>3400</v>
      </c>
      <c r="K17" s="34" t="s">
        <v>287</v>
      </c>
      <c r="L17" s="35">
        <f t="shared" si="1"/>
        <v>2760</v>
      </c>
      <c r="M17" s="36">
        <f t="shared" si="2"/>
        <v>227985.50000000009</v>
      </c>
    </row>
    <row r="18" spans="2:13">
      <c r="B18" s="28">
        <v>10275</v>
      </c>
      <c r="C18" s="29" t="s">
        <v>109</v>
      </c>
      <c r="D18" s="29" t="s">
        <v>119</v>
      </c>
      <c r="E18" s="30" t="s">
        <v>93</v>
      </c>
      <c r="F18" s="28">
        <v>45</v>
      </c>
      <c r="G18" s="31">
        <v>92.83</v>
      </c>
      <c r="H18" s="32">
        <f t="shared" si="0"/>
        <v>4177.3500000000004</v>
      </c>
      <c r="K18" s="34" t="s">
        <v>261</v>
      </c>
      <c r="L18" s="35">
        <f t="shared" si="1"/>
        <v>12429</v>
      </c>
      <c r="M18" s="36">
        <f t="shared" si="2"/>
        <v>1021705.9700000002</v>
      </c>
    </row>
    <row r="19" spans="2:13">
      <c r="B19" s="28">
        <v>10285</v>
      </c>
      <c r="C19" s="29" t="s">
        <v>100</v>
      </c>
      <c r="D19" s="29" t="s">
        <v>119</v>
      </c>
      <c r="E19" s="30" t="s">
        <v>93</v>
      </c>
      <c r="F19" s="28">
        <v>36</v>
      </c>
      <c r="G19" s="31">
        <v>100</v>
      </c>
      <c r="H19" s="32">
        <f t="shared" si="0"/>
        <v>3600</v>
      </c>
      <c r="K19" s="34" t="s">
        <v>273</v>
      </c>
      <c r="L19" s="35">
        <f t="shared" si="1"/>
        <v>2006</v>
      </c>
      <c r="M19" s="36">
        <f t="shared" si="2"/>
        <v>174264.10000000006</v>
      </c>
    </row>
    <row r="20" spans="2:13">
      <c r="B20" s="28">
        <v>10299</v>
      </c>
      <c r="C20" s="29" t="s">
        <v>208</v>
      </c>
      <c r="D20" s="29" t="s">
        <v>104</v>
      </c>
      <c r="E20" s="30" t="s">
        <v>93</v>
      </c>
      <c r="F20" s="28">
        <v>23</v>
      </c>
      <c r="G20" s="31">
        <v>100</v>
      </c>
      <c r="H20" s="32">
        <f t="shared" si="0"/>
        <v>2300</v>
      </c>
      <c r="K20" s="34" t="s">
        <v>574</v>
      </c>
      <c r="L20" s="35">
        <f t="shared" si="1"/>
        <v>1078</v>
      </c>
      <c r="M20" s="36">
        <f t="shared" si="2"/>
        <v>93344.909999999989</v>
      </c>
    </row>
    <row r="21" spans="2:13">
      <c r="B21" s="28">
        <v>10309</v>
      </c>
      <c r="C21" s="29" t="s">
        <v>149</v>
      </c>
      <c r="D21" s="29" t="s">
        <v>119</v>
      </c>
      <c r="E21" s="30" t="s">
        <v>93</v>
      </c>
      <c r="F21" s="28">
        <v>41</v>
      </c>
      <c r="G21" s="31">
        <v>100</v>
      </c>
      <c r="H21" s="32">
        <f t="shared" si="0"/>
        <v>4100</v>
      </c>
      <c r="K21" s="34" t="s">
        <v>252</v>
      </c>
      <c r="L21" s="35">
        <f t="shared" si="1"/>
        <v>5013</v>
      </c>
      <c r="M21" s="36">
        <f t="shared" si="2"/>
        <v>413203.33999999997</v>
      </c>
    </row>
    <row r="22" spans="2:13">
      <c r="B22" s="28">
        <v>10318</v>
      </c>
      <c r="C22" s="29" t="s">
        <v>100</v>
      </c>
      <c r="D22" s="29" t="s">
        <v>119</v>
      </c>
      <c r="E22" s="30" t="s">
        <v>93</v>
      </c>
      <c r="F22" s="28">
        <v>46</v>
      </c>
      <c r="G22" s="31">
        <v>94.74</v>
      </c>
      <c r="H22" s="32">
        <f t="shared" si="0"/>
        <v>4358.04</v>
      </c>
      <c r="K22" s="34" t="s">
        <v>100</v>
      </c>
      <c r="L22" s="35">
        <f t="shared" si="1"/>
        <v>35659</v>
      </c>
      <c r="M22" s="36">
        <f t="shared" si="2"/>
        <v>2986425.2099999995</v>
      </c>
    </row>
    <row r="23" spans="2:13">
      <c r="B23" s="28">
        <v>10329</v>
      </c>
      <c r="C23" s="29" t="s">
        <v>100</v>
      </c>
      <c r="D23" s="29" t="s">
        <v>119</v>
      </c>
      <c r="E23" s="30" t="s">
        <v>93</v>
      </c>
      <c r="F23" s="28">
        <v>42</v>
      </c>
      <c r="G23" s="31">
        <v>100</v>
      </c>
      <c r="H23" s="32">
        <f t="shared" si="0"/>
        <v>4200</v>
      </c>
    </row>
    <row r="24" spans="2:13">
      <c r="B24" s="28">
        <v>10341</v>
      </c>
      <c r="C24" s="29" t="s">
        <v>229</v>
      </c>
      <c r="D24" s="29" t="s">
        <v>232</v>
      </c>
      <c r="E24" s="30" t="s">
        <v>93</v>
      </c>
      <c r="F24" s="28">
        <v>41</v>
      </c>
      <c r="G24" s="31">
        <v>100</v>
      </c>
      <c r="H24" s="32">
        <f t="shared" si="0"/>
        <v>4100</v>
      </c>
    </row>
    <row r="25" spans="2:13">
      <c r="B25" s="28">
        <v>10361</v>
      </c>
      <c r="C25" s="29" t="s">
        <v>168</v>
      </c>
      <c r="D25" s="29" t="s">
        <v>104</v>
      </c>
      <c r="E25" s="30" t="s">
        <v>93</v>
      </c>
      <c r="F25" s="28">
        <v>20</v>
      </c>
      <c r="G25" s="31">
        <v>72.55</v>
      </c>
      <c r="H25" s="32">
        <f t="shared" si="0"/>
        <v>1451</v>
      </c>
    </row>
    <row r="26" spans="2:13">
      <c r="B26" s="28">
        <v>10375</v>
      </c>
      <c r="C26" s="29" t="s">
        <v>109</v>
      </c>
      <c r="D26" s="29" t="s">
        <v>104</v>
      </c>
      <c r="E26" s="30" t="s">
        <v>93</v>
      </c>
      <c r="F26" s="28">
        <v>21</v>
      </c>
      <c r="G26" s="31">
        <v>34.909999999999997</v>
      </c>
      <c r="H26" s="32">
        <f t="shared" si="0"/>
        <v>733.1099999999999</v>
      </c>
    </row>
    <row r="27" spans="2:13">
      <c r="B27" s="28">
        <v>10388</v>
      </c>
      <c r="C27" s="29" t="s">
        <v>100</v>
      </c>
      <c r="D27" s="29" t="s">
        <v>119</v>
      </c>
      <c r="E27" s="30" t="s">
        <v>93</v>
      </c>
      <c r="F27" s="28">
        <v>42</v>
      </c>
      <c r="G27" s="31">
        <v>76.36</v>
      </c>
      <c r="H27" s="32">
        <f t="shared" si="0"/>
        <v>3207.12</v>
      </c>
    </row>
    <row r="28" spans="2:13">
      <c r="B28" s="28">
        <v>10403</v>
      </c>
      <c r="C28" s="29" t="s">
        <v>252</v>
      </c>
      <c r="D28" s="29" t="s">
        <v>104</v>
      </c>
      <c r="E28" s="30" t="s">
        <v>93</v>
      </c>
      <c r="F28" s="28">
        <v>24</v>
      </c>
      <c r="G28" s="31">
        <v>100</v>
      </c>
      <c r="H28" s="32">
        <f t="shared" si="0"/>
        <v>2400</v>
      </c>
    </row>
    <row r="29" spans="2:13">
      <c r="B29" s="28">
        <v>10417</v>
      </c>
      <c r="C29" s="29" t="s">
        <v>261</v>
      </c>
      <c r="D29" s="29" t="s">
        <v>232</v>
      </c>
      <c r="E29" s="30" t="s">
        <v>256</v>
      </c>
      <c r="F29" s="28">
        <v>66</v>
      </c>
      <c r="G29" s="31">
        <v>100</v>
      </c>
      <c r="H29" s="32">
        <f t="shared" si="0"/>
        <v>6600</v>
      </c>
    </row>
    <row r="30" spans="2:13">
      <c r="B30" s="28">
        <v>10103</v>
      </c>
      <c r="C30" s="29" t="s">
        <v>149</v>
      </c>
      <c r="D30" s="29" t="s">
        <v>119</v>
      </c>
      <c r="E30" s="30" t="s">
        <v>93</v>
      </c>
      <c r="F30" s="28">
        <v>26</v>
      </c>
      <c r="G30" s="31">
        <v>100</v>
      </c>
      <c r="H30" s="32">
        <f t="shared" si="0"/>
        <v>2600</v>
      </c>
    </row>
    <row r="31" spans="2:13">
      <c r="B31" s="28">
        <v>10112</v>
      </c>
      <c r="C31" s="29" t="s">
        <v>273</v>
      </c>
      <c r="D31" s="29" t="s">
        <v>232</v>
      </c>
      <c r="E31" s="30" t="s">
        <v>93</v>
      </c>
      <c r="F31" s="28">
        <v>29</v>
      </c>
      <c r="G31" s="31">
        <v>100</v>
      </c>
      <c r="H31" s="32">
        <f t="shared" si="0"/>
        <v>2900</v>
      </c>
    </row>
    <row r="32" spans="2:13">
      <c r="B32" s="28">
        <v>10126</v>
      </c>
      <c r="C32" s="29" t="s">
        <v>261</v>
      </c>
      <c r="D32" s="29" t="s">
        <v>232</v>
      </c>
      <c r="E32" s="30" t="s">
        <v>93</v>
      </c>
      <c r="F32" s="28">
        <v>38</v>
      </c>
      <c r="G32" s="31">
        <v>100</v>
      </c>
      <c r="H32" s="32">
        <f t="shared" si="0"/>
        <v>3800</v>
      </c>
    </row>
    <row r="33" spans="2:8">
      <c r="B33" s="28">
        <v>10140</v>
      </c>
      <c r="C33" s="29" t="s">
        <v>100</v>
      </c>
      <c r="D33" s="29" t="s">
        <v>232</v>
      </c>
      <c r="E33" s="30" t="s">
        <v>93</v>
      </c>
      <c r="F33" s="28">
        <v>37</v>
      </c>
      <c r="G33" s="31">
        <v>100</v>
      </c>
      <c r="H33" s="32">
        <f t="shared" si="0"/>
        <v>3700</v>
      </c>
    </row>
    <row r="34" spans="2:8">
      <c r="B34" s="28">
        <v>10150</v>
      </c>
      <c r="C34" s="29" t="s">
        <v>287</v>
      </c>
      <c r="D34" s="29" t="s">
        <v>232</v>
      </c>
      <c r="E34" s="30" t="s">
        <v>93</v>
      </c>
      <c r="F34" s="28">
        <v>45</v>
      </c>
      <c r="G34" s="31">
        <v>100</v>
      </c>
      <c r="H34" s="32">
        <f t="shared" si="0"/>
        <v>4500</v>
      </c>
    </row>
    <row r="35" spans="2:8">
      <c r="B35" s="28">
        <v>10163</v>
      </c>
      <c r="C35" s="29" t="s">
        <v>100</v>
      </c>
      <c r="D35" s="29" t="s">
        <v>119</v>
      </c>
      <c r="E35" s="30" t="s">
        <v>93</v>
      </c>
      <c r="F35" s="28">
        <v>21</v>
      </c>
      <c r="G35" s="31">
        <v>100</v>
      </c>
      <c r="H35" s="32">
        <f t="shared" si="0"/>
        <v>2100</v>
      </c>
    </row>
    <row r="36" spans="2:8">
      <c r="B36" s="28">
        <v>10174</v>
      </c>
      <c r="C36" s="29" t="s">
        <v>168</v>
      </c>
      <c r="D36" s="29" t="s">
        <v>232</v>
      </c>
      <c r="E36" s="30" t="s">
        <v>93</v>
      </c>
      <c r="F36" s="28">
        <v>34</v>
      </c>
      <c r="G36" s="31">
        <v>100</v>
      </c>
      <c r="H36" s="32">
        <f t="shared" si="0"/>
        <v>3400</v>
      </c>
    </row>
    <row r="37" spans="2:8">
      <c r="B37" s="28">
        <v>10183</v>
      </c>
      <c r="C37" s="29" t="s">
        <v>100</v>
      </c>
      <c r="D37" s="29" t="s">
        <v>119</v>
      </c>
      <c r="E37" s="30" t="s">
        <v>93</v>
      </c>
      <c r="F37" s="28">
        <v>23</v>
      </c>
      <c r="G37" s="31">
        <v>100</v>
      </c>
      <c r="H37" s="32">
        <f t="shared" si="0"/>
        <v>2300</v>
      </c>
    </row>
    <row r="38" spans="2:8">
      <c r="B38" s="28">
        <v>10194</v>
      </c>
      <c r="C38" s="29" t="s">
        <v>109</v>
      </c>
      <c r="D38" s="29" t="s">
        <v>232</v>
      </c>
      <c r="E38" s="30" t="s">
        <v>93</v>
      </c>
      <c r="F38" s="28">
        <v>42</v>
      </c>
      <c r="G38" s="31">
        <v>100</v>
      </c>
      <c r="H38" s="32">
        <f t="shared" si="0"/>
        <v>4200</v>
      </c>
    </row>
    <row r="39" spans="2:8">
      <c r="B39" s="28">
        <v>10206</v>
      </c>
      <c r="C39" s="29" t="s">
        <v>322</v>
      </c>
      <c r="D39" s="29" t="s">
        <v>232</v>
      </c>
      <c r="E39" s="30" t="s">
        <v>93</v>
      </c>
      <c r="F39" s="28">
        <v>47</v>
      </c>
      <c r="G39" s="31">
        <v>100</v>
      </c>
      <c r="H39" s="32">
        <f t="shared" si="0"/>
        <v>4700</v>
      </c>
    </row>
    <row r="40" spans="2:8">
      <c r="B40" s="28">
        <v>10215</v>
      </c>
      <c r="C40" s="29" t="s">
        <v>100</v>
      </c>
      <c r="D40" s="29" t="s">
        <v>119</v>
      </c>
      <c r="E40" s="30" t="s">
        <v>93</v>
      </c>
      <c r="F40" s="28">
        <v>35</v>
      </c>
      <c r="G40" s="31">
        <v>100</v>
      </c>
      <c r="H40" s="32">
        <f t="shared" si="0"/>
        <v>3500</v>
      </c>
    </row>
    <row r="41" spans="2:8">
      <c r="B41" s="28">
        <v>10228</v>
      </c>
      <c r="C41" s="29" t="s">
        <v>100</v>
      </c>
      <c r="D41" s="29" t="s">
        <v>119</v>
      </c>
      <c r="E41" s="30" t="s">
        <v>93</v>
      </c>
      <c r="F41" s="28">
        <v>29</v>
      </c>
      <c r="G41" s="31">
        <v>100</v>
      </c>
      <c r="H41" s="32">
        <f t="shared" si="0"/>
        <v>2900</v>
      </c>
    </row>
    <row r="42" spans="2:8">
      <c r="B42" s="28">
        <v>10245</v>
      </c>
      <c r="C42" s="29" t="s">
        <v>100</v>
      </c>
      <c r="D42" s="29" t="s">
        <v>119</v>
      </c>
      <c r="E42" s="30" t="s">
        <v>93</v>
      </c>
      <c r="F42" s="28">
        <v>34</v>
      </c>
      <c r="G42" s="31">
        <v>100</v>
      </c>
      <c r="H42" s="32">
        <f t="shared" si="0"/>
        <v>3400</v>
      </c>
    </row>
    <row r="43" spans="2:8">
      <c r="B43" s="28">
        <v>10258</v>
      </c>
      <c r="C43" s="29" t="s">
        <v>288</v>
      </c>
      <c r="D43" s="29" t="s">
        <v>232</v>
      </c>
      <c r="E43" s="30" t="s">
        <v>93</v>
      </c>
      <c r="F43" s="28">
        <v>32</v>
      </c>
      <c r="G43" s="31">
        <v>100</v>
      </c>
      <c r="H43" s="32">
        <f t="shared" si="0"/>
        <v>3200</v>
      </c>
    </row>
    <row r="44" spans="2:8">
      <c r="B44" s="28">
        <v>10270</v>
      </c>
      <c r="C44" s="29" t="s">
        <v>168</v>
      </c>
      <c r="D44" s="29" t="s">
        <v>119</v>
      </c>
      <c r="E44" s="30" t="s">
        <v>93</v>
      </c>
      <c r="F44" s="28">
        <v>21</v>
      </c>
      <c r="G44" s="31">
        <v>100</v>
      </c>
      <c r="H44" s="32">
        <f t="shared" si="0"/>
        <v>2100</v>
      </c>
    </row>
    <row r="45" spans="2:8">
      <c r="B45" s="28">
        <v>10280</v>
      </c>
      <c r="C45" s="29" t="s">
        <v>352</v>
      </c>
      <c r="D45" s="29" t="s">
        <v>232</v>
      </c>
      <c r="E45" s="30" t="s">
        <v>93</v>
      </c>
      <c r="F45" s="28">
        <v>34</v>
      </c>
      <c r="G45" s="31">
        <v>100</v>
      </c>
      <c r="H45" s="32">
        <f t="shared" si="0"/>
        <v>3400</v>
      </c>
    </row>
    <row r="46" spans="2:8">
      <c r="B46" s="28">
        <v>10291</v>
      </c>
      <c r="C46" s="29" t="s">
        <v>273</v>
      </c>
      <c r="D46" s="29" t="s">
        <v>232</v>
      </c>
      <c r="E46" s="30" t="s">
        <v>93</v>
      </c>
      <c r="F46" s="28">
        <v>37</v>
      </c>
      <c r="G46" s="31">
        <v>100</v>
      </c>
      <c r="H46" s="32">
        <f t="shared" si="0"/>
        <v>3700</v>
      </c>
    </row>
    <row r="47" spans="2:8">
      <c r="B47" s="28">
        <v>10304</v>
      </c>
      <c r="C47" s="34" t="s">
        <v>109</v>
      </c>
      <c r="D47" s="34" t="s">
        <v>232</v>
      </c>
      <c r="E47" s="34" t="s">
        <v>93</v>
      </c>
      <c r="F47" s="35">
        <v>47</v>
      </c>
      <c r="G47" s="37">
        <v>100</v>
      </c>
      <c r="H47" s="32">
        <f t="shared" si="0"/>
        <v>4700</v>
      </c>
    </row>
    <row r="48" spans="2:8">
      <c r="B48" s="28">
        <v>10312</v>
      </c>
      <c r="C48" s="34" t="s">
        <v>100</v>
      </c>
      <c r="D48" s="34" t="s">
        <v>232</v>
      </c>
      <c r="E48" s="34" t="s">
        <v>93</v>
      </c>
      <c r="F48" s="35">
        <v>48</v>
      </c>
      <c r="G48" s="37">
        <v>100</v>
      </c>
      <c r="H48" s="32">
        <f t="shared" si="0"/>
        <v>4800</v>
      </c>
    </row>
    <row r="49" spans="2:8">
      <c r="B49" s="28">
        <v>10322</v>
      </c>
      <c r="C49" s="34" t="s">
        <v>100</v>
      </c>
      <c r="D49" s="34" t="s">
        <v>119</v>
      </c>
      <c r="E49" s="34" t="s">
        <v>93</v>
      </c>
      <c r="F49" s="35">
        <v>40</v>
      </c>
      <c r="G49" s="37">
        <v>100</v>
      </c>
      <c r="H49" s="32">
        <f t="shared" si="0"/>
        <v>4000</v>
      </c>
    </row>
    <row r="50" spans="2:8">
      <c r="B50" s="28">
        <v>10333</v>
      </c>
      <c r="C50" s="34" t="s">
        <v>100</v>
      </c>
      <c r="D50" s="34" t="s">
        <v>119</v>
      </c>
      <c r="E50" s="34" t="s">
        <v>93</v>
      </c>
      <c r="F50" s="35">
        <v>26</v>
      </c>
      <c r="G50" s="37">
        <v>100</v>
      </c>
      <c r="H50" s="32">
        <f t="shared" si="0"/>
        <v>2600</v>
      </c>
    </row>
    <row r="51" spans="2:8">
      <c r="B51" s="28">
        <v>10347</v>
      </c>
      <c r="C51" s="34" t="s">
        <v>168</v>
      </c>
      <c r="D51" s="34" t="s">
        <v>119</v>
      </c>
      <c r="E51" s="34" t="s">
        <v>93</v>
      </c>
      <c r="F51" s="35">
        <v>30</v>
      </c>
      <c r="G51" s="37">
        <v>100</v>
      </c>
      <c r="H51" s="32">
        <f t="shared" si="0"/>
        <v>3000</v>
      </c>
    </row>
    <row r="52" spans="2:8">
      <c r="B52" s="28">
        <v>10357</v>
      </c>
      <c r="C52" s="34" t="s">
        <v>100</v>
      </c>
      <c r="D52" s="34" t="s">
        <v>119</v>
      </c>
      <c r="E52" s="34" t="s">
        <v>93</v>
      </c>
      <c r="F52" s="35">
        <v>32</v>
      </c>
      <c r="G52" s="37">
        <v>100</v>
      </c>
      <c r="H52" s="32">
        <f t="shared" si="0"/>
        <v>3200</v>
      </c>
    </row>
    <row r="53" spans="2:8">
      <c r="B53" s="28">
        <v>10369</v>
      </c>
      <c r="C53" s="34" t="s">
        <v>100</v>
      </c>
      <c r="D53" s="34" t="s">
        <v>119</v>
      </c>
      <c r="E53" s="34" t="s">
        <v>93</v>
      </c>
      <c r="F53" s="35">
        <v>41</v>
      </c>
      <c r="G53" s="37">
        <v>100</v>
      </c>
      <c r="H53" s="32">
        <f t="shared" si="0"/>
        <v>4100</v>
      </c>
    </row>
    <row r="54" spans="2:8">
      <c r="B54" s="28">
        <v>10381</v>
      </c>
      <c r="C54" s="34" t="s">
        <v>100</v>
      </c>
      <c r="D54" s="34" t="s">
        <v>232</v>
      </c>
      <c r="E54" s="34" t="s">
        <v>93</v>
      </c>
      <c r="F54" s="35">
        <v>36</v>
      </c>
      <c r="G54" s="37">
        <v>100</v>
      </c>
      <c r="H54" s="32">
        <f t="shared" si="0"/>
        <v>3600</v>
      </c>
    </row>
    <row r="55" spans="2:8">
      <c r="B55" s="28">
        <v>10391</v>
      </c>
      <c r="C55" s="34" t="s">
        <v>168</v>
      </c>
      <c r="D55" s="34" t="s">
        <v>104</v>
      </c>
      <c r="E55" s="34" t="s">
        <v>93</v>
      </c>
      <c r="F55" s="35">
        <v>24</v>
      </c>
      <c r="G55" s="37">
        <v>100</v>
      </c>
      <c r="H55" s="32">
        <f t="shared" si="0"/>
        <v>2400</v>
      </c>
    </row>
    <row r="56" spans="2:8">
      <c r="B56" s="28">
        <v>10411</v>
      </c>
      <c r="C56" s="34" t="s">
        <v>322</v>
      </c>
      <c r="D56" s="34" t="s">
        <v>119</v>
      </c>
      <c r="E56" s="34" t="s">
        <v>93</v>
      </c>
      <c r="F56" s="35">
        <v>23</v>
      </c>
      <c r="G56" s="37">
        <v>100</v>
      </c>
      <c r="H56" s="32">
        <f t="shared" si="0"/>
        <v>2300</v>
      </c>
    </row>
    <row r="57" spans="2:8">
      <c r="B57" s="28">
        <v>10424</v>
      </c>
      <c r="C57" s="34" t="s">
        <v>261</v>
      </c>
      <c r="D57" s="34" t="s">
        <v>232</v>
      </c>
      <c r="E57" s="34" t="s">
        <v>400</v>
      </c>
      <c r="F57" s="35">
        <v>50</v>
      </c>
      <c r="G57" s="37">
        <v>100</v>
      </c>
      <c r="H57" s="32">
        <f t="shared" si="0"/>
        <v>5000</v>
      </c>
    </row>
    <row r="58" spans="2:8">
      <c r="B58" s="28">
        <v>10107</v>
      </c>
      <c r="C58" s="34" t="s">
        <v>100</v>
      </c>
      <c r="D58" s="34" t="s">
        <v>119</v>
      </c>
      <c r="E58" s="34" t="s">
        <v>93</v>
      </c>
      <c r="F58" s="35">
        <v>39</v>
      </c>
      <c r="G58" s="37">
        <v>99.91</v>
      </c>
      <c r="H58" s="32">
        <f t="shared" si="0"/>
        <v>3896.49</v>
      </c>
    </row>
    <row r="59" spans="2:8">
      <c r="B59" s="28">
        <v>10120</v>
      </c>
      <c r="C59" s="34" t="s">
        <v>168</v>
      </c>
      <c r="D59" s="34" t="s">
        <v>104</v>
      </c>
      <c r="E59" s="34" t="s">
        <v>93</v>
      </c>
      <c r="F59" s="35">
        <v>29</v>
      </c>
      <c r="G59" s="37">
        <v>96.34</v>
      </c>
      <c r="H59" s="32">
        <f t="shared" si="0"/>
        <v>2793.86</v>
      </c>
    </row>
    <row r="60" spans="2:8">
      <c r="B60" s="28">
        <v>10134</v>
      </c>
      <c r="C60" s="34" t="s">
        <v>109</v>
      </c>
      <c r="D60" s="34" t="s">
        <v>119</v>
      </c>
      <c r="E60" s="34" t="s">
        <v>93</v>
      </c>
      <c r="F60" s="35">
        <v>27</v>
      </c>
      <c r="G60" s="37">
        <v>100</v>
      </c>
      <c r="H60" s="32">
        <f t="shared" si="0"/>
        <v>2700</v>
      </c>
    </row>
    <row r="61" spans="2:8">
      <c r="B61" s="28">
        <v>10145</v>
      </c>
      <c r="C61" s="34" t="s">
        <v>100</v>
      </c>
      <c r="D61" s="34" t="s">
        <v>119</v>
      </c>
      <c r="E61" s="34" t="s">
        <v>93</v>
      </c>
      <c r="F61" s="35">
        <v>37</v>
      </c>
      <c r="G61" s="37">
        <v>100</v>
      </c>
      <c r="H61" s="32">
        <f t="shared" si="0"/>
        <v>3700</v>
      </c>
    </row>
    <row r="62" spans="2:8">
      <c r="B62" s="28">
        <v>10159</v>
      </c>
      <c r="C62" s="34" t="s">
        <v>100</v>
      </c>
      <c r="D62" s="34" t="s">
        <v>119</v>
      </c>
      <c r="E62" s="34" t="s">
        <v>93</v>
      </c>
      <c r="F62" s="35">
        <v>37</v>
      </c>
      <c r="G62" s="37">
        <v>100</v>
      </c>
      <c r="H62" s="32">
        <f t="shared" si="0"/>
        <v>3700</v>
      </c>
    </row>
    <row r="63" spans="2:8">
      <c r="B63" s="28">
        <v>10168</v>
      </c>
      <c r="C63" s="34" t="s">
        <v>100</v>
      </c>
      <c r="D63" s="34" t="s">
        <v>119</v>
      </c>
      <c r="E63" s="34" t="s">
        <v>93</v>
      </c>
      <c r="F63" s="35">
        <v>27</v>
      </c>
      <c r="G63" s="37">
        <v>100</v>
      </c>
      <c r="H63" s="32">
        <f t="shared" si="0"/>
        <v>2700</v>
      </c>
    </row>
    <row r="64" spans="2:8">
      <c r="B64" s="28">
        <v>10180</v>
      </c>
      <c r="C64" s="34" t="s">
        <v>109</v>
      </c>
      <c r="D64" s="34" t="s">
        <v>119</v>
      </c>
      <c r="E64" s="34" t="s">
        <v>93</v>
      </c>
      <c r="F64" s="35">
        <v>42</v>
      </c>
      <c r="G64" s="37">
        <v>100</v>
      </c>
      <c r="H64" s="32">
        <f t="shared" si="0"/>
        <v>4200</v>
      </c>
    </row>
    <row r="65" spans="2:8">
      <c r="B65" s="28">
        <v>10188</v>
      </c>
      <c r="C65" s="34" t="s">
        <v>149</v>
      </c>
      <c r="D65" s="34" t="s">
        <v>119</v>
      </c>
      <c r="E65" s="34" t="s">
        <v>93</v>
      </c>
      <c r="F65" s="35">
        <v>38</v>
      </c>
      <c r="G65" s="37">
        <v>96.34</v>
      </c>
      <c r="H65" s="32">
        <f t="shared" si="0"/>
        <v>3660.92</v>
      </c>
    </row>
    <row r="66" spans="2:8">
      <c r="B66" s="28">
        <v>10201</v>
      </c>
      <c r="C66" s="34" t="s">
        <v>100</v>
      </c>
      <c r="D66" s="34" t="s">
        <v>119</v>
      </c>
      <c r="E66" s="34" t="s">
        <v>93</v>
      </c>
      <c r="F66" s="35">
        <v>24</v>
      </c>
      <c r="G66" s="37">
        <v>100</v>
      </c>
      <c r="H66" s="32">
        <f t="shared" si="0"/>
        <v>2400</v>
      </c>
    </row>
    <row r="67" spans="2:8">
      <c r="B67" s="28">
        <v>10210</v>
      </c>
      <c r="C67" s="34" t="s">
        <v>288</v>
      </c>
      <c r="D67" s="34" t="s">
        <v>119</v>
      </c>
      <c r="E67" s="34" t="s">
        <v>93</v>
      </c>
      <c r="F67" s="35">
        <v>23</v>
      </c>
      <c r="G67" s="37">
        <v>100</v>
      </c>
      <c r="H67" s="32">
        <f t="shared" si="0"/>
        <v>2300</v>
      </c>
    </row>
    <row r="68" spans="2:8">
      <c r="B68" s="28">
        <v>10223</v>
      </c>
      <c r="C68" s="34" t="s">
        <v>168</v>
      </c>
      <c r="D68" s="34" t="s">
        <v>119</v>
      </c>
      <c r="E68" s="34" t="s">
        <v>93</v>
      </c>
      <c r="F68" s="35">
        <v>47</v>
      </c>
      <c r="G68" s="37">
        <v>100</v>
      </c>
      <c r="H68" s="32">
        <f t="shared" si="0"/>
        <v>4700</v>
      </c>
    </row>
    <row r="69" spans="2:8">
      <c r="B69" s="28">
        <v>10236</v>
      </c>
      <c r="C69" s="34" t="s">
        <v>100</v>
      </c>
      <c r="D69" s="34" t="s">
        <v>104</v>
      </c>
      <c r="E69" s="34" t="s">
        <v>93</v>
      </c>
      <c r="F69" s="35">
        <v>22</v>
      </c>
      <c r="G69" s="37">
        <v>100</v>
      </c>
      <c r="H69" s="32">
        <f t="shared" ref="H69:H132" si="7">F69*G69</f>
        <v>2200</v>
      </c>
    </row>
    <row r="70" spans="2:8">
      <c r="B70" s="28">
        <v>10251</v>
      </c>
      <c r="C70" s="34" t="s">
        <v>100</v>
      </c>
      <c r="D70" s="34" t="s">
        <v>119</v>
      </c>
      <c r="E70" s="34" t="s">
        <v>93</v>
      </c>
      <c r="F70" s="35">
        <v>44</v>
      </c>
      <c r="G70" s="37">
        <v>100</v>
      </c>
      <c r="H70" s="32">
        <f t="shared" si="7"/>
        <v>4400</v>
      </c>
    </row>
    <row r="71" spans="2:8">
      <c r="B71" s="28">
        <v>10263</v>
      </c>
      <c r="C71" s="34" t="s">
        <v>100</v>
      </c>
      <c r="D71" s="34" t="s">
        <v>119</v>
      </c>
      <c r="E71" s="34" t="s">
        <v>93</v>
      </c>
      <c r="F71" s="35">
        <v>40</v>
      </c>
      <c r="G71" s="37">
        <v>100</v>
      </c>
      <c r="H71" s="32">
        <f t="shared" si="7"/>
        <v>4000</v>
      </c>
    </row>
    <row r="72" spans="2:8">
      <c r="B72" s="28">
        <v>10275</v>
      </c>
      <c r="C72" s="34" t="s">
        <v>109</v>
      </c>
      <c r="D72" s="34" t="s">
        <v>104</v>
      </c>
      <c r="E72" s="34" t="s">
        <v>93</v>
      </c>
      <c r="F72" s="35">
        <v>22</v>
      </c>
      <c r="G72" s="37">
        <v>100</v>
      </c>
      <c r="H72" s="32">
        <f t="shared" si="7"/>
        <v>2200</v>
      </c>
    </row>
    <row r="73" spans="2:8">
      <c r="B73" s="28">
        <v>10285</v>
      </c>
      <c r="C73" s="34" t="s">
        <v>100</v>
      </c>
      <c r="D73" s="34" t="s">
        <v>119</v>
      </c>
      <c r="E73" s="34" t="s">
        <v>93</v>
      </c>
      <c r="F73" s="35">
        <v>47</v>
      </c>
      <c r="G73" s="37">
        <v>100</v>
      </c>
      <c r="H73" s="32">
        <f t="shared" si="7"/>
        <v>4700</v>
      </c>
    </row>
    <row r="74" spans="2:8">
      <c r="B74" s="28">
        <v>10298</v>
      </c>
      <c r="C74" s="34" t="s">
        <v>109</v>
      </c>
      <c r="D74" s="34" t="s">
        <v>119</v>
      </c>
      <c r="E74" s="34" t="s">
        <v>93</v>
      </c>
      <c r="F74" s="35">
        <v>39</v>
      </c>
      <c r="G74" s="37">
        <v>96.34</v>
      </c>
      <c r="H74" s="32">
        <f t="shared" si="7"/>
        <v>3757.26</v>
      </c>
    </row>
    <row r="75" spans="2:8">
      <c r="B75" s="28">
        <v>10308</v>
      </c>
      <c r="C75" s="34" t="s">
        <v>100</v>
      </c>
      <c r="D75" s="34" t="s">
        <v>119</v>
      </c>
      <c r="E75" s="34" t="s">
        <v>93</v>
      </c>
      <c r="F75" s="35">
        <v>34</v>
      </c>
      <c r="G75" s="37">
        <v>100</v>
      </c>
      <c r="H75" s="32">
        <f t="shared" si="7"/>
        <v>3400</v>
      </c>
    </row>
    <row r="76" spans="2:8">
      <c r="B76" s="28">
        <v>10318</v>
      </c>
      <c r="C76" s="34" t="s">
        <v>100</v>
      </c>
      <c r="D76" s="34" t="s">
        <v>119</v>
      </c>
      <c r="E76" s="34" t="s">
        <v>93</v>
      </c>
      <c r="F76" s="35">
        <v>45</v>
      </c>
      <c r="G76" s="37">
        <v>100</v>
      </c>
      <c r="H76" s="32">
        <f t="shared" si="7"/>
        <v>4500</v>
      </c>
    </row>
    <row r="77" spans="2:8">
      <c r="B77" s="28">
        <v>10329</v>
      </c>
      <c r="C77" s="34" t="s">
        <v>100</v>
      </c>
      <c r="D77" s="34" t="s">
        <v>119</v>
      </c>
      <c r="E77" s="34" t="s">
        <v>93</v>
      </c>
      <c r="F77" s="35">
        <v>20</v>
      </c>
      <c r="G77" s="37">
        <v>100</v>
      </c>
      <c r="H77" s="32">
        <f t="shared" si="7"/>
        <v>2000</v>
      </c>
    </row>
    <row r="78" spans="2:8">
      <c r="B78" s="28">
        <v>10339</v>
      </c>
      <c r="C78" s="34" t="s">
        <v>288</v>
      </c>
      <c r="D78" s="34" t="s">
        <v>104</v>
      </c>
      <c r="E78" s="34" t="s">
        <v>93</v>
      </c>
      <c r="F78" s="35">
        <v>40</v>
      </c>
      <c r="G78" s="37">
        <v>68.92</v>
      </c>
      <c r="H78" s="32">
        <f t="shared" si="7"/>
        <v>2756.8</v>
      </c>
    </row>
    <row r="79" spans="2:8">
      <c r="B79" s="28">
        <v>10361</v>
      </c>
      <c r="C79" s="34" t="s">
        <v>168</v>
      </c>
      <c r="D79" s="34" t="s">
        <v>104</v>
      </c>
      <c r="E79" s="34" t="s">
        <v>93</v>
      </c>
      <c r="F79" s="35">
        <v>26</v>
      </c>
      <c r="G79" s="37">
        <v>51.15</v>
      </c>
      <c r="H79" s="32">
        <f t="shared" si="7"/>
        <v>1329.8999999999999</v>
      </c>
    </row>
    <row r="80" spans="2:8">
      <c r="B80" s="28">
        <v>10374</v>
      </c>
      <c r="C80" s="34" t="s">
        <v>168</v>
      </c>
      <c r="D80" s="34" t="s">
        <v>119</v>
      </c>
      <c r="E80" s="34" t="s">
        <v>93</v>
      </c>
      <c r="F80" s="35">
        <v>39</v>
      </c>
      <c r="G80" s="37">
        <v>100</v>
      </c>
      <c r="H80" s="32">
        <f t="shared" si="7"/>
        <v>3900</v>
      </c>
    </row>
    <row r="81" spans="2:8">
      <c r="B81" s="28">
        <v>10388</v>
      </c>
      <c r="C81" s="34" t="s">
        <v>100</v>
      </c>
      <c r="D81" s="34" t="s">
        <v>104</v>
      </c>
      <c r="E81" s="34" t="s">
        <v>93</v>
      </c>
      <c r="F81" s="35">
        <v>50</v>
      </c>
      <c r="G81" s="37">
        <v>44.51</v>
      </c>
      <c r="H81" s="32">
        <f t="shared" si="7"/>
        <v>2225.5</v>
      </c>
    </row>
    <row r="82" spans="2:8">
      <c r="B82" s="28">
        <v>10402</v>
      </c>
      <c r="C82" s="34" t="s">
        <v>109</v>
      </c>
      <c r="D82" s="34" t="s">
        <v>119</v>
      </c>
      <c r="E82" s="34" t="s">
        <v>93</v>
      </c>
      <c r="F82" s="35">
        <v>45</v>
      </c>
      <c r="G82" s="37">
        <v>100</v>
      </c>
      <c r="H82" s="32">
        <f t="shared" si="7"/>
        <v>4500</v>
      </c>
    </row>
    <row r="83" spans="2:8">
      <c r="B83" s="28">
        <v>10417</v>
      </c>
      <c r="C83" s="34" t="s">
        <v>261</v>
      </c>
      <c r="D83" s="34" t="s">
        <v>119</v>
      </c>
      <c r="E83" s="34" t="s">
        <v>256</v>
      </c>
      <c r="F83" s="35">
        <v>45</v>
      </c>
      <c r="G83" s="37">
        <v>100</v>
      </c>
      <c r="H83" s="32">
        <f t="shared" si="7"/>
        <v>4500</v>
      </c>
    </row>
    <row r="84" spans="2:8">
      <c r="B84" s="28">
        <v>10107</v>
      </c>
      <c r="C84" s="34" t="s">
        <v>100</v>
      </c>
      <c r="D84" s="34" t="s">
        <v>119</v>
      </c>
      <c r="E84" s="34" t="s">
        <v>93</v>
      </c>
      <c r="F84" s="35">
        <v>27</v>
      </c>
      <c r="G84" s="37">
        <v>100</v>
      </c>
      <c r="H84" s="32">
        <f t="shared" si="7"/>
        <v>2700</v>
      </c>
    </row>
    <row r="85" spans="2:8">
      <c r="B85" s="28">
        <v>10120</v>
      </c>
      <c r="C85" s="34" t="s">
        <v>168</v>
      </c>
      <c r="D85" s="34" t="s">
        <v>232</v>
      </c>
      <c r="E85" s="34" t="s">
        <v>93</v>
      </c>
      <c r="F85" s="35">
        <v>46</v>
      </c>
      <c r="G85" s="37">
        <v>100</v>
      </c>
      <c r="H85" s="32">
        <f t="shared" si="7"/>
        <v>4600</v>
      </c>
    </row>
    <row r="86" spans="2:8">
      <c r="B86" s="28">
        <v>10134</v>
      </c>
      <c r="C86" s="34" t="s">
        <v>109</v>
      </c>
      <c r="D86" s="34" t="s">
        <v>232</v>
      </c>
      <c r="E86" s="34" t="s">
        <v>93</v>
      </c>
      <c r="F86" s="35">
        <v>31</v>
      </c>
      <c r="G86" s="37">
        <v>100</v>
      </c>
      <c r="H86" s="32">
        <f t="shared" si="7"/>
        <v>3100</v>
      </c>
    </row>
    <row r="87" spans="2:8">
      <c r="B87" s="28">
        <v>10145</v>
      </c>
      <c r="C87" s="34" t="s">
        <v>100</v>
      </c>
      <c r="D87" s="34" t="s">
        <v>119</v>
      </c>
      <c r="E87" s="34" t="s">
        <v>93</v>
      </c>
      <c r="F87" s="35">
        <v>33</v>
      </c>
      <c r="G87" s="37">
        <v>100</v>
      </c>
      <c r="H87" s="32">
        <f t="shared" si="7"/>
        <v>3300</v>
      </c>
    </row>
    <row r="88" spans="2:8">
      <c r="B88" s="28">
        <v>10159</v>
      </c>
      <c r="C88" s="34" t="s">
        <v>100</v>
      </c>
      <c r="D88" s="34" t="s">
        <v>119</v>
      </c>
      <c r="E88" s="34" t="s">
        <v>93</v>
      </c>
      <c r="F88" s="35">
        <v>22</v>
      </c>
      <c r="G88" s="37">
        <v>100</v>
      </c>
      <c r="H88" s="32">
        <f t="shared" si="7"/>
        <v>2200</v>
      </c>
    </row>
    <row r="89" spans="2:8">
      <c r="B89" s="28">
        <v>10168</v>
      </c>
      <c r="C89" s="34" t="s">
        <v>100</v>
      </c>
      <c r="D89" s="34" t="s">
        <v>119</v>
      </c>
      <c r="E89" s="34" t="s">
        <v>93</v>
      </c>
      <c r="F89" s="35">
        <v>20</v>
      </c>
      <c r="G89" s="37">
        <v>100</v>
      </c>
      <c r="H89" s="32">
        <f t="shared" si="7"/>
        <v>2000</v>
      </c>
    </row>
    <row r="90" spans="2:8">
      <c r="B90" s="28">
        <v>10180</v>
      </c>
      <c r="C90" s="34" t="s">
        <v>109</v>
      </c>
      <c r="D90" s="34" t="s">
        <v>232</v>
      </c>
      <c r="E90" s="34" t="s">
        <v>93</v>
      </c>
      <c r="F90" s="35">
        <v>41</v>
      </c>
      <c r="G90" s="37">
        <v>100</v>
      </c>
      <c r="H90" s="32">
        <f t="shared" si="7"/>
        <v>4100</v>
      </c>
    </row>
    <row r="91" spans="2:8">
      <c r="B91" s="28">
        <v>10188</v>
      </c>
      <c r="C91" s="34" t="s">
        <v>149</v>
      </c>
      <c r="D91" s="34" t="s">
        <v>232</v>
      </c>
      <c r="E91" s="34" t="s">
        <v>93</v>
      </c>
      <c r="F91" s="35">
        <v>45</v>
      </c>
      <c r="G91" s="37">
        <v>100</v>
      </c>
      <c r="H91" s="32">
        <f t="shared" si="7"/>
        <v>4500</v>
      </c>
    </row>
    <row r="92" spans="2:8">
      <c r="B92" s="28">
        <v>10201</v>
      </c>
      <c r="C92" s="34" t="s">
        <v>100</v>
      </c>
      <c r="D92" s="34" t="s">
        <v>232</v>
      </c>
      <c r="E92" s="34" t="s">
        <v>93</v>
      </c>
      <c r="F92" s="35">
        <v>49</v>
      </c>
      <c r="G92" s="37">
        <v>100</v>
      </c>
      <c r="H92" s="32">
        <f t="shared" si="7"/>
        <v>4900</v>
      </c>
    </row>
    <row r="93" spans="2:8">
      <c r="B93" s="28">
        <v>10210</v>
      </c>
      <c r="C93" s="34" t="s">
        <v>288</v>
      </c>
      <c r="D93" s="34" t="s">
        <v>119</v>
      </c>
      <c r="E93" s="34" t="s">
        <v>93</v>
      </c>
      <c r="F93" s="35">
        <v>34</v>
      </c>
      <c r="G93" s="37">
        <v>100</v>
      </c>
      <c r="H93" s="32">
        <f t="shared" si="7"/>
        <v>3400</v>
      </c>
    </row>
    <row r="94" spans="2:8">
      <c r="B94" s="28">
        <v>10223</v>
      </c>
      <c r="C94" s="34" t="s">
        <v>168</v>
      </c>
      <c r="D94" s="34" t="s">
        <v>232</v>
      </c>
      <c r="E94" s="34" t="s">
        <v>93</v>
      </c>
      <c r="F94" s="35">
        <v>49</v>
      </c>
      <c r="G94" s="37">
        <v>100</v>
      </c>
      <c r="H94" s="32">
        <f t="shared" si="7"/>
        <v>4900</v>
      </c>
    </row>
    <row r="95" spans="2:8">
      <c r="B95" s="28">
        <v>10237</v>
      </c>
      <c r="C95" s="34" t="s">
        <v>100</v>
      </c>
      <c r="D95" s="34" t="s">
        <v>232</v>
      </c>
      <c r="E95" s="34" t="s">
        <v>93</v>
      </c>
      <c r="F95" s="35">
        <v>39</v>
      </c>
      <c r="G95" s="37">
        <v>100</v>
      </c>
      <c r="H95" s="32">
        <f t="shared" si="7"/>
        <v>3900</v>
      </c>
    </row>
    <row r="96" spans="2:8">
      <c r="B96" s="28">
        <v>10251</v>
      </c>
      <c r="C96" s="34" t="s">
        <v>100</v>
      </c>
      <c r="D96" s="34" t="s">
        <v>232</v>
      </c>
      <c r="E96" s="34" t="s">
        <v>93</v>
      </c>
      <c r="F96" s="35">
        <v>43</v>
      </c>
      <c r="G96" s="37">
        <v>100</v>
      </c>
      <c r="H96" s="32">
        <f t="shared" si="7"/>
        <v>4300</v>
      </c>
    </row>
    <row r="97" spans="2:8">
      <c r="B97" s="28">
        <v>10263</v>
      </c>
      <c r="C97" s="34" t="s">
        <v>100</v>
      </c>
      <c r="D97" s="34" t="s">
        <v>232</v>
      </c>
      <c r="E97" s="34" t="s">
        <v>93</v>
      </c>
      <c r="F97" s="35">
        <v>41</v>
      </c>
      <c r="G97" s="37">
        <v>100</v>
      </c>
      <c r="H97" s="32">
        <f t="shared" si="7"/>
        <v>4100</v>
      </c>
    </row>
    <row r="98" spans="2:8">
      <c r="B98" s="28">
        <v>10275</v>
      </c>
      <c r="C98" s="34" t="s">
        <v>109</v>
      </c>
      <c r="D98" s="34" t="s">
        <v>119</v>
      </c>
      <c r="E98" s="34" t="s">
        <v>93</v>
      </c>
      <c r="F98" s="35">
        <v>36</v>
      </c>
      <c r="G98" s="37">
        <v>100</v>
      </c>
      <c r="H98" s="32">
        <f t="shared" si="7"/>
        <v>3600</v>
      </c>
    </row>
    <row r="99" spans="2:8">
      <c r="B99" s="28">
        <v>10285</v>
      </c>
      <c r="C99" s="34" t="s">
        <v>100</v>
      </c>
      <c r="D99" s="34" t="s">
        <v>119</v>
      </c>
      <c r="E99" s="34" t="s">
        <v>93</v>
      </c>
      <c r="F99" s="35">
        <v>27</v>
      </c>
      <c r="G99" s="37">
        <v>100</v>
      </c>
      <c r="H99" s="32">
        <f t="shared" si="7"/>
        <v>2700</v>
      </c>
    </row>
    <row r="100" spans="2:8">
      <c r="B100" s="28">
        <v>10299</v>
      </c>
      <c r="C100" s="34" t="s">
        <v>208</v>
      </c>
      <c r="D100" s="34" t="s">
        <v>119</v>
      </c>
      <c r="E100" s="34" t="s">
        <v>93</v>
      </c>
      <c r="F100" s="35">
        <v>29</v>
      </c>
      <c r="G100" s="37">
        <v>100</v>
      </c>
      <c r="H100" s="32">
        <f t="shared" si="7"/>
        <v>2900</v>
      </c>
    </row>
    <row r="101" spans="2:8">
      <c r="B101" s="28">
        <v>10308</v>
      </c>
      <c r="C101" s="34" t="s">
        <v>100</v>
      </c>
      <c r="D101" s="34" t="s">
        <v>119</v>
      </c>
      <c r="E101" s="34" t="s">
        <v>93</v>
      </c>
      <c r="F101" s="35">
        <v>20</v>
      </c>
      <c r="G101" s="37">
        <v>100</v>
      </c>
      <c r="H101" s="32">
        <f t="shared" si="7"/>
        <v>2000</v>
      </c>
    </row>
    <row r="102" spans="2:8">
      <c r="B102" s="28">
        <v>10318</v>
      </c>
      <c r="C102" s="34" t="s">
        <v>100</v>
      </c>
      <c r="D102" s="34" t="s">
        <v>232</v>
      </c>
      <c r="E102" s="34" t="s">
        <v>93</v>
      </c>
      <c r="F102" s="35">
        <v>37</v>
      </c>
      <c r="G102" s="37">
        <v>100</v>
      </c>
      <c r="H102" s="32">
        <f t="shared" si="7"/>
        <v>3700</v>
      </c>
    </row>
    <row r="103" spans="2:8">
      <c r="B103" s="28">
        <v>10329</v>
      </c>
      <c r="C103" s="34" t="s">
        <v>100</v>
      </c>
      <c r="D103" s="34" t="s">
        <v>119</v>
      </c>
      <c r="E103" s="34" t="s">
        <v>93</v>
      </c>
      <c r="F103" s="35">
        <v>26</v>
      </c>
      <c r="G103" s="37">
        <v>100</v>
      </c>
      <c r="H103" s="32">
        <f t="shared" si="7"/>
        <v>2600</v>
      </c>
    </row>
    <row r="104" spans="2:8">
      <c r="B104" s="28">
        <v>10339</v>
      </c>
      <c r="C104" s="34" t="s">
        <v>288</v>
      </c>
      <c r="D104" s="34" t="s">
        <v>104</v>
      </c>
      <c r="E104" s="34" t="s">
        <v>93</v>
      </c>
      <c r="F104" s="35">
        <v>39</v>
      </c>
      <c r="G104" s="37">
        <v>76.67</v>
      </c>
      <c r="H104" s="32">
        <f t="shared" si="7"/>
        <v>2990.13</v>
      </c>
    </row>
    <row r="105" spans="2:8">
      <c r="B105" s="28">
        <v>10362</v>
      </c>
      <c r="C105" s="34" t="s">
        <v>100</v>
      </c>
      <c r="D105" s="34" t="s">
        <v>119</v>
      </c>
      <c r="E105" s="34" t="s">
        <v>93</v>
      </c>
      <c r="F105" s="35">
        <v>22</v>
      </c>
      <c r="G105" s="37">
        <v>100</v>
      </c>
      <c r="H105" s="32">
        <f t="shared" si="7"/>
        <v>2200</v>
      </c>
    </row>
    <row r="106" spans="2:8">
      <c r="B106" s="28">
        <v>10374</v>
      </c>
      <c r="C106" s="34" t="s">
        <v>168</v>
      </c>
      <c r="D106" s="34" t="s">
        <v>119</v>
      </c>
      <c r="E106" s="34" t="s">
        <v>93</v>
      </c>
      <c r="F106" s="35">
        <v>22</v>
      </c>
      <c r="G106" s="37">
        <v>100</v>
      </c>
      <c r="H106" s="32">
        <f t="shared" si="7"/>
        <v>2200</v>
      </c>
    </row>
    <row r="107" spans="2:8">
      <c r="B107" s="28">
        <v>10388</v>
      </c>
      <c r="C107" s="34" t="s">
        <v>100</v>
      </c>
      <c r="D107" s="34" t="s">
        <v>104</v>
      </c>
      <c r="E107" s="34" t="s">
        <v>93</v>
      </c>
      <c r="F107" s="35">
        <v>21</v>
      </c>
      <c r="G107" s="37">
        <v>86.77</v>
      </c>
      <c r="H107" s="32">
        <f t="shared" si="7"/>
        <v>1822.1699999999998</v>
      </c>
    </row>
    <row r="108" spans="2:8">
      <c r="B108" s="28">
        <v>10403</v>
      </c>
      <c r="C108" s="34" t="s">
        <v>252</v>
      </c>
      <c r="D108" s="34" t="s">
        <v>232</v>
      </c>
      <c r="E108" s="34" t="s">
        <v>93</v>
      </c>
      <c r="F108" s="35">
        <v>66</v>
      </c>
      <c r="G108" s="37">
        <v>100</v>
      </c>
      <c r="H108" s="32">
        <f t="shared" si="7"/>
        <v>6600</v>
      </c>
    </row>
    <row r="109" spans="2:8">
      <c r="B109" s="28">
        <v>10417</v>
      </c>
      <c r="C109" s="34" t="s">
        <v>261</v>
      </c>
      <c r="D109" s="34" t="s">
        <v>232</v>
      </c>
      <c r="E109" s="34" t="s">
        <v>256</v>
      </c>
      <c r="F109" s="35">
        <v>56</v>
      </c>
      <c r="G109" s="37">
        <v>100</v>
      </c>
      <c r="H109" s="32">
        <f t="shared" si="7"/>
        <v>5600</v>
      </c>
    </row>
    <row r="110" spans="2:8">
      <c r="B110" s="28">
        <v>10105</v>
      </c>
      <c r="C110" s="34" t="s">
        <v>429</v>
      </c>
      <c r="D110" s="34" t="s">
        <v>232</v>
      </c>
      <c r="E110" s="34" t="s">
        <v>93</v>
      </c>
      <c r="F110" s="35">
        <v>50</v>
      </c>
      <c r="G110" s="37">
        <v>100</v>
      </c>
      <c r="H110" s="32">
        <f t="shared" si="7"/>
        <v>5000</v>
      </c>
    </row>
    <row r="111" spans="2:8">
      <c r="B111" s="28">
        <v>10119</v>
      </c>
      <c r="C111" s="34" t="s">
        <v>229</v>
      </c>
      <c r="D111" s="34" t="s">
        <v>119</v>
      </c>
      <c r="E111" s="34" t="s">
        <v>93</v>
      </c>
      <c r="F111" s="35">
        <v>46</v>
      </c>
      <c r="G111" s="48">
        <v>100</v>
      </c>
      <c r="H111" s="32">
        <f t="shared" si="7"/>
        <v>4600</v>
      </c>
    </row>
    <row r="112" spans="2:8">
      <c r="B112" s="28">
        <v>10129</v>
      </c>
      <c r="C112" s="34" t="s">
        <v>252</v>
      </c>
      <c r="D112" s="34" t="s">
        <v>119</v>
      </c>
      <c r="E112" s="34" t="s">
        <v>93</v>
      </c>
      <c r="F112" s="35">
        <v>33</v>
      </c>
      <c r="G112" s="37">
        <v>100</v>
      </c>
      <c r="H112" s="32">
        <f t="shared" si="7"/>
        <v>3300</v>
      </c>
    </row>
    <row r="113" spans="2:8">
      <c r="B113" s="28">
        <v>10143</v>
      </c>
      <c r="C113" s="34" t="s">
        <v>100</v>
      </c>
      <c r="D113" s="34" t="s">
        <v>119</v>
      </c>
      <c r="E113" s="34" t="s">
        <v>93</v>
      </c>
      <c r="F113" s="35">
        <v>49</v>
      </c>
      <c r="G113" s="37">
        <v>100</v>
      </c>
      <c r="H113" s="32">
        <f t="shared" si="7"/>
        <v>4900</v>
      </c>
    </row>
    <row r="114" spans="2:8">
      <c r="B114" s="28">
        <v>10155</v>
      </c>
      <c r="C114" s="34" t="s">
        <v>208</v>
      </c>
      <c r="D114" s="34" t="s">
        <v>119</v>
      </c>
      <c r="E114" s="34" t="s">
        <v>93</v>
      </c>
      <c r="F114" s="35">
        <v>32</v>
      </c>
      <c r="G114" s="37">
        <v>100</v>
      </c>
      <c r="H114" s="32">
        <f t="shared" si="7"/>
        <v>3200</v>
      </c>
    </row>
    <row r="115" spans="2:8">
      <c r="B115" s="28">
        <v>10167</v>
      </c>
      <c r="C115" s="34" t="s">
        <v>273</v>
      </c>
      <c r="D115" s="34" t="s">
        <v>119</v>
      </c>
      <c r="E115" s="34" t="s">
        <v>444</v>
      </c>
      <c r="F115" s="35">
        <v>44</v>
      </c>
      <c r="G115" s="37">
        <v>100</v>
      </c>
      <c r="H115" s="32">
        <f t="shared" si="7"/>
        <v>4400</v>
      </c>
    </row>
    <row r="116" spans="2:8">
      <c r="B116" s="28">
        <v>10178</v>
      </c>
      <c r="C116" s="34" t="s">
        <v>109</v>
      </c>
      <c r="D116" s="34" t="s">
        <v>119</v>
      </c>
      <c r="E116" s="34" t="s">
        <v>93</v>
      </c>
      <c r="F116" s="35">
        <v>24</v>
      </c>
      <c r="G116" s="37">
        <v>100</v>
      </c>
      <c r="H116" s="32">
        <f t="shared" si="7"/>
        <v>2400</v>
      </c>
    </row>
    <row r="117" spans="2:8">
      <c r="B117" s="28">
        <v>10186</v>
      </c>
      <c r="C117" s="34" t="s">
        <v>252</v>
      </c>
      <c r="D117" s="34" t="s">
        <v>119</v>
      </c>
      <c r="E117" s="34" t="s">
        <v>93</v>
      </c>
      <c r="F117" s="35">
        <v>26</v>
      </c>
      <c r="G117" s="37">
        <v>100</v>
      </c>
      <c r="H117" s="32">
        <f t="shared" si="7"/>
        <v>2600</v>
      </c>
    </row>
    <row r="118" spans="2:8">
      <c r="B118" s="28">
        <v>10197</v>
      </c>
      <c r="C118" s="34" t="s">
        <v>261</v>
      </c>
      <c r="D118" s="34" t="s">
        <v>119</v>
      </c>
      <c r="E118" s="34" t="s">
        <v>93</v>
      </c>
      <c r="F118" s="35">
        <v>45</v>
      </c>
      <c r="G118" s="37">
        <v>100</v>
      </c>
      <c r="H118" s="32">
        <f t="shared" si="7"/>
        <v>4500</v>
      </c>
    </row>
    <row r="119" spans="2:8">
      <c r="B119" s="28">
        <v>10209</v>
      </c>
      <c r="C119" s="34" t="s">
        <v>100</v>
      </c>
      <c r="D119" s="34" t="s">
        <v>119</v>
      </c>
      <c r="E119" s="34" t="s">
        <v>93</v>
      </c>
      <c r="F119" s="35">
        <v>39</v>
      </c>
      <c r="G119" s="37">
        <v>100</v>
      </c>
      <c r="H119" s="32">
        <f t="shared" si="7"/>
        <v>3900</v>
      </c>
    </row>
    <row r="120" spans="2:8">
      <c r="B120" s="28">
        <v>10222</v>
      </c>
      <c r="C120" s="34" t="s">
        <v>100</v>
      </c>
      <c r="D120" s="34" t="s">
        <v>119</v>
      </c>
      <c r="E120" s="34" t="s">
        <v>93</v>
      </c>
      <c r="F120" s="35">
        <v>49</v>
      </c>
      <c r="G120" s="37">
        <v>100</v>
      </c>
      <c r="H120" s="32">
        <f t="shared" si="7"/>
        <v>4900</v>
      </c>
    </row>
    <row r="121" spans="2:8">
      <c r="B121" s="28">
        <v>10248</v>
      </c>
      <c r="C121" s="34" t="s">
        <v>100</v>
      </c>
      <c r="D121" s="34" t="s">
        <v>104</v>
      </c>
      <c r="E121" s="34" t="s">
        <v>444</v>
      </c>
      <c r="F121" s="35">
        <v>20</v>
      </c>
      <c r="G121" s="37">
        <v>100</v>
      </c>
      <c r="H121" s="32">
        <f t="shared" si="7"/>
        <v>2000</v>
      </c>
    </row>
    <row r="122" spans="2:8">
      <c r="B122" s="28">
        <v>10261</v>
      </c>
      <c r="C122" s="34" t="s">
        <v>322</v>
      </c>
      <c r="D122" s="34" t="s">
        <v>119</v>
      </c>
      <c r="E122" s="34" t="s">
        <v>93</v>
      </c>
      <c r="F122" s="35">
        <v>27</v>
      </c>
      <c r="G122" s="37">
        <v>100</v>
      </c>
      <c r="H122" s="32">
        <f t="shared" si="7"/>
        <v>2700</v>
      </c>
    </row>
    <row r="123" spans="2:8">
      <c r="B123" s="28">
        <v>10273</v>
      </c>
      <c r="C123" s="34" t="s">
        <v>480</v>
      </c>
      <c r="D123" s="34" t="s">
        <v>119</v>
      </c>
      <c r="E123" s="34" t="s">
        <v>93</v>
      </c>
      <c r="F123" s="35">
        <v>30</v>
      </c>
      <c r="G123" s="37">
        <v>100</v>
      </c>
      <c r="H123" s="32">
        <f t="shared" si="7"/>
        <v>3000</v>
      </c>
    </row>
    <row r="124" spans="2:8">
      <c r="B124" s="28">
        <v>10283</v>
      </c>
      <c r="C124" s="34" t="s">
        <v>322</v>
      </c>
      <c r="D124" s="34" t="s">
        <v>104</v>
      </c>
      <c r="E124" s="34" t="s">
        <v>93</v>
      </c>
      <c r="F124" s="35">
        <v>25</v>
      </c>
      <c r="G124" s="37">
        <v>100</v>
      </c>
      <c r="H124" s="32">
        <f t="shared" si="7"/>
        <v>2500</v>
      </c>
    </row>
    <row r="125" spans="2:8">
      <c r="B125" s="28">
        <v>10295</v>
      </c>
      <c r="C125" s="34" t="s">
        <v>100</v>
      </c>
      <c r="D125" s="34" t="s">
        <v>119</v>
      </c>
      <c r="E125" s="34" t="s">
        <v>93</v>
      </c>
      <c r="F125" s="35">
        <v>24</v>
      </c>
      <c r="G125" s="37">
        <v>100</v>
      </c>
      <c r="H125" s="32">
        <f t="shared" si="7"/>
        <v>2400</v>
      </c>
    </row>
    <row r="126" spans="2:8">
      <c r="B126" s="28">
        <v>10307</v>
      </c>
      <c r="C126" s="34" t="s">
        <v>100</v>
      </c>
      <c r="D126" s="34" t="s">
        <v>104</v>
      </c>
      <c r="E126" s="34" t="s">
        <v>93</v>
      </c>
      <c r="F126" s="35">
        <v>22</v>
      </c>
      <c r="G126" s="37">
        <v>100</v>
      </c>
      <c r="H126" s="32">
        <f t="shared" si="7"/>
        <v>2200</v>
      </c>
    </row>
    <row r="127" spans="2:8">
      <c r="B127" s="28">
        <v>10316</v>
      </c>
      <c r="C127" s="34" t="s">
        <v>252</v>
      </c>
      <c r="D127" s="34" t="s">
        <v>119</v>
      </c>
      <c r="E127" s="34" t="s">
        <v>93</v>
      </c>
      <c r="F127" s="35">
        <v>33</v>
      </c>
      <c r="G127" s="37">
        <v>100</v>
      </c>
      <c r="H127" s="32">
        <f t="shared" si="7"/>
        <v>3300</v>
      </c>
    </row>
    <row r="128" spans="2:8">
      <c r="B128" s="28">
        <v>10325</v>
      </c>
      <c r="C128" s="34" t="s">
        <v>149</v>
      </c>
      <c r="D128" s="34" t="s">
        <v>119</v>
      </c>
      <c r="E128" s="34" t="s">
        <v>93</v>
      </c>
      <c r="F128" s="35">
        <v>47</v>
      </c>
      <c r="G128" s="37">
        <v>64.930000000000007</v>
      </c>
      <c r="H128" s="32">
        <f t="shared" si="7"/>
        <v>3051.7100000000005</v>
      </c>
    </row>
    <row r="129" spans="2:8">
      <c r="B129" s="28">
        <v>10337</v>
      </c>
      <c r="C129" s="34" t="s">
        <v>100</v>
      </c>
      <c r="D129" s="34" t="s">
        <v>104</v>
      </c>
      <c r="E129" s="34" t="s">
        <v>93</v>
      </c>
      <c r="F129" s="35">
        <v>25</v>
      </c>
      <c r="G129" s="37">
        <v>48.05</v>
      </c>
      <c r="H129" s="32">
        <f t="shared" si="7"/>
        <v>1201.25</v>
      </c>
    </row>
    <row r="130" spans="2:8">
      <c r="B130" s="28">
        <v>10350</v>
      </c>
      <c r="C130" s="34" t="s">
        <v>261</v>
      </c>
      <c r="D130" s="34" t="s">
        <v>104</v>
      </c>
      <c r="E130" s="34" t="s">
        <v>93</v>
      </c>
      <c r="F130" s="35">
        <v>26</v>
      </c>
      <c r="G130" s="37">
        <v>75.47</v>
      </c>
      <c r="H130" s="32">
        <f t="shared" si="7"/>
        <v>1962.22</v>
      </c>
    </row>
    <row r="131" spans="2:8">
      <c r="B131" s="28">
        <v>10359</v>
      </c>
      <c r="C131" s="34" t="s">
        <v>109</v>
      </c>
      <c r="D131" s="34" t="s">
        <v>104</v>
      </c>
      <c r="E131" s="34" t="s">
        <v>93</v>
      </c>
      <c r="F131" s="35">
        <v>48</v>
      </c>
      <c r="G131" s="37">
        <v>54.68</v>
      </c>
      <c r="H131" s="32">
        <f t="shared" si="7"/>
        <v>2624.64</v>
      </c>
    </row>
    <row r="132" spans="2:8">
      <c r="B132" s="28">
        <v>10373</v>
      </c>
      <c r="C132" s="34" t="s">
        <v>208</v>
      </c>
      <c r="D132" s="34" t="s">
        <v>119</v>
      </c>
      <c r="E132" s="34" t="s">
        <v>93</v>
      </c>
      <c r="F132" s="35">
        <v>39</v>
      </c>
      <c r="G132" s="37">
        <v>100</v>
      </c>
      <c r="H132" s="32">
        <f t="shared" si="7"/>
        <v>3900</v>
      </c>
    </row>
    <row r="133" spans="2:8">
      <c r="B133" s="28">
        <v>10384</v>
      </c>
      <c r="C133" s="34" t="s">
        <v>100</v>
      </c>
      <c r="D133" s="34" t="s">
        <v>119</v>
      </c>
      <c r="E133" s="34" t="s">
        <v>93</v>
      </c>
      <c r="F133" s="35">
        <v>34</v>
      </c>
      <c r="G133" s="37">
        <v>100</v>
      </c>
      <c r="H133" s="32">
        <f t="shared" ref="H133:H196" si="8">F133*G133</f>
        <v>3400</v>
      </c>
    </row>
    <row r="134" spans="2:8">
      <c r="B134" s="28">
        <v>10395</v>
      </c>
      <c r="C134" s="34" t="s">
        <v>109</v>
      </c>
      <c r="D134" s="34" t="s">
        <v>119</v>
      </c>
      <c r="E134" s="34" t="s">
        <v>93</v>
      </c>
      <c r="F134" s="35">
        <v>32</v>
      </c>
      <c r="G134" s="37">
        <v>100</v>
      </c>
      <c r="H134" s="32">
        <f t="shared" si="8"/>
        <v>3200</v>
      </c>
    </row>
    <row r="135" spans="2:8">
      <c r="B135" s="28">
        <v>10400</v>
      </c>
      <c r="C135" s="34" t="s">
        <v>100</v>
      </c>
      <c r="D135" s="34" t="s">
        <v>232</v>
      </c>
      <c r="E135" s="34" t="s">
        <v>93</v>
      </c>
      <c r="F135" s="35">
        <v>64</v>
      </c>
      <c r="G135" s="37">
        <v>100</v>
      </c>
      <c r="H135" s="32">
        <f t="shared" si="8"/>
        <v>6400</v>
      </c>
    </row>
    <row r="136" spans="2:8">
      <c r="B136" s="28">
        <v>10414</v>
      </c>
      <c r="C136" s="34" t="s">
        <v>100</v>
      </c>
      <c r="D136" s="34" t="s">
        <v>104</v>
      </c>
      <c r="E136" s="34" t="s">
        <v>518</v>
      </c>
      <c r="F136" s="35">
        <v>19</v>
      </c>
      <c r="G136" s="37">
        <v>100</v>
      </c>
      <c r="H136" s="32">
        <f t="shared" si="8"/>
        <v>1900</v>
      </c>
    </row>
    <row r="137" spans="2:8">
      <c r="B137" s="28">
        <v>10103</v>
      </c>
      <c r="C137" s="34" t="s">
        <v>149</v>
      </c>
      <c r="D137" s="34" t="s">
        <v>119</v>
      </c>
      <c r="E137" s="34" t="s">
        <v>93</v>
      </c>
      <c r="F137" s="35">
        <v>42</v>
      </c>
      <c r="G137" s="37">
        <v>100</v>
      </c>
      <c r="H137" s="32">
        <f t="shared" si="8"/>
        <v>4200</v>
      </c>
    </row>
    <row r="138" spans="2:8">
      <c r="B138" s="28">
        <v>10114</v>
      </c>
      <c r="C138" s="34" t="s">
        <v>109</v>
      </c>
      <c r="D138" s="34" t="s">
        <v>119</v>
      </c>
      <c r="E138" s="34" t="s">
        <v>93</v>
      </c>
      <c r="F138" s="35">
        <v>31</v>
      </c>
      <c r="G138" s="37">
        <v>100</v>
      </c>
      <c r="H138" s="32">
        <f t="shared" si="8"/>
        <v>3100</v>
      </c>
    </row>
    <row r="139" spans="2:8">
      <c r="B139" s="28">
        <v>10126</v>
      </c>
      <c r="C139" s="34" t="s">
        <v>261</v>
      </c>
      <c r="D139" s="34" t="s">
        <v>119</v>
      </c>
      <c r="E139" s="34" t="s">
        <v>93</v>
      </c>
      <c r="F139" s="35">
        <v>22</v>
      </c>
      <c r="G139" s="37">
        <v>100</v>
      </c>
      <c r="H139" s="32">
        <f t="shared" si="8"/>
        <v>2200</v>
      </c>
    </row>
    <row r="140" spans="2:8">
      <c r="B140" s="28">
        <v>10140</v>
      </c>
      <c r="C140" s="34" t="s">
        <v>100</v>
      </c>
      <c r="D140" s="34" t="s">
        <v>119</v>
      </c>
      <c r="E140" s="34" t="s">
        <v>93</v>
      </c>
      <c r="F140" s="35">
        <v>26</v>
      </c>
      <c r="G140" s="37">
        <v>100</v>
      </c>
      <c r="H140" s="32">
        <f t="shared" si="8"/>
        <v>2600</v>
      </c>
    </row>
    <row r="141" spans="2:8">
      <c r="B141" s="28">
        <v>10150</v>
      </c>
      <c r="C141" s="34" t="s">
        <v>287</v>
      </c>
      <c r="D141" s="34" t="s">
        <v>119</v>
      </c>
      <c r="E141" s="34" t="s">
        <v>93</v>
      </c>
      <c r="F141" s="35">
        <v>20</v>
      </c>
      <c r="G141" s="37">
        <v>100</v>
      </c>
      <c r="H141" s="32">
        <f t="shared" si="8"/>
        <v>2000</v>
      </c>
    </row>
    <row r="142" spans="2:8">
      <c r="B142" s="28">
        <v>10164</v>
      </c>
      <c r="C142" s="34" t="s">
        <v>229</v>
      </c>
      <c r="D142" s="34" t="s">
        <v>119</v>
      </c>
      <c r="E142" s="34" t="s">
        <v>526</v>
      </c>
      <c r="F142" s="35">
        <v>21</v>
      </c>
      <c r="G142" s="37">
        <v>100</v>
      </c>
      <c r="H142" s="32">
        <f t="shared" si="8"/>
        <v>2100</v>
      </c>
    </row>
    <row r="143" spans="2:8">
      <c r="B143" s="28">
        <v>10175</v>
      </c>
      <c r="C143" s="34" t="s">
        <v>252</v>
      </c>
      <c r="D143" s="34" t="s">
        <v>119</v>
      </c>
      <c r="E143" s="34" t="s">
        <v>93</v>
      </c>
      <c r="F143" s="35">
        <v>33</v>
      </c>
      <c r="G143" s="37">
        <v>100</v>
      </c>
      <c r="H143" s="32">
        <f t="shared" si="8"/>
        <v>3300</v>
      </c>
    </row>
    <row r="144" spans="2:8">
      <c r="B144" s="28">
        <v>10183</v>
      </c>
      <c r="C144" s="34" t="s">
        <v>100</v>
      </c>
      <c r="D144" s="34" t="s">
        <v>119</v>
      </c>
      <c r="E144" s="34" t="s">
        <v>93</v>
      </c>
      <c r="F144" s="35">
        <v>28</v>
      </c>
      <c r="G144" s="37">
        <v>100</v>
      </c>
      <c r="H144" s="32">
        <f t="shared" si="8"/>
        <v>2800</v>
      </c>
    </row>
    <row r="145" spans="2:8">
      <c r="B145" s="28">
        <v>10194</v>
      </c>
      <c r="C145" s="34" t="s">
        <v>109</v>
      </c>
      <c r="D145" s="34" t="s">
        <v>119</v>
      </c>
      <c r="E145" s="34" t="s">
        <v>93</v>
      </c>
      <c r="F145" s="35">
        <v>26</v>
      </c>
      <c r="G145" s="37">
        <v>100</v>
      </c>
      <c r="H145" s="32">
        <f t="shared" si="8"/>
        <v>2600</v>
      </c>
    </row>
    <row r="146" spans="2:8">
      <c r="B146" s="28">
        <v>10207</v>
      </c>
      <c r="C146" s="34" t="s">
        <v>100</v>
      </c>
      <c r="D146" s="34" t="s">
        <v>119</v>
      </c>
      <c r="E146" s="34" t="s">
        <v>93</v>
      </c>
      <c r="F146" s="35">
        <v>31</v>
      </c>
      <c r="G146" s="37">
        <v>100</v>
      </c>
      <c r="H146" s="32">
        <f t="shared" si="8"/>
        <v>3100</v>
      </c>
    </row>
    <row r="147" spans="2:8">
      <c r="B147" s="28">
        <v>10217</v>
      </c>
      <c r="C147" s="34" t="s">
        <v>287</v>
      </c>
      <c r="D147" s="34" t="s">
        <v>232</v>
      </c>
      <c r="E147" s="34" t="s">
        <v>93</v>
      </c>
      <c r="F147" s="35">
        <v>48</v>
      </c>
      <c r="G147" s="37">
        <v>100</v>
      </c>
      <c r="H147" s="32">
        <f t="shared" si="8"/>
        <v>4800</v>
      </c>
    </row>
    <row r="148" spans="2:8">
      <c r="B148" s="28">
        <v>10229</v>
      </c>
      <c r="C148" s="34" t="s">
        <v>100</v>
      </c>
      <c r="D148" s="34" t="s">
        <v>119</v>
      </c>
      <c r="E148" s="34" t="s">
        <v>93</v>
      </c>
      <c r="F148" s="35">
        <v>50</v>
      </c>
      <c r="G148" s="37">
        <v>100</v>
      </c>
      <c r="H148" s="32">
        <f t="shared" si="8"/>
        <v>5000</v>
      </c>
    </row>
    <row r="149" spans="2:8">
      <c r="B149" s="28">
        <v>10245</v>
      </c>
      <c r="C149" s="34" t="s">
        <v>100</v>
      </c>
      <c r="D149" s="34" t="s">
        <v>119</v>
      </c>
      <c r="E149" s="34" t="s">
        <v>93</v>
      </c>
      <c r="F149" s="35">
        <v>28</v>
      </c>
      <c r="G149" s="37">
        <v>100</v>
      </c>
      <c r="H149" s="32">
        <f t="shared" si="8"/>
        <v>2800</v>
      </c>
    </row>
    <row r="150" spans="2:8">
      <c r="B150" s="28">
        <v>10259</v>
      </c>
      <c r="C150" s="34" t="s">
        <v>287</v>
      </c>
      <c r="D150" s="34" t="s">
        <v>119</v>
      </c>
      <c r="E150" s="34" t="s">
        <v>93</v>
      </c>
      <c r="F150" s="35">
        <v>26</v>
      </c>
      <c r="G150" s="37">
        <v>100</v>
      </c>
      <c r="H150" s="32">
        <f t="shared" si="8"/>
        <v>2600</v>
      </c>
    </row>
    <row r="151" spans="2:8">
      <c r="B151" s="28">
        <v>10270</v>
      </c>
      <c r="C151" s="34" t="s">
        <v>168</v>
      </c>
      <c r="D151" s="34" t="s">
        <v>119</v>
      </c>
      <c r="E151" s="34" t="s">
        <v>93</v>
      </c>
      <c r="F151" s="35">
        <v>32</v>
      </c>
      <c r="G151" s="37">
        <v>100</v>
      </c>
      <c r="H151" s="32">
        <f t="shared" si="8"/>
        <v>3200</v>
      </c>
    </row>
    <row r="152" spans="2:8">
      <c r="B152" s="28">
        <v>10281</v>
      </c>
      <c r="C152" s="34" t="s">
        <v>100</v>
      </c>
      <c r="D152" s="34" t="s">
        <v>232</v>
      </c>
      <c r="E152" s="34" t="s">
        <v>93</v>
      </c>
      <c r="F152" s="35">
        <v>44</v>
      </c>
      <c r="G152" s="37">
        <v>100</v>
      </c>
      <c r="H152" s="32">
        <f t="shared" si="8"/>
        <v>4400</v>
      </c>
    </row>
    <row r="153" spans="2:8">
      <c r="B153" s="28">
        <v>10291</v>
      </c>
      <c r="C153" s="34" t="s">
        <v>273</v>
      </c>
      <c r="D153" s="34" t="s">
        <v>119</v>
      </c>
      <c r="E153" s="34" t="s">
        <v>93</v>
      </c>
      <c r="F153" s="35">
        <v>30</v>
      </c>
      <c r="G153" s="37">
        <v>100</v>
      </c>
      <c r="H153" s="32">
        <f t="shared" si="8"/>
        <v>3000</v>
      </c>
    </row>
    <row r="154" spans="2:8">
      <c r="B154" s="28">
        <v>10305</v>
      </c>
      <c r="C154" s="34" t="s">
        <v>100</v>
      </c>
      <c r="D154" s="34" t="s">
        <v>119</v>
      </c>
      <c r="E154" s="34" t="s">
        <v>93</v>
      </c>
      <c r="F154" s="35">
        <v>38</v>
      </c>
      <c r="G154" s="37">
        <v>100</v>
      </c>
      <c r="H154" s="32">
        <f t="shared" si="8"/>
        <v>3800</v>
      </c>
    </row>
    <row r="155" spans="2:8">
      <c r="B155" s="28">
        <v>10313</v>
      </c>
      <c r="C155" s="34" t="s">
        <v>322</v>
      </c>
      <c r="D155" s="34" t="s">
        <v>119</v>
      </c>
      <c r="E155" s="34" t="s">
        <v>93</v>
      </c>
      <c r="F155" s="35">
        <v>40</v>
      </c>
      <c r="G155" s="37">
        <v>100</v>
      </c>
      <c r="H155" s="32">
        <f t="shared" si="8"/>
        <v>4000</v>
      </c>
    </row>
    <row r="156" spans="2:8">
      <c r="B156" s="28">
        <v>10322</v>
      </c>
      <c r="C156" s="34" t="s">
        <v>100</v>
      </c>
      <c r="D156" s="34" t="s">
        <v>104</v>
      </c>
      <c r="E156" s="34" t="s">
        <v>93</v>
      </c>
      <c r="F156" s="35">
        <v>46</v>
      </c>
      <c r="G156" s="37">
        <v>61.99</v>
      </c>
      <c r="H156" s="32">
        <f t="shared" si="8"/>
        <v>2851.54</v>
      </c>
    </row>
    <row r="157" spans="2:8">
      <c r="B157" s="28">
        <v>10334</v>
      </c>
      <c r="C157" s="34" t="s">
        <v>273</v>
      </c>
      <c r="D157" s="34" t="s">
        <v>119</v>
      </c>
      <c r="E157" s="34" t="s">
        <v>518</v>
      </c>
      <c r="F157" s="35">
        <v>26</v>
      </c>
      <c r="G157" s="37">
        <v>100</v>
      </c>
      <c r="H157" s="32">
        <f t="shared" si="8"/>
        <v>2600</v>
      </c>
    </row>
    <row r="158" spans="2:8">
      <c r="B158" s="28">
        <v>10347</v>
      </c>
      <c r="C158" s="34" t="s">
        <v>168</v>
      </c>
      <c r="D158" s="34" t="s">
        <v>119</v>
      </c>
      <c r="E158" s="34" t="s">
        <v>93</v>
      </c>
      <c r="F158" s="35">
        <v>27</v>
      </c>
      <c r="G158" s="37">
        <v>100</v>
      </c>
      <c r="H158" s="32">
        <f t="shared" si="8"/>
        <v>2700</v>
      </c>
    </row>
    <row r="159" spans="2:8">
      <c r="B159" s="28">
        <v>10357</v>
      </c>
      <c r="C159" s="34" t="s">
        <v>100</v>
      </c>
      <c r="D159" s="34" t="s">
        <v>119</v>
      </c>
      <c r="E159" s="34" t="s">
        <v>93</v>
      </c>
      <c r="F159" s="35">
        <v>43</v>
      </c>
      <c r="G159" s="37">
        <v>100</v>
      </c>
      <c r="H159" s="32">
        <f t="shared" si="8"/>
        <v>4300</v>
      </c>
    </row>
    <row r="160" spans="2:8">
      <c r="B160" s="28">
        <v>10370</v>
      </c>
      <c r="C160" s="34" t="s">
        <v>168</v>
      </c>
      <c r="D160" s="34" t="s">
        <v>104</v>
      </c>
      <c r="E160" s="34" t="s">
        <v>93</v>
      </c>
      <c r="F160" s="35">
        <v>35</v>
      </c>
      <c r="G160" s="37">
        <v>65.63</v>
      </c>
      <c r="H160" s="32">
        <f t="shared" si="8"/>
        <v>2297.0499999999997</v>
      </c>
    </row>
    <row r="161" spans="2:8">
      <c r="B161" s="28">
        <v>10381</v>
      </c>
      <c r="C161" s="34" t="s">
        <v>100</v>
      </c>
      <c r="D161" s="34" t="s">
        <v>119</v>
      </c>
      <c r="E161" s="34" t="s">
        <v>93</v>
      </c>
      <c r="F161" s="35">
        <v>37</v>
      </c>
      <c r="G161" s="37">
        <v>100</v>
      </c>
      <c r="H161" s="32">
        <f t="shared" si="8"/>
        <v>3700</v>
      </c>
    </row>
    <row r="162" spans="2:8">
      <c r="B162" s="28">
        <v>10391</v>
      </c>
      <c r="C162" s="34" t="s">
        <v>168</v>
      </c>
      <c r="D162" s="34" t="s">
        <v>104</v>
      </c>
      <c r="E162" s="34" t="s">
        <v>93</v>
      </c>
      <c r="F162" s="35">
        <v>37</v>
      </c>
      <c r="G162" s="37">
        <v>46.9</v>
      </c>
      <c r="H162" s="32">
        <f t="shared" si="8"/>
        <v>1735.3</v>
      </c>
    </row>
    <row r="163" spans="2:8">
      <c r="B163" s="28">
        <v>10411</v>
      </c>
      <c r="C163" s="34" t="s">
        <v>322</v>
      </c>
      <c r="D163" s="34" t="s">
        <v>119</v>
      </c>
      <c r="E163" s="34" t="s">
        <v>93</v>
      </c>
      <c r="F163" s="35">
        <v>27</v>
      </c>
      <c r="G163" s="37">
        <v>100</v>
      </c>
      <c r="H163" s="32">
        <f t="shared" si="8"/>
        <v>2700</v>
      </c>
    </row>
    <row r="164" spans="2:8">
      <c r="B164" s="28">
        <v>10425</v>
      </c>
      <c r="C164" s="34" t="s">
        <v>109</v>
      </c>
      <c r="D164" s="34" t="s">
        <v>119</v>
      </c>
      <c r="E164" s="34" t="s">
        <v>400</v>
      </c>
      <c r="F164" s="35">
        <v>38</v>
      </c>
      <c r="G164" s="37">
        <v>100</v>
      </c>
      <c r="H164" s="32">
        <f t="shared" si="8"/>
        <v>3800</v>
      </c>
    </row>
    <row r="165" spans="2:8">
      <c r="B165" s="28">
        <v>10108</v>
      </c>
      <c r="C165" s="34" t="s">
        <v>552</v>
      </c>
      <c r="D165" s="34" t="s">
        <v>119</v>
      </c>
      <c r="E165" s="34" t="s">
        <v>93</v>
      </c>
      <c r="F165" s="35">
        <v>33</v>
      </c>
      <c r="G165" s="37">
        <v>100</v>
      </c>
      <c r="H165" s="32">
        <f t="shared" si="8"/>
        <v>3300</v>
      </c>
    </row>
    <row r="166" spans="2:8">
      <c r="B166" s="28">
        <v>10122</v>
      </c>
      <c r="C166" s="34" t="s">
        <v>109</v>
      </c>
      <c r="D166" s="34" t="s">
        <v>232</v>
      </c>
      <c r="E166" s="34" t="s">
        <v>93</v>
      </c>
      <c r="F166" s="35">
        <v>42</v>
      </c>
      <c r="G166" s="37">
        <v>100</v>
      </c>
      <c r="H166" s="32">
        <f t="shared" si="8"/>
        <v>4200</v>
      </c>
    </row>
    <row r="167" spans="2:8">
      <c r="B167" s="28">
        <v>10135</v>
      </c>
      <c r="C167" s="34" t="s">
        <v>100</v>
      </c>
      <c r="D167" s="34" t="s">
        <v>232</v>
      </c>
      <c r="E167" s="34" t="s">
        <v>93</v>
      </c>
      <c r="F167" s="35">
        <v>42</v>
      </c>
      <c r="G167" s="37">
        <v>100</v>
      </c>
      <c r="H167" s="32">
        <f t="shared" si="8"/>
        <v>4200</v>
      </c>
    </row>
    <row r="168" spans="2:8">
      <c r="B168" s="28">
        <v>10147</v>
      </c>
      <c r="C168" s="34" t="s">
        <v>100</v>
      </c>
      <c r="D168" s="34" t="s">
        <v>232</v>
      </c>
      <c r="E168" s="34" t="s">
        <v>93</v>
      </c>
      <c r="F168" s="35">
        <v>48</v>
      </c>
      <c r="G168" s="37">
        <v>100</v>
      </c>
      <c r="H168" s="32">
        <f t="shared" si="8"/>
        <v>4800</v>
      </c>
    </row>
    <row r="169" spans="2:8">
      <c r="B169" s="28">
        <v>10159</v>
      </c>
      <c r="C169" s="34" t="s">
        <v>100</v>
      </c>
      <c r="D169" s="34" t="s">
        <v>232</v>
      </c>
      <c r="E169" s="34" t="s">
        <v>93</v>
      </c>
      <c r="F169" s="35">
        <v>41</v>
      </c>
      <c r="G169" s="37">
        <v>100</v>
      </c>
      <c r="H169" s="32">
        <f t="shared" si="8"/>
        <v>4100</v>
      </c>
    </row>
    <row r="170" spans="2:8">
      <c r="B170" s="28">
        <v>10169</v>
      </c>
      <c r="C170" s="34" t="s">
        <v>168</v>
      </c>
      <c r="D170" s="34" t="s">
        <v>119</v>
      </c>
      <c r="E170" s="34" t="s">
        <v>93</v>
      </c>
      <c r="F170" s="35">
        <v>30</v>
      </c>
      <c r="G170" s="37">
        <v>100</v>
      </c>
      <c r="H170" s="32">
        <f t="shared" si="8"/>
        <v>3000</v>
      </c>
    </row>
    <row r="171" spans="2:8">
      <c r="B171" s="28">
        <v>10181</v>
      </c>
      <c r="C171" s="34" t="s">
        <v>149</v>
      </c>
      <c r="D171" s="34" t="s">
        <v>119</v>
      </c>
      <c r="E171" s="34" t="s">
        <v>93</v>
      </c>
      <c r="F171" s="35">
        <v>27</v>
      </c>
      <c r="G171" s="37">
        <v>100</v>
      </c>
      <c r="H171" s="32">
        <f t="shared" si="8"/>
        <v>2700</v>
      </c>
    </row>
    <row r="172" spans="2:8">
      <c r="B172" s="28">
        <v>10191</v>
      </c>
      <c r="C172" s="34" t="s">
        <v>566</v>
      </c>
      <c r="D172" s="34" t="s">
        <v>119</v>
      </c>
      <c r="E172" s="34" t="s">
        <v>93</v>
      </c>
      <c r="F172" s="35">
        <v>21</v>
      </c>
      <c r="G172" s="37">
        <v>100</v>
      </c>
      <c r="H172" s="32">
        <f t="shared" si="8"/>
        <v>2100</v>
      </c>
    </row>
    <row r="173" spans="2:8">
      <c r="B173" s="28">
        <v>10203</v>
      </c>
      <c r="C173" s="34" t="s">
        <v>261</v>
      </c>
      <c r="D173" s="34" t="s">
        <v>119</v>
      </c>
      <c r="E173" s="34" t="s">
        <v>93</v>
      </c>
      <c r="F173" s="35">
        <v>20</v>
      </c>
      <c r="G173" s="37">
        <v>100</v>
      </c>
      <c r="H173" s="32">
        <f t="shared" si="8"/>
        <v>2000</v>
      </c>
    </row>
    <row r="174" spans="2:8">
      <c r="B174" s="28">
        <v>10211</v>
      </c>
      <c r="C174" s="34" t="s">
        <v>109</v>
      </c>
      <c r="D174" s="34" t="s">
        <v>232</v>
      </c>
      <c r="E174" s="34" t="s">
        <v>93</v>
      </c>
      <c r="F174" s="35">
        <v>41</v>
      </c>
      <c r="G174" s="37">
        <v>100</v>
      </c>
      <c r="H174" s="32">
        <f t="shared" si="8"/>
        <v>4100</v>
      </c>
    </row>
    <row r="175" spans="2:8">
      <c r="B175" s="28">
        <v>10225</v>
      </c>
      <c r="C175" s="34" t="s">
        <v>574</v>
      </c>
      <c r="D175" s="34" t="s">
        <v>119</v>
      </c>
      <c r="E175" s="34" t="s">
        <v>93</v>
      </c>
      <c r="F175" s="35">
        <v>27</v>
      </c>
      <c r="G175" s="37">
        <v>100</v>
      </c>
      <c r="H175" s="32">
        <f t="shared" si="8"/>
        <v>2700</v>
      </c>
    </row>
    <row r="176" spans="2:8">
      <c r="B176" s="28">
        <v>10238</v>
      </c>
      <c r="C176" s="34" t="s">
        <v>429</v>
      </c>
      <c r="D176" s="34" t="s">
        <v>119</v>
      </c>
      <c r="E176" s="34" t="s">
        <v>93</v>
      </c>
      <c r="F176" s="35">
        <v>28</v>
      </c>
      <c r="G176" s="37">
        <v>100</v>
      </c>
      <c r="H176" s="32">
        <f t="shared" si="8"/>
        <v>2800</v>
      </c>
    </row>
    <row r="177" spans="2:8">
      <c r="B177" s="28">
        <v>10253</v>
      </c>
      <c r="C177" s="34" t="s">
        <v>252</v>
      </c>
      <c r="D177" s="34" t="s">
        <v>119</v>
      </c>
      <c r="E177" s="34" t="s">
        <v>444</v>
      </c>
      <c r="F177" s="35">
        <v>24</v>
      </c>
      <c r="G177" s="37">
        <v>100</v>
      </c>
      <c r="H177" s="32">
        <f t="shared" si="8"/>
        <v>2400</v>
      </c>
    </row>
    <row r="178" spans="2:8">
      <c r="B178" s="28">
        <v>10266</v>
      </c>
      <c r="C178" s="34" t="s">
        <v>352</v>
      </c>
      <c r="D178" s="34" t="s">
        <v>232</v>
      </c>
      <c r="E178" s="34" t="s">
        <v>93</v>
      </c>
      <c r="F178" s="35">
        <v>44</v>
      </c>
      <c r="G178" s="37">
        <v>100</v>
      </c>
      <c r="H178" s="32">
        <f t="shared" si="8"/>
        <v>4400</v>
      </c>
    </row>
    <row r="179" spans="2:8">
      <c r="B179" s="28">
        <v>10276</v>
      </c>
      <c r="C179" s="34" t="s">
        <v>100</v>
      </c>
      <c r="D179" s="34" t="s">
        <v>232</v>
      </c>
      <c r="E179" s="34" t="s">
        <v>93</v>
      </c>
      <c r="F179" s="35">
        <v>50</v>
      </c>
      <c r="G179" s="37">
        <v>100</v>
      </c>
      <c r="H179" s="32">
        <f t="shared" si="8"/>
        <v>5000</v>
      </c>
    </row>
    <row r="180" spans="2:8">
      <c r="B180" s="28">
        <v>10287</v>
      </c>
      <c r="C180" s="34" t="s">
        <v>574</v>
      </c>
      <c r="D180" s="34" t="s">
        <v>119</v>
      </c>
      <c r="E180" s="34" t="s">
        <v>93</v>
      </c>
      <c r="F180" s="35">
        <v>21</v>
      </c>
      <c r="G180" s="37">
        <v>100</v>
      </c>
      <c r="H180" s="32">
        <f t="shared" si="8"/>
        <v>2100</v>
      </c>
    </row>
    <row r="181" spans="2:8">
      <c r="B181" s="28">
        <v>10300</v>
      </c>
      <c r="C181" s="34" t="s">
        <v>566</v>
      </c>
      <c r="D181" s="34" t="s">
        <v>119</v>
      </c>
      <c r="E181" s="34" t="s">
        <v>93</v>
      </c>
      <c r="F181" s="35">
        <v>33</v>
      </c>
      <c r="G181" s="37">
        <v>100</v>
      </c>
      <c r="H181" s="32">
        <f t="shared" si="8"/>
        <v>3300</v>
      </c>
    </row>
    <row r="182" spans="2:8">
      <c r="B182" s="28">
        <v>10310</v>
      </c>
      <c r="C182" s="34" t="s">
        <v>566</v>
      </c>
      <c r="D182" s="34" t="s">
        <v>119</v>
      </c>
      <c r="E182" s="34" t="s">
        <v>93</v>
      </c>
      <c r="F182" s="35">
        <v>33</v>
      </c>
      <c r="G182" s="37">
        <v>100</v>
      </c>
      <c r="H182" s="32">
        <f t="shared" si="8"/>
        <v>3300</v>
      </c>
    </row>
    <row r="183" spans="2:8">
      <c r="B183" s="28">
        <v>10320</v>
      </c>
      <c r="C183" s="34" t="s">
        <v>273</v>
      </c>
      <c r="D183" s="34" t="s">
        <v>119</v>
      </c>
      <c r="E183" s="34" t="s">
        <v>93</v>
      </c>
      <c r="F183" s="35">
        <v>31</v>
      </c>
      <c r="G183" s="37">
        <v>100</v>
      </c>
      <c r="H183" s="32">
        <f t="shared" si="8"/>
        <v>3100</v>
      </c>
    </row>
    <row r="184" spans="2:8">
      <c r="B184" s="28">
        <v>10329</v>
      </c>
      <c r="C184" s="34" t="s">
        <v>100</v>
      </c>
      <c r="D184" s="34" t="s">
        <v>104</v>
      </c>
      <c r="E184" s="34" t="s">
        <v>93</v>
      </c>
      <c r="F184" s="35">
        <v>41</v>
      </c>
      <c r="G184" s="37">
        <v>71.47</v>
      </c>
      <c r="H184" s="32">
        <f t="shared" si="8"/>
        <v>2930.27</v>
      </c>
    </row>
    <row r="185" spans="2:8">
      <c r="B185" s="28">
        <v>10341</v>
      </c>
      <c r="C185" s="34" t="s">
        <v>229</v>
      </c>
      <c r="D185" s="34" t="s">
        <v>119</v>
      </c>
      <c r="E185" s="34" t="s">
        <v>93</v>
      </c>
      <c r="F185" s="35">
        <v>45</v>
      </c>
      <c r="G185" s="37">
        <v>79.650000000000006</v>
      </c>
      <c r="H185" s="32">
        <f t="shared" si="8"/>
        <v>3584.2500000000005</v>
      </c>
    </row>
    <row r="186" spans="2:8">
      <c r="B186" s="28">
        <v>10363</v>
      </c>
      <c r="C186" s="34" t="s">
        <v>208</v>
      </c>
      <c r="D186" s="34" t="s">
        <v>104</v>
      </c>
      <c r="E186" s="34" t="s">
        <v>93</v>
      </c>
      <c r="F186" s="35">
        <v>33</v>
      </c>
      <c r="G186" s="37">
        <v>85.39</v>
      </c>
      <c r="H186" s="32">
        <f t="shared" si="8"/>
        <v>2817.87</v>
      </c>
    </row>
    <row r="187" spans="2:8">
      <c r="B187" s="28">
        <v>10375</v>
      </c>
      <c r="C187" s="34" t="s">
        <v>109</v>
      </c>
      <c r="D187" s="34" t="s">
        <v>119</v>
      </c>
      <c r="E187" s="34" t="s">
        <v>93</v>
      </c>
      <c r="F187" s="35">
        <v>45</v>
      </c>
      <c r="G187" s="37">
        <v>76</v>
      </c>
      <c r="H187" s="32">
        <f t="shared" si="8"/>
        <v>3420</v>
      </c>
    </row>
    <row r="188" spans="2:8">
      <c r="B188" s="28">
        <v>10389</v>
      </c>
      <c r="C188" s="34" t="s">
        <v>273</v>
      </c>
      <c r="D188" s="34" t="s">
        <v>104</v>
      </c>
      <c r="E188" s="34" t="s">
        <v>93</v>
      </c>
      <c r="F188" s="35">
        <v>26</v>
      </c>
      <c r="G188" s="37">
        <v>99.04</v>
      </c>
      <c r="H188" s="32">
        <f t="shared" si="8"/>
        <v>2575.04</v>
      </c>
    </row>
    <row r="189" spans="2:8">
      <c r="B189" s="28">
        <v>10419</v>
      </c>
      <c r="C189" s="34" t="s">
        <v>229</v>
      </c>
      <c r="D189" s="34" t="s">
        <v>104</v>
      </c>
      <c r="E189" s="34" t="s">
        <v>93</v>
      </c>
      <c r="F189" s="35">
        <v>12</v>
      </c>
      <c r="G189" s="37">
        <v>100</v>
      </c>
      <c r="H189" s="32">
        <f t="shared" si="8"/>
        <v>1200</v>
      </c>
    </row>
    <row r="190" spans="2:8">
      <c r="B190" s="28">
        <v>10105</v>
      </c>
      <c r="C190" s="34" t="s">
        <v>429</v>
      </c>
      <c r="D190" s="34" t="s">
        <v>232</v>
      </c>
      <c r="E190" s="34" t="s">
        <v>93</v>
      </c>
      <c r="F190" s="35">
        <v>41</v>
      </c>
      <c r="G190" s="37">
        <v>100</v>
      </c>
      <c r="H190" s="32">
        <f t="shared" si="8"/>
        <v>4100</v>
      </c>
    </row>
    <row r="191" spans="2:8">
      <c r="B191" s="28">
        <v>10117</v>
      </c>
      <c r="C191" s="34" t="s">
        <v>287</v>
      </c>
      <c r="D191" s="34" t="s">
        <v>119</v>
      </c>
      <c r="E191" s="34" t="s">
        <v>93</v>
      </c>
      <c r="F191" s="35">
        <v>33</v>
      </c>
      <c r="G191" s="37">
        <v>100</v>
      </c>
      <c r="H191" s="32">
        <f t="shared" si="8"/>
        <v>3300</v>
      </c>
    </row>
    <row r="192" spans="2:8">
      <c r="B192" s="28">
        <v>10127</v>
      </c>
      <c r="C192" s="34" t="s">
        <v>100</v>
      </c>
      <c r="D192" s="34" t="s">
        <v>232</v>
      </c>
      <c r="E192" s="34" t="s">
        <v>93</v>
      </c>
      <c r="F192" s="35">
        <v>46</v>
      </c>
      <c r="G192" s="37">
        <v>100</v>
      </c>
      <c r="H192" s="32">
        <f t="shared" si="8"/>
        <v>4600</v>
      </c>
    </row>
    <row r="193" spans="2:8">
      <c r="B193" s="28">
        <v>10142</v>
      </c>
      <c r="C193" s="34" t="s">
        <v>100</v>
      </c>
      <c r="D193" s="34" t="s">
        <v>232</v>
      </c>
      <c r="E193" s="34" t="s">
        <v>93</v>
      </c>
      <c r="F193" s="35">
        <v>33</v>
      </c>
      <c r="G193" s="37">
        <v>100</v>
      </c>
      <c r="H193" s="32">
        <f t="shared" si="8"/>
        <v>3300</v>
      </c>
    </row>
    <row r="194" spans="2:8">
      <c r="B194" s="28">
        <v>10153</v>
      </c>
      <c r="C194" s="34" t="s">
        <v>261</v>
      </c>
      <c r="D194" s="34" t="s">
        <v>119</v>
      </c>
      <c r="E194" s="34" t="s">
        <v>93</v>
      </c>
      <c r="F194" s="35">
        <v>20</v>
      </c>
      <c r="G194" s="37">
        <v>100</v>
      </c>
      <c r="H194" s="32">
        <f t="shared" si="8"/>
        <v>2000</v>
      </c>
    </row>
    <row r="195" spans="2:8">
      <c r="B195" s="28">
        <v>10165</v>
      </c>
      <c r="C195" s="34" t="s">
        <v>287</v>
      </c>
      <c r="D195" s="34" t="s">
        <v>232</v>
      </c>
      <c r="E195" s="34" t="s">
        <v>93</v>
      </c>
      <c r="F195" s="35">
        <v>44</v>
      </c>
      <c r="G195" s="37">
        <v>100</v>
      </c>
      <c r="H195" s="32">
        <f t="shared" si="8"/>
        <v>4400</v>
      </c>
    </row>
    <row r="196" spans="2:8">
      <c r="B196" s="28">
        <v>10176</v>
      </c>
      <c r="C196" s="34" t="s">
        <v>352</v>
      </c>
      <c r="D196" s="34" t="s">
        <v>232</v>
      </c>
      <c r="E196" s="34" t="s">
        <v>93</v>
      </c>
      <c r="F196" s="35">
        <v>33</v>
      </c>
      <c r="G196" s="37">
        <v>100</v>
      </c>
      <c r="H196" s="32">
        <f t="shared" si="8"/>
        <v>3300</v>
      </c>
    </row>
    <row r="197" spans="2:8">
      <c r="B197" s="28">
        <v>10185</v>
      </c>
      <c r="C197" s="34" t="s">
        <v>100</v>
      </c>
      <c r="D197" s="34" t="s">
        <v>119</v>
      </c>
      <c r="E197" s="34" t="s">
        <v>93</v>
      </c>
      <c r="F197" s="35">
        <v>21</v>
      </c>
      <c r="G197" s="37">
        <v>100</v>
      </c>
      <c r="H197" s="32">
        <f t="shared" ref="H197:H260" si="9">F197*G197</f>
        <v>2100</v>
      </c>
    </row>
    <row r="198" spans="2:8">
      <c r="B198" s="28">
        <v>10196</v>
      </c>
      <c r="C198" s="34" t="s">
        <v>100</v>
      </c>
      <c r="D198" s="34" t="s">
        <v>232</v>
      </c>
      <c r="E198" s="34" t="s">
        <v>93</v>
      </c>
      <c r="F198" s="35">
        <v>47</v>
      </c>
      <c r="G198" s="37">
        <v>100</v>
      </c>
      <c r="H198" s="32">
        <f t="shared" si="9"/>
        <v>4700</v>
      </c>
    </row>
    <row r="199" spans="2:8">
      <c r="B199" s="28">
        <v>10208</v>
      </c>
      <c r="C199" s="34" t="s">
        <v>109</v>
      </c>
      <c r="D199" s="34" t="s">
        <v>232</v>
      </c>
      <c r="E199" s="34" t="s">
        <v>93</v>
      </c>
      <c r="F199" s="35">
        <v>46</v>
      </c>
      <c r="G199" s="37">
        <v>100</v>
      </c>
      <c r="H199" s="32">
        <f t="shared" si="9"/>
        <v>4600</v>
      </c>
    </row>
    <row r="200" spans="2:8">
      <c r="B200" s="28">
        <v>10220</v>
      </c>
      <c r="C200" s="34" t="s">
        <v>614</v>
      </c>
      <c r="D200" s="34" t="s">
        <v>232</v>
      </c>
      <c r="E200" s="34" t="s">
        <v>93</v>
      </c>
      <c r="F200" s="35">
        <v>32</v>
      </c>
      <c r="G200" s="37">
        <v>100</v>
      </c>
      <c r="H200" s="32">
        <f t="shared" si="9"/>
        <v>3200</v>
      </c>
    </row>
    <row r="201" spans="2:8">
      <c r="B201" s="28">
        <v>10231</v>
      </c>
      <c r="C201" s="34" t="s">
        <v>261</v>
      </c>
      <c r="D201" s="34" t="s">
        <v>232</v>
      </c>
      <c r="E201" s="34" t="s">
        <v>93</v>
      </c>
      <c r="F201" s="35">
        <v>42</v>
      </c>
      <c r="G201" s="37">
        <v>100</v>
      </c>
      <c r="H201" s="32">
        <f t="shared" si="9"/>
        <v>4200</v>
      </c>
    </row>
    <row r="202" spans="2:8">
      <c r="B202" s="28">
        <v>10247</v>
      </c>
      <c r="C202" s="34" t="s">
        <v>208</v>
      </c>
      <c r="D202" s="34" t="s">
        <v>232</v>
      </c>
      <c r="E202" s="34" t="s">
        <v>93</v>
      </c>
      <c r="F202" s="35">
        <v>44</v>
      </c>
      <c r="G202" s="37">
        <v>100</v>
      </c>
      <c r="H202" s="32">
        <f t="shared" si="9"/>
        <v>4400</v>
      </c>
    </row>
    <row r="203" spans="2:8">
      <c r="B203" s="28">
        <v>10272</v>
      </c>
      <c r="C203" s="34" t="s">
        <v>100</v>
      </c>
      <c r="D203" s="34" t="s">
        <v>119</v>
      </c>
      <c r="E203" s="34" t="s">
        <v>93</v>
      </c>
      <c r="F203" s="35">
        <v>35</v>
      </c>
      <c r="G203" s="37">
        <v>100</v>
      </c>
      <c r="H203" s="32">
        <f t="shared" si="9"/>
        <v>3500</v>
      </c>
    </row>
    <row r="204" spans="2:8">
      <c r="B204" s="28">
        <v>10282</v>
      </c>
      <c r="C204" s="34" t="s">
        <v>100</v>
      </c>
      <c r="D204" s="34" t="s">
        <v>232</v>
      </c>
      <c r="E204" s="34" t="s">
        <v>93</v>
      </c>
      <c r="F204" s="35">
        <v>41</v>
      </c>
      <c r="G204" s="37">
        <v>100</v>
      </c>
      <c r="H204" s="32">
        <f t="shared" si="9"/>
        <v>4100</v>
      </c>
    </row>
    <row r="205" spans="2:8">
      <c r="B205" s="28">
        <v>10293</v>
      </c>
      <c r="C205" s="34" t="s">
        <v>352</v>
      </c>
      <c r="D205" s="34" t="s">
        <v>232</v>
      </c>
      <c r="E205" s="34" t="s">
        <v>93</v>
      </c>
      <c r="F205" s="35">
        <v>46</v>
      </c>
      <c r="G205" s="37">
        <v>100</v>
      </c>
      <c r="H205" s="32">
        <f t="shared" si="9"/>
        <v>4600</v>
      </c>
    </row>
    <row r="206" spans="2:8">
      <c r="B206" s="28">
        <v>10306</v>
      </c>
      <c r="C206" s="34" t="s">
        <v>252</v>
      </c>
      <c r="D206" s="34" t="s">
        <v>119</v>
      </c>
      <c r="E206" s="34" t="s">
        <v>93</v>
      </c>
      <c r="F206" s="35">
        <v>31</v>
      </c>
      <c r="G206" s="37">
        <v>100</v>
      </c>
      <c r="H206" s="32">
        <f t="shared" si="9"/>
        <v>3100</v>
      </c>
    </row>
    <row r="207" spans="2:8">
      <c r="B207" s="28">
        <v>10314</v>
      </c>
      <c r="C207" s="34" t="s">
        <v>429</v>
      </c>
      <c r="D207" s="34" t="s">
        <v>232</v>
      </c>
      <c r="E207" s="34" t="s">
        <v>93</v>
      </c>
      <c r="F207" s="35">
        <v>38</v>
      </c>
      <c r="G207" s="37">
        <v>100</v>
      </c>
      <c r="H207" s="32">
        <f t="shared" si="9"/>
        <v>3800</v>
      </c>
    </row>
    <row r="208" spans="2:8">
      <c r="B208" s="28">
        <v>10325</v>
      </c>
      <c r="C208" s="34" t="s">
        <v>149</v>
      </c>
      <c r="D208" s="34" t="s">
        <v>104</v>
      </c>
      <c r="E208" s="34" t="s">
        <v>93</v>
      </c>
      <c r="F208" s="35">
        <v>42</v>
      </c>
      <c r="G208" s="37">
        <v>64</v>
      </c>
      <c r="H208" s="32">
        <f t="shared" si="9"/>
        <v>2688</v>
      </c>
    </row>
    <row r="209" spans="2:19">
      <c r="B209" s="28">
        <v>10336</v>
      </c>
      <c r="C209" s="34" t="s">
        <v>109</v>
      </c>
      <c r="D209" s="34" t="s">
        <v>104</v>
      </c>
      <c r="E209" s="34" t="s">
        <v>93</v>
      </c>
      <c r="F209" s="35">
        <v>33</v>
      </c>
      <c r="G209" s="37">
        <v>57.22</v>
      </c>
      <c r="H209" s="32">
        <f t="shared" si="9"/>
        <v>1888.26</v>
      </c>
    </row>
    <row r="210" spans="2:19">
      <c r="B210" s="28">
        <v>10348</v>
      </c>
      <c r="C210" s="34" t="s">
        <v>261</v>
      </c>
      <c r="D210" s="34" t="s">
        <v>104</v>
      </c>
      <c r="E210" s="34" t="s">
        <v>93</v>
      </c>
      <c r="F210" s="35">
        <v>48</v>
      </c>
      <c r="G210" s="37">
        <v>52.36</v>
      </c>
      <c r="H210" s="32">
        <f t="shared" si="9"/>
        <v>2513.2799999999997</v>
      </c>
    </row>
    <row r="211" spans="2:19">
      <c r="B211" s="28">
        <v>10359</v>
      </c>
      <c r="C211" s="34" t="s">
        <v>109</v>
      </c>
      <c r="D211" s="34" t="s">
        <v>119</v>
      </c>
      <c r="E211" s="34" t="s">
        <v>93</v>
      </c>
      <c r="F211" s="35">
        <v>42</v>
      </c>
      <c r="G211" s="37">
        <v>100</v>
      </c>
      <c r="H211" s="32">
        <f t="shared" si="9"/>
        <v>4200</v>
      </c>
    </row>
    <row r="212" spans="2:19">
      <c r="B212" s="28">
        <v>10371</v>
      </c>
      <c r="C212" s="34" t="s">
        <v>100</v>
      </c>
      <c r="D212" s="34" t="s">
        <v>119</v>
      </c>
      <c r="E212" s="34" t="s">
        <v>93</v>
      </c>
      <c r="F212" s="35">
        <v>32</v>
      </c>
      <c r="G212" s="37">
        <v>100</v>
      </c>
      <c r="H212" s="32">
        <f t="shared" si="9"/>
        <v>3200</v>
      </c>
      <c r="S212" s="39"/>
    </row>
    <row r="213" spans="2:19">
      <c r="B213" s="28">
        <v>10382</v>
      </c>
      <c r="C213" s="34" t="s">
        <v>100</v>
      </c>
      <c r="D213" s="34" t="s">
        <v>119</v>
      </c>
      <c r="E213" s="34" t="s">
        <v>93</v>
      </c>
      <c r="F213" s="35">
        <v>34</v>
      </c>
      <c r="G213" s="37">
        <v>100</v>
      </c>
      <c r="H213" s="32">
        <f t="shared" si="9"/>
        <v>3400</v>
      </c>
      <c r="S213" s="39"/>
    </row>
    <row r="214" spans="2:19">
      <c r="B214" s="28">
        <v>10395</v>
      </c>
      <c r="C214" s="34" t="s">
        <v>109</v>
      </c>
      <c r="D214" s="34" t="s">
        <v>104</v>
      </c>
      <c r="E214" s="34" t="s">
        <v>93</v>
      </c>
      <c r="F214" s="35">
        <v>33</v>
      </c>
      <c r="G214" s="37">
        <v>69.12</v>
      </c>
      <c r="H214" s="32">
        <f t="shared" si="9"/>
        <v>2280.96</v>
      </c>
      <c r="S214" s="39"/>
    </row>
    <row r="215" spans="2:19">
      <c r="B215" s="28">
        <v>10413</v>
      </c>
      <c r="C215" s="34" t="s">
        <v>100</v>
      </c>
      <c r="D215" s="34" t="s">
        <v>232</v>
      </c>
      <c r="E215" s="34" t="s">
        <v>93</v>
      </c>
      <c r="F215" s="35">
        <v>36</v>
      </c>
      <c r="G215" s="37">
        <v>100</v>
      </c>
      <c r="H215" s="32">
        <f t="shared" si="9"/>
        <v>3600</v>
      </c>
      <c r="S215" s="39"/>
    </row>
    <row r="216" spans="2:19">
      <c r="B216" s="28">
        <v>10103</v>
      </c>
      <c r="C216" s="34" t="s">
        <v>149</v>
      </c>
      <c r="D216" s="34" t="s">
        <v>119</v>
      </c>
      <c r="E216" s="34" t="s">
        <v>93</v>
      </c>
      <c r="F216" s="35">
        <v>27</v>
      </c>
      <c r="G216" s="37">
        <v>100</v>
      </c>
      <c r="H216" s="32">
        <f t="shared" si="9"/>
        <v>2700</v>
      </c>
      <c r="S216" s="39"/>
    </row>
    <row r="217" spans="2:19">
      <c r="B217" s="28">
        <v>10113</v>
      </c>
      <c r="C217" s="34" t="s">
        <v>100</v>
      </c>
      <c r="D217" s="34" t="s">
        <v>119</v>
      </c>
      <c r="E217" s="34" t="s">
        <v>93</v>
      </c>
      <c r="F217" s="35">
        <v>21</v>
      </c>
      <c r="G217" s="37">
        <v>100</v>
      </c>
      <c r="H217" s="32">
        <f t="shared" si="9"/>
        <v>2100</v>
      </c>
      <c r="S217" s="39"/>
    </row>
    <row r="218" spans="2:19">
      <c r="B218" s="28">
        <v>10126</v>
      </c>
      <c r="C218" s="34" t="s">
        <v>261</v>
      </c>
      <c r="D218" s="34" t="s">
        <v>104</v>
      </c>
      <c r="E218" s="34" t="s">
        <v>93</v>
      </c>
      <c r="F218" s="35">
        <v>21</v>
      </c>
      <c r="G218" s="37">
        <v>100</v>
      </c>
      <c r="H218" s="32">
        <f t="shared" si="9"/>
        <v>2100</v>
      </c>
      <c r="S218" s="39"/>
    </row>
    <row r="219" spans="2:19">
      <c r="B219" s="28">
        <v>10140</v>
      </c>
      <c r="C219" s="34" t="s">
        <v>100</v>
      </c>
      <c r="D219" s="34" t="s">
        <v>119</v>
      </c>
      <c r="E219" s="34" t="s">
        <v>93</v>
      </c>
      <c r="F219" s="35">
        <v>38</v>
      </c>
      <c r="G219" s="37">
        <v>100</v>
      </c>
      <c r="H219" s="32">
        <f t="shared" si="9"/>
        <v>3800</v>
      </c>
      <c r="S219" s="39"/>
    </row>
    <row r="220" spans="2:19">
      <c r="B220" s="28">
        <v>10150</v>
      </c>
      <c r="C220" s="34" t="s">
        <v>287</v>
      </c>
      <c r="D220" s="34" t="s">
        <v>119</v>
      </c>
      <c r="E220" s="34" t="s">
        <v>93</v>
      </c>
      <c r="F220" s="35">
        <v>30</v>
      </c>
      <c r="G220" s="37">
        <v>100</v>
      </c>
      <c r="H220" s="32">
        <f t="shared" si="9"/>
        <v>3000</v>
      </c>
      <c r="S220" s="39"/>
    </row>
    <row r="221" spans="2:19">
      <c r="B221" s="28">
        <v>10164</v>
      </c>
      <c r="C221" s="34" t="s">
        <v>229</v>
      </c>
      <c r="D221" s="34" t="s">
        <v>119</v>
      </c>
      <c r="E221" s="34" t="s">
        <v>526</v>
      </c>
      <c r="F221" s="35">
        <v>49</v>
      </c>
      <c r="G221" s="37">
        <v>100</v>
      </c>
      <c r="H221" s="32">
        <f t="shared" si="9"/>
        <v>4900</v>
      </c>
      <c r="S221" s="39"/>
    </row>
    <row r="222" spans="2:19">
      <c r="B222" s="28">
        <v>10174</v>
      </c>
      <c r="C222" s="34" t="s">
        <v>168</v>
      </c>
      <c r="D222" s="34" t="s">
        <v>119</v>
      </c>
      <c r="E222" s="34" t="s">
        <v>93</v>
      </c>
      <c r="F222" s="35">
        <v>43</v>
      </c>
      <c r="G222" s="37">
        <v>100</v>
      </c>
      <c r="H222" s="32">
        <f t="shared" si="9"/>
        <v>4300</v>
      </c>
      <c r="S222" s="39"/>
    </row>
    <row r="223" spans="2:19">
      <c r="B223" s="28">
        <v>10183</v>
      </c>
      <c r="C223" s="34" t="s">
        <v>100</v>
      </c>
      <c r="D223" s="34" t="s">
        <v>119</v>
      </c>
      <c r="E223" s="34" t="s">
        <v>93</v>
      </c>
      <c r="F223" s="35">
        <v>41</v>
      </c>
      <c r="G223" s="37">
        <v>100</v>
      </c>
      <c r="H223" s="32">
        <f t="shared" si="9"/>
        <v>4100</v>
      </c>
      <c r="S223" s="39"/>
    </row>
    <row r="224" spans="2:19">
      <c r="B224" s="28">
        <v>10194</v>
      </c>
      <c r="C224" s="34" t="s">
        <v>109</v>
      </c>
      <c r="D224" s="34" t="s">
        <v>119</v>
      </c>
      <c r="E224" s="34" t="s">
        <v>93</v>
      </c>
      <c r="F224" s="35">
        <v>38</v>
      </c>
      <c r="G224" s="37">
        <v>100</v>
      </c>
      <c r="H224" s="32">
        <f t="shared" si="9"/>
        <v>3800</v>
      </c>
      <c r="S224" s="39"/>
    </row>
    <row r="225" spans="2:19">
      <c r="B225" s="28">
        <v>10206</v>
      </c>
      <c r="C225" s="34" t="s">
        <v>322</v>
      </c>
      <c r="D225" s="34" t="s">
        <v>119</v>
      </c>
      <c r="E225" s="34" t="s">
        <v>93</v>
      </c>
      <c r="F225" s="35">
        <v>28</v>
      </c>
      <c r="G225" s="37">
        <v>100</v>
      </c>
      <c r="H225" s="32">
        <f t="shared" si="9"/>
        <v>2800</v>
      </c>
      <c r="S225" s="39"/>
    </row>
    <row r="226" spans="2:19">
      <c r="B226" s="28">
        <v>10216</v>
      </c>
      <c r="C226" s="34" t="s">
        <v>109</v>
      </c>
      <c r="D226" s="34" t="s">
        <v>119</v>
      </c>
      <c r="E226" s="34" t="s">
        <v>93</v>
      </c>
      <c r="F226" s="35">
        <v>43</v>
      </c>
      <c r="G226" s="37">
        <v>100</v>
      </c>
      <c r="H226" s="32">
        <f t="shared" si="9"/>
        <v>4300</v>
      </c>
      <c r="S226" s="39"/>
    </row>
    <row r="227" spans="2:19">
      <c r="B227" s="28">
        <v>10229</v>
      </c>
      <c r="C227" s="34" t="s">
        <v>100</v>
      </c>
      <c r="D227" s="34" t="s">
        <v>119</v>
      </c>
      <c r="E227" s="34" t="s">
        <v>93</v>
      </c>
      <c r="F227" s="35">
        <v>25</v>
      </c>
      <c r="G227" s="37">
        <v>100</v>
      </c>
      <c r="H227" s="32">
        <f t="shared" si="9"/>
        <v>2500</v>
      </c>
      <c r="S227" s="39"/>
    </row>
    <row r="228" spans="2:19">
      <c r="B228" s="28">
        <v>10245</v>
      </c>
      <c r="C228" s="34" t="s">
        <v>100</v>
      </c>
      <c r="D228" s="34" t="s">
        <v>119</v>
      </c>
      <c r="E228" s="34" t="s">
        <v>93</v>
      </c>
      <c r="F228" s="35">
        <v>38</v>
      </c>
      <c r="G228" s="37">
        <v>100</v>
      </c>
      <c r="H228" s="32">
        <f t="shared" si="9"/>
        <v>3800</v>
      </c>
      <c r="S228" s="39"/>
    </row>
    <row r="229" spans="2:19">
      <c r="B229" s="28">
        <v>10258</v>
      </c>
      <c r="C229" s="34" t="s">
        <v>288</v>
      </c>
      <c r="D229" s="34" t="s">
        <v>119</v>
      </c>
      <c r="E229" s="34" t="s">
        <v>93</v>
      </c>
      <c r="F229" s="35">
        <v>41</v>
      </c>
      <c r="G229" s="37">
        <v>100</v>
      </c>
      <c r="H229" s="32">
        <f t="shared" si="9"/>
        <v>4100</v>
      </c>
      <c r="S229" s="39"/>
    </row>
    <row r="230" spans="2:19">
      <c r="B230" s="28">
        <v>10270</v>
      </c>
      <c r="C230" s="34" t="s">
        <v>168</v>
      </c>
      <c r="D230" s="34" t="s">
        <v>119</v>
      </c>
      <c r="E230" s="34" t="s">
        <v>93</v>
      </c>
      <c r="F230" s="35">
        <v>28</v>
      </c>
      <c r="G230" s="37">
        <v>100</v>
      </c>
      <c r="H230" s="32">
        <f t="shared" si="9"/>
        <v>2800</v>
      </c>
      <c r="S230" s="39"/>
    </row>
    <row r="231" spans="2:19">
      <c r="B231" s="28">
        <v>10281</v>
      </c>
      <c r="C231" s="34" t="s">
        <v>100</v>
      </c>
      <c r="D231" s="34" t="s">
        <v>104</v>
      </c>
      <c r="E231" s="34" t="s">
        <v>93</v>
      </c>
      <c r="F231" s="35">
        <v>25</v>
      </c>
      <c r="G231" s="37">
        <v>100</v>
      </c>
      <c r="H231" s="32">
        <f t="shared" si="9"/>
        <v>2500</v>
      </c>
      <c r="S231" s="39"/>
    </row>
    <row r="232" spans="2:19">
      <c r="B232" s="28">
        <v>10291</v>
      </c>
      <c r="C232" s="34" t="s">
        <v>273</v>
      </c>
      <c r="D232" s="34" t="s">
        <v>119</v>
      </c>
      <c r="E232" s="34" t="s">
        <v>93</v>
      </c>
      <c r="F232" s="35">
        <v>41</v>
      </c>
      <c r="G232" s="37">
        <v>100</v>
      </c>
      <c r="H232" s="32">
        <f t="shared" si="9"/>
        <v>4100</v>
      </c>
      <c r="S232" s="39"/>
    </row>
    <row r="233" spans="2:19">
      <c r="B233" s="28">
        <v>10304</v>
      </c>
      <c r="C233" s="34" t="s">
        <v>109</v>
      </c>
      <c r="D233" s="34" t="s">
        <v>119</v>
      </c>
      <c r="E233" s="34" t="s">
        <v>93</v>
      </c>
      <c r="F233" s="35">
        <v>39</v>
      </c>
      <c r="G233" s="37">
        <v>100</v>
      </c>
      <c r="H233" s="32">
        <f t="shared" si="9"/>
        <v>3900</v>
      </c>
      <c r="S233" s="39"/>
    </row>
    <row r="234" spans="2:19">
      <c r="B234" s="28">
        <v>10313</v>
      </c>
      <c r="C234" s="34" t="s">
        <v>322</v>
      </c>
      <c r="D234" s="34" t="s">
        <v>104</v>
      </c>
      <c r="E234" s="34" t="s">
        <v>93</v>
      </c>
      <c r="F234" s="35">
        <v>21</v>
      </c>
      <c r="G234" s="37">
        <v>100</v>
      </c>
      <c r="H234" s="32">
        <f t="shared" si="9"/>
        <v>2100</v>
      </c>
      <c r="S234" s="39"/>
    </row>
    <row r="235" spans="2:19">
      <c r="B235" s="28">
        <v>10322</v>
      </c>
      <c r="C235" s="34" t="s">
        <v>100</v>
      </c>
      <c r="D235" s="34" t="s">
        <v>119</v>
      </c>
      <c r="E235" s="34" t="s">
        <v>93</v>
      </c>
      <c r="F235" s="35">
        <v>27</v>
      </c>
      <c r="G235" s="37">
        <v>100</v>
      </c>
      <c r="H235" s="32">
        <f t="shared" si="9"/>
        <v>2700</v>
      </c>
      <c r="S235" s="39"/>
    </row>
    <row r="236" spans="2:19">
      <c r="B236" s="28">
        <v>10333</v>
      </c>
      <c r="C236" s="34" t="s">
        <v>100</v>
      </c>
      <c r="D236" s="34" t="s">
        <v>119</v>
      </c>
      <c r="E236" s="34" t="s">
        <v>93</v>
      </c>
      <c r="F236" s="35">
        <v>33</v>
      </c>
      <c r="G236" s="37">
        <v>99.21</v>
      </c>
      <c r="H236" s="32">
        <f t="shared" si="9"/>
        <v>3273.93</v>
      </c>
      <c r="S236" s="39"/>
    </row>
    <row r="237" spans="2:19">
      <c r="B237" s="28">
        <v>10347</v>
      </c>
      <c r="C237" s="34" t="s">
        <v>168</v>
      </c>
      <c r="D237" s="34" t="s">
        <v>119</v>
      </c>
      <c r="E237" s="34" t="s">
        <v>93</v>
      </c>
      <c r="F237" s="35">
        <v>29</v>
      </c>
      <c r="G237" s="37">
        <v>100</v>
      </c>
      <c r="H237" s="32">
        <f t="shared" si="9"/>
        <v>2900</v>
      </c>
      <c r="S237" s="39"/>
    </row>
    <row r="238" spans="2:19">
      <c r="B238" s="28">
        <v>10357</v>
      </c>
      <c r="C238" s="34" t="s">
        <v>100</v>
      </c>
      <c r="D238" s="34" t="s">
        <v>119</v>
      </c>
      <c r="E238" s="34" t="s">
        <v>93</v>
      </c>
      <c r="F238" s="35">
        <v>49</v>
      </c>
      <c r="G238" s="37">
        <v>100</v>
      </c>
      <c r="H238" s="32">
        <f t="shared" si="9"/>
        <v>4900</v>
      </c>
      <c r="S238" s="39"/>
    </row>
    <row r="239" spans="2:19">
      <c r="B239" s="28">
        <v>10370</v>
      </c>
      <c r="C239" s="34" t="s">
        <v>168</v>
      </c>
      <c r="D239" s="34" t="s">
        <v>232</v>
      </c>
      <c r="E239" s="34" t="s">
        <v>93</v>
      </c>
      <c r="F239" s="35">
        <v>49</v>
      </c>
      <c r="G239" s="37">
        <v>100</v>
      </c>
      <c r="H239" s="32">
        <f t="shared" si="9"/>
        <v>4900</v>
      </c>
      <c r="S239" s="39"/>
    </row>
    <row r="240" spans="2:19">
      <c r="B240" s="28">
        <v>10381</v>
      </c>
      <c r="C240" s="34" t="s">
        <v>100</v>
      </c>
      <c r="D240" s="34" t="s">
        <v>104</v>
      </c>
      <c r="E240" s="34" t="s">
        <v>93</v>
      </c>
      <c r="F240" s="35">
        <v>20</v>
      </c>
      <c r="G240" s="37">
        <v>100</v>
      </c>
      <c r="H240" s="32">
        <f t="shared" si="9"/>
        <v>2000</v>
      </c>
      <c r="S240" s="39"/>
    </row>
    <row r="241" spans="2:19">
      <c r="B241" s="28">
        <v>10391</v>
      </c>
      <c r="C241" s="34" t="s">
        <v>168</v>
      </c>
      <c r="D241" s="34" t="s">
        <v>104</v>
      </c>
      <c r="E241" s="34" t="s">
        <v>93</v>
      </c>
      <c r="F241" s="35">
        <v>39</v>
      </c>
      <c r="G241" s="37">
        <v>63.2</v>
      </c>
      <c r="H241" s="32">
        <f t="shared" si="9"/>
        <v>2464.8000000000002</v>
      </c>
      <c r="S241" s="39"/>
    </row>
    <row r="242" spans="2:19">
      <c r="B242" s="28">
        <v>10411</v>
      </c>
      <c r="C242" s="34" t="s">
        <v>322</v>
      </c>
      <c r="D242" s="34" t="s">
        <v>119</v>
      </c>
      <c r="E242" s="34" t="s">
        <v>93</v>
      </c>
      <c r="F242" s="35">
        <v>40</v>
      </c>
      <c r="G242" s="37">
        <v>100</v>
      </c>
      <c r="H242" s="32">
        <f t="shared" si="9"/>
        <v>4000</v>
      </c>
      <c r="S242" s="39"/>
    </row>
    <row r="243" spans="2:19">
      <c r="B243" s="28">
        <v>10424</v>
      </c>
      <c r="C243" s="34" t="s">
        <v>261</v>
      </c>
      <c r="D243" s="34" t="s">
        <v>232</v>
      </c>
      <c r="E243" s="34" t="s">
        <v>400</v>
      </c>
      <c r="F243" s="35">
        <v>49</v>
      </c>
      <c r="G243" s="37">
        <v>100</v>
      </c>
      <c r="H243" s="32">
        <f t="shared" si="9"/>
        <v>4900</v>
      </c>
      <c r="S243" s="39"/>
    </row>
    <row r="244" spans="2:19">
      <c r="B244" s="28">
        <v>10107</v>
      </c>
      <c r="C244" s="34" t="s">
        <v>100</v>
      </c>
      <c r="D244" s="34" t="s">
        <v>119</v>
      </c>
      <c r="E244" s="34" t="s">
        <v>93</v>
      </c>
      <c r="F244" s="35">
        <v>21</v>
      </c>
      <c r="G244" s="37">
        <v>100</v>
      </c>
      <c r="H244" s="32">
        <f t="shared" si="9"/>
        <v>2100</v>
      </c>
      <c r="S244" s="39"/>
    </row>
    <row r="245" spans="2:19">
      <c r="B245" s="28">
        <v>10121</v>
      </c>
      <c r="C245" s="34" t="s">
        <v>109</v>
      </c>
      <c r="D245" s="34" t="s">
        <v>232</v>
      </c>
      <c r="E245" s="34" t="s">
        <v>93</v>
      </c>
      <c r="F245" s="35">
        <v>50</v>
      </c>
      <c r="G245" s="37">
        <v>100</v>
      </c>
      <c r="H245" s="32">
        <f t="shared" si="9"/>
        <v>5000</v>
      </c>
      <c r="S245" s="39"/>
    </row>
    <row r="246" spans="2:19">
      <c r="B246" s="28">
        <v>10134</v>
      </c>
      <c r="C246" s="34" t="s">
        <v>109</v>
      </c>
      <c r="D246" s="34" t="s">
        <v>104</v>
      </c>
      <c r="E246" s="34" t="s">
        <v>93</v>
      </c>
      <c r="F246" s="35">
        <v>20</v>
      </c>
      <c r="G246" s="37">
        <v>100</v>
      </c>
      <c r="H246" s="32">
        <f t="shared" si="9"/>
        <v>2000</v>
      </c>
      <c r="S246" s="39"/>
    </row>
    <row r="247" spans="2:19">
      <c r="B247" s="28">
        <v>10145</v>
      </c>
      <c r="C247" s="34" t="s">
        <v>100</v>
      </c>
      <c r="D247" s="34" t="s">
        <v>232</v>
      </c>
      <c r="E247" s="34" t="s">
        <v>93</v>
      </c>
      <c r="F247" s="35">
        <v>49</v>
      </c>
      <c r="G247" s="37">
        <v>100</v>
      </c>
      <c r="H247" s="32">
        <f t="shared" si="9"/>
        <v>4900</v>
      </c>
      <c r="S247" s="39"/>
    </row>
    <row r="248" spans="2:19">
      <c r="B248" s="28">
        <v>10159</v>
      </c>
      <c r="C248" s="34" t="s">
        <v>100</v>
      </c>
      <c r="D248" s="34" t="s">
        <v>119</v>
      </c>
      <c r="E248" s="34" t="s">
        <v>93</v>
      </c>
      <c r="F248" s="35">
        <v>38</v>
      </c>
      <c r="G248" s="37">
        <v>100</v>
      </c>
      <c r="H248" s="32">
        <f t="shared" si="9"/>
        <v>3800</v>
      </c>
      <c r="S248" s="39"/>
    </row>
    <row r="249" spans="2:19">
      <c r="B249" s="28">
        <v>10169</v>
      </c>
      <c r="C249" s="34" t="s">
        <v>168</v>
      </c>
      <c r="D249" s="34" t="s">
        <v>119</v>
      </c>
      <c r="E249" s="34" t="s">
        <v>93</v>
      </c>
      <c r="F249" s="35">
        <v>35</v>
      </c>
      <c r="G249" s="37">
        <v>100</v>
      </c>
      <c r="H249" s="32">
        <f t="shared" si="9"/>
        <v>3500</v>
      </c>
      <c r="S249" s="39"/>
    </row>
    <row r="250" spans="2:19">
      <c r="B250" s="28">
        <v>10180</v>
      </c>
      <c r="C250" s="34" t="s">
        <v>109</v>
      </c>
      <c r="D250" s="34" t="s">
        <v>119</v>
      </c>
      <c r="E250" s="34" t="s">
        <v>93</v>
      </c>
      <c r="F250" s="35">
        <v>40</v>
      </c>
      <c r="G250" s="37">
        <v>100</v>
      </c>
      <c r="H250" s="32">
        <f t="shared" si="9"/>
        <v>4000</v>
      </c>
      <c r="S250" s="39"/>
    </row>
    <row r="251" spans="2:19">
      <c r="B251" s="28">
        <v>10189</v>
      </c>
      <c r="C251" s="34" t="s">
        <v>100</v>
      </c>
      <c r="D251" s="34" t="s">
        <v>119</v>
      </c>
      <c r="E251" s="34" t="s">
        <v>93</v>
      </c>
      <c r="F251" s="35">
        <v>28</v>
      </c>
      <c r="G251" s="37">
        <v>100</v>
      </c>
      <c r="H251" s="32">
        <f t="shared" si="9"/>
        <v>2800</v>
      </c>
      <c r="S251" s="39"/>
    </row>
    <row r="252" spans="2:19">
      <c r="B252" s="28">
        <v>10201</v>
      </c>
      <c r="C252" s="34" t="s">
        <v>100</v>
      </c>
      <c r="D252" s="34" t="s">
        <v>119</v>
      </c>
      <c r="E252" s="34" t="s">
        <v>93</v>
      </c>
      <c r="F252" s="35">
        <v>25</v>
      </c>
      <c r="G252" s="37">
        <v>100</v>
      </c>
      <c r="H252" s="32">
        <f t="shared" si="9"/>
        <v>2500</v>
      </c>
      <c r="S252" s="39"/>
    </row>
    <row r="253" spans="2:19">
      <c r="B253" s="28">
        <v>10211</v>
      </c>
      <c r="C253" s="34" t="s">
        <v>109</v>
      </c>
      <c r="D253" s="34" t="s">
        <v>119</v>
      </c>
      <c r="E253" s="34" t="s">
        <v>93</v>
      </c>
      <c r="F253" s="35">
        <v>36</v>
      </c>
      <c r="G253" s="37">
        <v>100</v>
      </c>
      <c r="H253" s="32">
        <f t="shared" si="9"/>
        <v>3600</v>
      </c>
    </row>
    <row r="254" spans="2:19">
      <c r="B254" s="28">
        <v>10224</v>
      </c>
      <c r="C254" s="34" t="s">
        <v>109</v>
      </c>
      <c r="D254" s="34" t="s">
        <v>119</v>
      </c>
      <c r="E254" s="34" t="s">
        <v>93</v>
      </c>
      <c r="F254" s="35">
        <v>43</v>
      </c>
      <c r="G254" s="37">
        <v>100</v>
      </c>
      <c r="H254" s="32">
        <f t="shared" si="9"/>
        <v>4300</v>
      </c>
    </row>
    <row r="255" spans="2:19">
      <c r="B255" s="28">
        <v>10237</v>
      </c>
      <c r="C255" s="34" t="s">
        <v>100</v>
      </c>
      <c r="D255" s="34" t="s">
        <v>119</v>
      </c>
      <c r="E255" s="34" t="s">
        <v>93</v>
      </c>
      <c r="F255" s="35">
        <v>32</v>
      </c>
      <c r="G255" s="37">
        <v>100</v>
      </c>
      <c r="H255" s="32">
        <f t="shared" si="9"/>
        <v>3200</v>
      </c>
    </row>
    <row r="256" spans="2:19">
      <c r="B256" s="28">
        <v>10251</v>
      </c>
      <c r="C256" s="34" t="s">
        <v>100</v>
      </c>
      <c r="D256" s="34" t="s">
        <v>232</v>
      </c>
      <c r="E256" s="34" t="s">
        <v>93</v>
      </c>
      <c r="F256" s="35">
        <v>46</v>
      </c>
      <c r="G256" s="37">
        <v>100</v>
      </c>
      <c r="H256" s="32">
        <f t="shared" si="9"/>
        <v>4600</v>
      </c>
    </row>
    <row r="257" spans="2:8">
      <c r="B257" s="28">
        <v>10263</v>
      </c>
      <c r="C257" s="34" t="s">
        <v>100</v>
      </c>
      <c r="D257" s="34" t="s">
        <v>119</v>
      </c>
      <c r="E257" s="34" t="s">
        <v>93</v>
      </c>
      <c r="F257" s="35">
        <v>48</v>
      </c>
      <c r="G257" s="37">
        <v>100</v>
      </c>
      <c r="H257" s="32">
        <f t="shared" si="9"/>
        <v>4800</v>
      </c>
    </row>
    <row r="258" spans="2:8">
      <c r="B258" s="28">
        <v>10276</v>
      </c>
      <c r="C258" s="34" t="s">
        <v>100</v>
      </c>
      <c r="D258" s="34" t="s">
        <v>119</v>
      </c>
      <c r="E258" s="34" t="s">
        <v>93</v>
      </c>
      <c r="F258" s="35">
        <v>43</v>
      </c>
      <c r="G258" s="37">
        <v>100</v>
      </c>
      <c r="H258" s="32">
        <f t="shared" si="9"/>
        <v>4300</v>
      </c>
    </row>
    <row r="259" spans="2:8">
      <c r="B259" s="28">
        <v>10285</v>
      </c>
      <c r="C259" s="34" t="s">
        <v>100</v>
      </c>
      <c r="D259" s="34" t="s">
        <v>119</v>
      </c>
      <c r="E259" s="34" t="s">
        <v>93</v>
      </c>
      <c r="F259" s="35">
        <v>49</v>
      </c>
      <c r="G259" s="37">
        <v>100</v>
      </c>
      <c r="H259" s="32">
        <f t="shared" si="9"/>
        <v>4900</v>
      </c>
    </row>
    <row r="260" spans="2:8">
      <c r="B260" s="28">
        <v>10299</v>
      </c>
      <c r="C260" s="34" t="s">
        <v>208</v>
      </c>
      <c r="D260" s="34" t="s">
        <v>119</v>
      </c>
      <c r="E260" s="34" t="s">
        <v>93</v>
      </c>
      <c r="F260" s="35">
        <v>24</v>
      </c>
      <c r="G260" s="37">
        <v>100</v>
      </c>
      <c r="H260" s="32">
        <f t="shared" si="9"/>
        <v>2400</v>
      </c>
    </row>
    <row r="261" spans="2:8">
      <c r="B261" s="28">
        <v>10309</v>
      </c>
      <c r="C261" s="34" t="s">
        <v>149</v>
      </c>
      <c r="D261" s="34" t="s">
        <v>119</v>
      </c>
      <c r="E261" s="34" t="s">
        <v>93</v>
      </c>
      <c r="F261" s="35">
        <v>26</v>
      </c>
      <c r="G261" s="37">
        <v>100</v>
      </c>
      <c r="H261" s="32">
        <f t="shared" ref="H261:H324" si="10">F261*G261</f>
        <v>2600</v>
      </c>
    </row>
    <row r="262" spans="2:8">
      <c r="B262" s="28">
        <v>10319</v>
      </c>
      <c r="C262" s="34" t="s">
        <v>100</v>
      </c>
      <c r="D262" s="34" t="s">
        <v>119</v>
      </c>
      <c r="E262" s="34" t="s">
        <v>93</v>
      </c>
      <c r="F262" s="35">
        <v>30</v>
      </c>
      <c r="G262" s="37">
        <v>100</v>
      </c>
      <c r="H262" s="32">
        <f t="shared" si="10"/>
        <v>3000</v>
      </c>
    </row>
    <row r="263" spans="2:8">
      <c r="B263" s="28">
        <v>10329</v>
      </c>
      <c r="C263" s="34" t="s">
        <v>100</v>
      </c>
      <c r="D263" s="34" t="s">
        <v>119</v>
      </c>
      <c r="E263" s="34" t="s">
        <v>93</v>
      </c>
      <c r="F263" s="35">
        <v>24</v>
      </c>
      <c r="G263" s="37">
        <v>100</v>
      </c>
      <c r="H263" s="32">
        <f t="shared" si="10"/>
        <v>2400</v>
      </c>
    </row>
    <row r="264" spans="2:8">
      <c r="B264" s="28">
        <v>10341</v>
      </c>
      <c r="C264" s="34" t="s">
        <v>229</v>
      </c>
      <c r="D264" s="34" t="s">
        <v>232</v>
      </c>
      <c r="E264" s="34" t="s">
        <v>93</v>
      </c>
      <c r="F264" s="35">
        <v>55</v>
      </c>
      <c r="G264" s="37">
        <v>100</v>
      </c>
      <c r="H264" s="32">
        <f t="shared" si="10"/>
        <v>5500</v>
      </c>
    </row>
    <row r="265" spans="2:8">
      <c r="B265" s="28">
        <v>10362</v>
      </c>
      <c r="C265" s="34" t="s">
        <v>100</v>
      </c>
      <c r="D265" s="34" t="s">
        <v>119</v>
      </c>
      <c r="E265" s="34" t="s">
        <v>93</v>
      </c>
      <c r="F265" s="35">
        <v>22</v>
      </c>
      <c r="G265" s="37">
        <v>100</v>
      </c>
      <c r="H265" s="32">
        <f t="shared" si="10"/>
        <v>2200</v>
      </c>
    </row>
    <row r="266" spans="2:8">
      <c r="B266" s="28">
        <v>10375</v>
      </c>
      <c r="C266" s="34" t="s">
        <v>109</v>
      </c>
      <c r="D266" s="34" t="s">
        <v>119</v>
      </c>
      <c r="E266" s="34" t="s">
        <v>93</v>
      </c>
      <c r="F266" s="35">
        <v>49</v>
      </c>
      <c r="G266" s="37">
        <v>78.92</v>
      </c>
      <c r="H266" s="32">
        <f t="shared" si="10"/>
        <v>3867.08</v>
      </c>
    </row>
    <row r="267" spans="2:8">
      <c r="B267" s="28">
        <v>10388</v>
      </c>
      <c r="C267" s="34" t="s">
        <v>100</v>
      </c>
      <c r="D267" s="34" t="s">
        <v>119</v>
      </c>
      <c r="E267" s="34" t="s">
        <v>93</v>
      </c>
      <c r="F267" s="35">
        <v>44</v>
      </c>
      <c r="G267" s="37">
        <v>100</v>
      </c>
      <c r="H267" s="32">
        <f t="shared" si="10"/>
        <v>4400</v>
      </c>
    </row>
    <row r="268" spans="2:8">
      <c r="B268" s="28">
        <v>10403</v>
      </c>
      <c r="C268" s="34" t="s">
        <v>252</v>
      </c>
      <c r="D268" s="34" t="s">
        <v>232</v>
      </c>
      <c r="E268" s="34" t="s">
        <v>93</v>
      </c>
      <c r="F268" s="35">
        <v>66</v>
      </c>
      <c r="G268" s="37">
        <v>100</v>
      </c>
      <c r="H268" s="32">
        <f t="shared" si="10"/>
        <v>6600</v>
      </c>
    </row>
    <row r="269" spans="2:8">
      <c r="B269" s="28">
        <v>10417</v>
      </c>
      <c r="C269" s="34" t="s">
        <v>261</v>
      </c>
      <c r="D269" s="34" t="s">
        <v>119</v>
      </c>
      <c r="E269" s="34" t="s">
        <v>256</v>
      </c>
      <c r="F269" s="35">
        <v>21</v>
      </c>
      <c r="G269" s="37">
        <v>100</v>
      </c>
      <c r="H269" s="32">
        <f t="shared" si="10"/>
        <v>2100</v>
      </c>
    </row>
    <row r="270" spans="2:8">
      <c r="B270" s="28">
        <v>10104</v>
      </c>
      <c r="C270" s="34" t="s">
        <v>261</v>
      </c>
      <c r="D270" s="34" t="s">
        <v>119</v>
      </c>
      <c r="E270" s="34" t="s">
        <v>93</v>
      </c>
      <c r="F270" s="35">
        <v>34</v>
      </c>
      <c r="G270" s="37">
        <v>100</v>
      </c>
      <c r="H270" s="32">
        <f t="shared" si="10"/>
        <v>3400</v>
      </c>
    </row>
    <row r="271" spans="2:8">
      <c r="B271" s="28">
        <v>10117</v>
      </c>
      <c r="C271" s="34" t="s">
        <v>287</v>
      </c>
      <c r="D271" s="34" t="s">
        <v>119</v>
      </c>
      <c r="E271" s="34" t="s">
        <v>93</v>
      </c>
      <c r="F271" s="35">
        <v>43</v>
      </c>
      <c r="G271" s="37">
        <v>100</v>
      </c>
      <c r="H271" s="32">
        <f t="shared" si="10"/>
        <v>4300</v>
      </c>
    </row>
    <row r="272" spans="2:8">
      <c r="B272" s="28">
        <v>10127</v>
      </c>
      <c r="C272" s="34" t="s">
        <v>100</v>
      </c>
      <c r="D272" s="34" t="s">
        <v>232</v>
      </c>
      <c r="E272" s="34" t="s">
        <v>93</v>
      </c>
      <c r="F272" s="35">
        <v>46</v>
      </c>
      <c r="G272" s="37">
        <v>100</v>
      </c>
      <c r="H272" s="32">
        <f t="shared" si="10"/>
        <v>4600</v>
      </c>
    </row>
    <row r="273" spans="2:8">
      <c r="B273" s="28">
        <v>10142</v>
      </c>
      <c r="C273" s="34" t="s">
        <v>100</v>
      </c>
      <c r="D273" s="34" t="s">
        <v>119</v>
      </c>
      <c r="E273" s="34" t="s">
        <v>93</v>
      </c>
      <c r="F273" s="35">
        <v>33</v>
      </c>
      <c r="G273" s="37">
        <v>100</v>
      </c>
      <c r="H273" s="32">
        <f t="shared" si="10"/>
        <v>3300</v>
      </c>
    </row>
    <row r="274" spans="2:8">
      <c r="B274" s="28">
        <v>10153</v>
      </c>
      <c r="C274" s="34" t="s">
        <v>261</v>
      </c>
      <c r="D274" s="34" t="s">
        <v>119</v>
      </c>
      <c r="E274" s="34" t="s">
        <v>93</v>
      </c>
      <c r="F274" s="35">
        <v>42</v>
      </c>
      <c r="G274" s="37">
        <v>100</v>
      </c>
      <c r="H274" s="32">
        <f t="shared" si="10"/>
        <v>4200</v>
      </c>
    </row>
    <row r="275" spans="2:8">
      <c r="B275" s="28">
        <v>10165</v>
      </c>
      <c r="C275" s="34" t="s">
        <v>287</v>
      </c>
      <c r="D275" s="34" t="s">
        <v>119</v>
      </c>
      <c r="E275" s="34" t="s">
        <v>93</v>
      </c>
      <c r="F275" s="35">
        <v>34</v>
      </c>
      <c r="G275" s="37">
        <v>100</v>
      </c>
      <c r="H275" s="32">
        <f t="shared" si="10"/>
        <v>3400</v>
      </c>
    </row>
    <row r="276" spans="2:8">
      <c r="B276" s="28">
        <v>10176</v>
      </c>
      <c r="C276" s="34" t="s">
        <v>352</v>
      </c>
      <c r="D276" s="34" t="s">
        <v>232</v>
      </c>
      <c r="E276" s="34" t="s">
        <v>93</v>
      </c>
      <c r="F276" s="35">
        <v>47</v>
      </c>
      <c r="G276" s="37">
        <v>100</v>
      </c>
      <c r="H276" s="32">
        <f t="shared" si="10"/>
        <v>4700</v>
      </c>
    </row>
    <row r="277" spans="2:8">
      <c r="B277" s="28">
        <v>10185</v>
      </c>
      <c r="C277" s="34" t="s">
        <v>100</v>
      </c>
      <c r="D277" s="34" t="s">
        <v>119</v>
      </c>
      <c r="E277" s="34" t="s">
        <v>93</v>
      </c>
      <c r="F277" s="35">
        <v>33</v>
      </c>
      <c r="G277" s="37">
        <v>100</v>
      </c>
      <c r="H277" s="32">
        <f t="shared" si="10"/>
        <v>3300</v>
      </c>
    </row>
    <row r="278" spans="2:8">
      <c r="B278" s="28">
        <v>10196</v>
      </c>
      <c r="C278" s="34" t="s">
        <v>100</v>
      </c>
      <c r="D278" s="34" t="s">
        <v>119</v>
      </c>
      <c r="E278" s="34" t="s">
        <v>93</v>
      </c>
      <c r="F278" s="35">
        <v>24</v>
      </c>
      <c r="G278" s="37">
        <v>100</v>
      </c>
      <c r="H278" s="32">
        <f t="shared" si="10"/>
        <v>2400</v>
      </c>
    </row>
    <row r="279" spans="2:8">
      <c r="B279" s="28">
        <v>10208</v>
      </c>
      <c r="C279" s="34" t="s">
        <v>109</v>
      </c>
      <c r="D279" s="34" t="s">
        <v>119</v>
      </c>
      <c r="E279" s="34" t="s">
        <v>93</v>
      </c>
      <c r="F279" s="35">
        <v>26</v>
      </c>
      <c r="G279" s="37">
        <v>100</v>
      </c>
      <c r="H279" s="32">
        <f t="shared" si="10"/>
        <v>2600</v>
      </c>
    </row>
    <row r="280" spans="2:8">
      <c r="B280" s="28">
        <v>10220</v>
      </c>
      <c r="C280" s="34" t="s">
        <v>614</v>
      </c>
      <c r="D280" s="34" t="s">
        <v>119</v>
      </c>
      <c r="E280" s="34" t="s">
        <v>93</v>
      </c>
      <c r="F280" s="35">
        <v>30</v>
      </c>
      <c r="G280" s="37">
        <v>100</v>
      </c>
      <c r="H280" s="32">
        <f t="shared" si="10"/>
        <v>3000</v>
      </c>
    </row>
    <row r="281" spans="2:8">
      <c r="B281" s="28">
        <v>10230</v>
      </c>
      <c r="C281" s="34" t="s">
        <v>566</v>
      </c>
      <c r="D281" s="34" t="s">
        <v>232</v>
      </c>
      <c r="E281" s="34" t="s">
        <v>93</v>
      </c>
      <c r="F281" s="35">
        <v>43</v>
      </c>
      <c r="G281" s="37">
        <v>100</v>
      </c>
      <c r="H281" s="32">
        <f t="shared" si="10"/>
        <v>4300</v>
      </c>
    </row>
    <row r="282" spans="2:8">
      <c r="B282" s="28">
        <v>10247</v>
      </c>
      <c r="C282" s="34" t="s">
        <v>208</v>
      </c>
      <c r="D282" s="34" t="s">
        <v>119</v>
      </c>
      <c r="E282" s="34" t="s">
        <v>93</v>
      </c>
      <c r="F282" s="35">
        <v>25</v>
      </c>
      <c r="G282" s="37">
        <v>100</v>
      </c>
      <c r="H282" s="32">
        <f t="shared" si="10"/>
        <v>2500</v>
      </c>
    </row>
    <row r="283" spans="2:8">
      <c r="B283" s="28">
        <v>10272</v>
      </c>
      <c r="C283" s="34" t="s">
        <v>100</v>
      </c>
      <c r="D283" s="34" t="s">
        <v>119</v>
      </c>
      <c r="E283" s="34" t="s">
        <v>93</v>
      </c>
      <c r="F283" s="35">
        <v>27</v>
      </c>
      <c r="G283" s="37">
        <v>100</v>
      </c>
      <c r="H283" s="32">
        <f t="shared" si="10"/>
        <v>2700</v>
      </c>
    </row>
    <row r="284" spans="2:8">
      <c r="B284" s="28">
        <v>10282</v>
      </c>
      <c r="C284" s="34" t="s">
        <v>100</v>
      </c>
      <c r="D284" s="34" t="s">
        <v>119</v>
      </c>
      <c r="E284" s="34" t="s">
        <v>93</v>
      </c>
      <c r="F284" s="35">
        <v>27</v>
      </c>
      <c r="G284" s="37">
        <v>100</v>
      </c>
      <c r="H284" s="32">
        <f t="shared" si="10"/>
        <v>2700</v>
      </c>
    </row>
    <row r="285" spans="2:8">
      <c r="B285" s="28">
        <v>10293</v>
      </c>
      <c r="C285" s="34" t="s">
        <v>352</v>
      </c>
      <c r="D285" s="34" t="s">
        <v>119</v>
      </c>
      <c r="E285" s="34" t="s">
        <v>93</v>
      </c>
      <c r="F285" s="35">
        <v>24</v>
      </c>
      <c r="G285" s="37">
        <v>100</v>
      </c>
      <c r="H285" s="32">
        <f t="shared" si="10"/>
        <v>2400</v>
      </c>
    </row>
    <row r="286" spans="2:8">
      <c r="B286" s="28">
        <v>10306</v>
      </c>
      <c r="C286" s="34" t="s">
        <v>252</v>
      </c>
      <c r="D286" s="34" t="s">
        <v>119</v>
      </c>
      <c r="E286" s="34" t="s">
        <v>93</v>
      </c>
      <c r="F286" s="35">
        <v>34</v>
      </c>
      <c r="G286" s="37">
        <v>100</v>
      </c>
      <c r="H286" s="32">
        <f t="shared" si="10"/>
        <v>3400</v>
      </c>
    </row>
    <row r="287" spans="2:8">
      <c r="B287" s="28">
        <v>10314</v>
      </c>
      <c r="C287" s="34" t="s">
        <v>429</v>
      </c>
      <c r="D287" s="34" t="s">
        <v>119</v>
      </c>
      <c r="E287" s="34" t="s">
        <v>93</v>
      </c>
      <c r="F287" s="35">
        <v>46</v>
      </c>
      <c r="G287" s="37">
        <v>100</v>
      </c>
      <c r="H287" s="32">
        <f t="shared" si="10"/>
        <v>4600</v>
      </c>
    </row>
    <row r="288" spans="2:8">
      <c r="B288" s="28">
        <v>10324</v>
      </c>
      <c r="C288" s="34" t="s">
        <v>100</v>
      </c>
      <c r="D288" s="34" t="s">
        <v>104</v>
      </c>
      <c r="E288" s="34" t="s">
        <v>93</v>
      </c>
      <c r="F288" s="35">
        <v>27</v>
      </c>
      <c r="G288" s="37">
        <v>54.33</v>
      </c>
      <c r="H288" s="32">
        <f t="shared" si="10"/>
        <v>1466.9099999999999</v>
      </c>
    </row>
    <row r="289" spans="2:8">
      <c r="B289" s="28">
        <v>10336</v>
      </c>
      <c r="C289" s="34" t="s">
        <v>109</v>
      </c>
      <c r="D289" s="34" t="s">
        <v>119</v>
      </c>
      <c r="E289" s="34" t="s">
        <v>93</v>
      </c>
      <c r="F289" s="35">
        <v>33</v>
      </c>
      <c r="G289" s="37">
        <v>100</v>
      </c>
      <c r="H289" s="32">
        <f t="shared" si="10"/>
        <v>3300</v>
      </c>
    </row>
    <row r="290" spans="2:8">
      <c r="B290" s="28">
        <v>10348</v>
      </c>
      <c r="C290" s="34" t="s">
        <v>261</v>
      </c>
      <c r="D290" s="34" t="s">
        <v>119</v>
      </c>
      <c r="E290" s="34" t="s">
        <v>93</v>
      </c>
      <c r="F290" s="35">
        <v>47</v>
      </c>
      <c r="G290" s="37">
        <v>100</v>
      </c>
      <c r="H290" s="32">
        <f t="shared" si="10"/>
        <v>4700</v>
      </c>
    </row>
    <row r="291" spans="2:8">
      <c r="B291" s="28">
        <v>10358</v>
      </c>
      <c r="C291" s="34" t="s">
        <v>261</v>
      </c>
      <c r="D291" s="34" t="s">
        <v>104</v>
      </c>
      <c r="E291" s="34" t="s">
        <v>93</v>
      </c>
      <c r="F291" s="35">
        <v>49</v>
      </c>
      <c r="G291" s="37">
        <v>55.34</v>
      </c>
      <c r="H291" s="32">
        <f t="shared" si="10"/>
        <v>2711.6600000000003</v>
      </c>
    </row>
    <row r="292" spans="2:8">
      <c r="B292" s="28">
        <v>10372</v>
      </c>
      <c r="C292" s="34" t="s">
        <v>288</v>
      </c>
      <c r="D292" s="34" t="s">
        <v>119</v>
      </c>
      <c r="E292" s="34" t="s">
        <v>93</v>
      </c>
      <c r="F292" s="35">
        <v>40</v>
      </c>
      <c r="G292" s="37">
        <v>100</v>
      </c>
      <c r="H292" s="32">
        <f t="shared" si="10"/>
        <v>4000</v>
      </c>
    </row>
    <row r="293" spans="2:8">
      <c r="B293" s="28">
        <v>10382</v>
      </c>
      <c r="C293" s="34" t="s">
        <v>100</v>
      </c>
      <c r="D293" s="34" t="s">
        <v>119</v>
      </c>
      <c r="E293" s="34" t="s">
        <v>93</v>
      </c>
      <c r="F293" s="35">
        <v>37</v>
      </c>
      <c r="G293" s="37">
        <v>100</v>
      </c>
      <c r="H293" s="32">
        <f t="shared" si="10"/>
        <v>3700</v>
      </c>
    </row>
    <row r="294" spans="2:8">
      <c r="B294" s="28">
        <v>10413</v>
      </c>
      <c r="C294" s="34" t="s">
        <v>100</v>
      </c>
      <c r="D294" s="34" t="s">
        <v>232</v>
      </c>
      <c r="E294" s="34" t="s">
        <v>93</v>
      </c>
      <c r="F294" s="35">
        <v>47</v>
      </c>
      <c r="G294" s="37">
        <v>100</v>
      </c>
      <c r="H294" s="32">
        <f t="shared" si="10"/>
        <v>4700</v>
      </c>
    </row>
    <row r="295" spans="2:8">
      <c r="B295" s="28">
        <v>10108</v>
      </c>
      <c r="C295" s="34" t="s">
        <v>552</v>
      </c>
      <c r="D295" s="34" t="s">
        <v>119</v>
      </c>
      <c r="E295" s="34" t="s">
        <v>93</v>
      </c>
      <c r="F295" s="35">
        <v>45</v>
      </c>
      <c r="G295" s="37">
        <v>100</v>
      </c>
      <c r="H295" s="32">
        <f t="shared" si="10"/>
        <v>4500</v>
      </c>
    </row>
    <row r="296" spans="2:8">
      <c r="B296" s="28">
        <v>10122</v>
      </c>
      <c r="C296" s="34" t="s">
        <v>109</v>
      </c>
      <c r="D296" s="34" t="s">
        <v>119</v>
      </c>
      <c r="E296" s="34" t="s">
        <v>93</v>
      </c>
      <c r="F296" s="35">
        <v>37</v>
      </c>
      <c r="G296" s="37">
        <v>99.82</v>
      </c>
      <c r="H296" s="32">
        <f t="shared" si="10"/>
        <v>3693.3399999999997</v>
      </c>
    </row>
    <row r="297" spans="2:8">
      <c r="B297" s="28">
        <v>10135</v>
      </c>
      <c r="C297" s="34" t="s">
        <v>100</v>
      </c>
      <c r="D297" s="34" t="s">
        <v>119</v>
      </c>
      <c r="E297" s="34" t="s">
        <v>93</v>
      </c>
      <c r="F297" s="35">
        <v>48</v>
      </c>
      <c r="G297" s="37">
        <v>100</v>
      </c>
      <c r="H297" s="32">
        <f t="shared" si="10"/>
        <v>4800</v>
      </c>
    </row>
    <row r="298" spans="2:8">
      <c r="B298" s="28">
        <v>10147</v>
      </c>
      <c r="C298" s="34" t="s">
        <v>100</v>
      </c>
      <c r="D298" s="34" t="s">
        <v>119</v>
      </c>
      <c r="E298" s="34" t="s">
        <v>93</v>
      </c>
      <c r="F298" s="35">
        <v>31</v>
      </c>
      <c r="G298" s="37">
        <v>100</v>
      </c>
      <c r="H298" s="32">
        <f t="shared" si="10"/>
        <v>3100</v>
      </c>
    </row>
    <row r="299" spans="2:8">
      <c r="B299" s="28">
        <v>10160</v>
      </c>
      <c r="C299" s="34" t="s">
        <v>100</v>
      </c>
      <c r="D299" s="34" t="s">
        <v>119</v>
      </c>
      <c r="E299" s="34" t="s">
        <v>93</v>
      </c>
      <c r="F299" s="35">
        <v>46</v>
      </c>
      <c r="G299" s="37">
        <v>100</v>
      </c>
      <c r="H299" s="32">
        <f t="shared" si="10"/>
        <v>4600</v>
      </c>
    </row>
    <row r="300" spans="2:8">
      <c r="B300" s="28">
        <v>10170</v>
      </c>
      <c r="C300" s="34" t="s">
        <v>229</v>
      </c>
      <c r="D300" s="34" t="s">
        <v>119</v>
      </c>
      <c r="E300" s="34" t="s">
        <v>93</v>
      </c>
      <c r="F300" s="35">
        <v>47</v>
      </c>
      <c r="G300" s="37">
        <v>100</v>
      </c>
      <c r="H300" s="32">
        <f t="shared" si="10"/>
        <v>4700</v>
      </c>
    </row>
    <row r="301" spans="2:8">
      <c r="B301" s="28">
        <v>10181</v>
      </c>
      <c r="C301" s="34" t="s">
        <v>149</v>
      </c>
      <c r="D301" s="34" t="s">
        <v>104</v>
      </c>
      <c r="E301" s="34" t="s">
        <v>93</v>
      </c>
      <c r="F301" s="35">
        <v>28</v>
      </c>
      <c r="G301" s="37">
        <v>100</v>
      </c>
      <c r="H301" s="32">
        <f t="shared" si="10"/>
        <v>2800</v>
      </c>
    </row>
    <row r="302" spans="2:8">
      <c r="B302" s="28">
        <v>10191</v>
      </c>
      <c r="C302" s="34" t="s">
        <v>566</v>
      </c>
      <c r="D302" s="34" t="s">
        <v>119</v>
      </c>
      <c r="E302" s="34" t="s">
        <v>93</v>
      </c>
      <c r="F302" s="35">
        <v>40</v>
      </c>
      <c r="G302" s="37">
        <v>100</v>
      </c>
      <c r="H302" s="32">
        <f t="shared" si="10"/>
        <v>4000</v>
      </c>
    </row>
    <row r="303" spans="2:8">
      <c r="B303" s="28">
        <v>10203</v>
      </c>
      <c r="C303" s="34" t="s">
        <v>261</v>
      </c>
      <c r="D303" s="34" t="s">
        <v>104</v>
      </c>
      <c r="E303" s="34" t="s">
        <v>93</v>
      </c>
      <c r="F303" s="35">
        <v>20</v>
      </c>
      <c r="G303" s="37">
        <v>100</v>
      </c>
      <c r="H303" s="32">
        <f t="shared" si="10"/>
        <v>2000</v>
      </c>
    </row>
    <row r="304" spans="2:8">
      <c r="B304" s="28">
        <v>10212</v>
      </c>
      <c r="C304" s="34" t="s">
        <v>261</v>
      </c>
      <c r="D304" s="34" t="s">
        <v>119</v>
      </c>
      <c r="E304" s="34" t="s">
        <v>93</v>
      </c>
      <c r="F304" s="35">
        <v>39</v>
      </c>
      <c r="G304" s="37">
        <v>100</v>
      </c>
      <c r="H304" s="32">
        <f t="shared" si="10"/>
        <v>3900</v>
      </c>
    </row>
    <row r="305" spans="2:8">
      <c r="B305" s="28">
        <v>10225</v>
      </c>
      <c r="C305" s="34" t="s">
        <v>574</v>
      </c>
      <c r="D305" s="34" t="s">
        <v>104</v>
      </c>
      <c r="E305" s="34" t="s">
        <v>93</v>
      </c>
      <c r="F305" s="35">
        <v>25</v>
      </c>
      <c r="G305" s="37">
        <v>99.82</v>
      </c>
      <c r="H305" s="32">
        <f t="shared" si="10"/>
        <v>2495.5</v>
      </c>
    </row>
    <row r="306" spans="2:8">
      <c r="B306" s="28">
        <v>10238</v>
      </c>
      <c r="C306" s="34" t="s">
        <v>429</v>
      </c>
      <c r="D306" s="34" t="s">
        <v>119</v>
      </c>
      <c r="E306" s="34" t="s">
        <v>93</v>
      </c>
      <c r="F306" s="35">
        <v>29</v>
      </c>
      <c r="G306" s="37">
        <v>100</v>
      </c>
      <c r="H306" s="32">
        <f t="shared" si="10"/>
        <v>2900</v>
      </c>
    </row>
    <row r="307" spans="2:8">
      <c r="B307" s="28">
        <v>10253</v>
      </c>
      <c r="C307" s="34" t="s">
        <v>252</v>
      </c>
      <c r="D307" s="34" t="s">
        <v>104</v>
      </c>
      <c r="E307" s="34" t="s">
        <v>444</v>
      </c>
      <c r="F307" s="35">
        <v>22</v>
      </c>
      <c r="G307" s="37">
        <v>100</v>
      </c>
      <c r="H307" s="32">
        <f t="shared" si="10"/>
        <v>2200</v>
      </c>
    </row>
    <row r="308" spans="2:8">
      <c r="B308" s="28">
        <v>10266</v>
      </c>
      <c r="C308" s="34" t="s">
        <v>352</v>
      </c>
      <c r="D308" s="34" t="s">
        <v>104</v>
      </c>
      <c r="E308" s="34" t="s">
        <v>93</v>
      </c>
      <c r="F308" s="35">
        <v>22</v>
      </c>
      <c r="G308" s="37">
        <v>100</v>
      </c>
      <c r="H308" s="32">
        <f t="shared" si="10"/>
        <v>2200</v>
      </c>
    </row>
    <row r="309" spans="2:8">
      <c r="B309" s="28">
        <v>10276</v>
      </c>
      <c r="C309" s="34" t="s">
        <v>100</v>
      </c>
      <c r="D309" s="34" t="s">
        <v>119</v>
      </c>
      <c r="E309" s="34" t="s">
        <v>93</v>
      </c>
      <c r="F309" s="35">
        <v>47</v>
      </c>
      <c r="G309" s="37">
        <v>100</v>
      </c>
      <c r="H309" s="32">
        <f t="shared" si="10"/>
        <v>4700</v>
      </c>
    </row>
    <row r="310" spans="2:8">
      <c r="B310" s="28">
        <v>10287</v>
      </c>
      <c r="C310" s="34" t="s">
        <v>574</v>
      </c>
      <c r="D310" s="34" t="s">
        <v>119</v>
      </c>
      <c r="E310" s="34" t="s">
        <v>93</v>
      </c>
      <c r="F310" s="35">
        <v>45</v>
      </c>
      <c r="G310" s="37">
        <v>100</v>
      </c>
      <c r="H310" s="32">
        <f t="shared" si="10"/>
        <v>4500</v>
      </c>
    </row>
    <row r="311" spans="2:8">
      <c r="B311" s="28">
        <v>10300</v>
      </c>
      <c r="C311" s="34" t="s">
        <v>566</v>
      </c>
      <c r="D311" s="34" t="s">
        <v>119</v>
      </c>
      <c r="E311" s="34" t="s">
        <v>93</v>
      </c>
      <c r="F311" s="35">
        <v>29</v>
      </c>
      <c r="G311" s="37">
        <v>100</v>
      </c>
      <c r="H311" s="32">
        <f t="shared" si="10"/>
        <v>2900</v>
      </c>
    </row>
    <row r="312" spans="2:8">
      <c r="B312" s="28">
        <v>10310</v>
      </c>
      <c r="C312" s="34" t="s">
        <v>566</v>
      </c>
      <c r="D312" s="34" t="s">
        <v>119</v>
      </c>
      <c r="E312" s="34" t="s">
        <v>93</v>
      </c>
      <c r="F312" s="35">
        <v>24</v>
      </c>
      <c r="G312" s="37">
        <v>100</v>
      </c>
      <c r="H312" s="32">
        <f t="shared" si="10"/>
        <v>2400</v>
      </c>
    </row>
    <row r="313" spans="2:8">
      <c r="B313" s="28">
        <v>10320</v>
      </c>
      <c r="C313" s="34" t="s">
        <v>273</v>
      </c>
      <c r="D313" s="34" t="s">
        <v>119</v>
      </c>
      <c r="E313" s="34" t="s">
        <v>93</v>
      </c>
      <c r="F313" s="35">
        <v>35</v>
      </c>
      <c r="G313" s="37">
        <v>100</v>
      </c>
      <c r="H313" s="32">
        <f t="shared" si="10"/>
        <v>3500</v>
      </c>
    </row>
    <row r="314" spans="2:8">
      <c r="B314" s="28">
        <v>10329</v>
      </c>
      <c r="C314" s="34" t="s">
        <v>100</v>
      </c>
      <c r="D314" s="34" t="s">
        <v>119</v>
      </c>
      <c r="E314" s="34" t="s">
        <v>93</v>
      </c>
      <c r="F314" s="35">
        <v>46</v>
      </c>
      <c r="G314" s="37">
        <v>83.63</v>
      </c>
      <c r="H314" s="32">
        <f t="shared" si="10"/>
        <v>3846.9799999999996</v>
      </c>
    </row>
    <row r="315" spans="2:8">
      <c r="B315" s="28">
        <v>10341</v>
      </c>
      <c r="C315" s="34" t="s">
        <v>229</v>
      </c>
      <c r="D315" s="34" t="s">
        <v>119</v>
      </c>
      <c r="E315" s="34" t="s">
        <v>93</v>
      </c>
      <c r="F315" s="35">
        <v>44</v>
      </c>
      <c r="G315" s="37">
        <v>95.93</v>
      </c>
      <c r="H315" s="32">
        <f t="shared" si="10"/>
        <v>4220.92</v>
      </c>
    </row>
    <row r="316" spans="2:8">
      <c r="B316" s="28">
        <v>10363</v>
      </c>
      <c r="C316" s="34" t="s">
        <v>208</v>
      </c>
      <c r="D316" s="34" t="s">
        <v>119</v>
      </c>
      <c r="E316" s="34" t="s">
        <v>93</v>
      </c>
      <c r="F316" s="35">
        <v>34</v>
      </c>
      <c r="G316" s="37">
        <v>96.73</v>
      </c>
      <c r="H316" s="32">
        <f t="shared" si="10"/>
        <v>3288.82</v>
      </c>
    </row>
    <row r="317" spans="2:8">
      <c r="B317" s="28">
        <v>10376</v>
      </c>
      <c r="C317" s="34" t="s">
        <v>100</v>
      </c>
      <c r="D317" s="34" t="s">
        <v>119</v>
      </c>
      <c r="E317" s="34" t="s">
        <v>93</v>
      </c>
      <c r="F317" s="35">
        <v>35</v>
      </c>
      <c r="G317" s="37">
        <v>100</v>
      </c>
      <c r="H317" s="32">
        <f t="shared" si="10"/>
        <v>3500</v>
      </c>
    </row>
    <row r="318" spans="2:8">
      <c r="B318" s="28">
        <v>10389</v>
      </c>
      <c r="C318" s="34" t="s">
        <v>273</v>
      </c>
      <c r="D318" s="34" t="s">
        <v>104</v>
      </c>
      <c r="E318" s="34" t="s">
        <v>93</v>
      </c>
      <c r="F318" s="35">
        <v>25</v>
      </c>
      <c r="G318" s="37">
        <v>72.38</v>
      </c>
      <c r="H318" s="32">
        <f t="shared" si="10"/>
        <v>1809.5</v>
      </c>
    </row>
    <row r="319" spans="2:8">
      <c r="B319" s="28">
        <v>10419</v>
      </c>
      <c r="C319" s="34" t="s">
        <v>229</v>
      </c>
      <c r="D319" s="34" t="s">
        <v>104</v>
      </c>
      <c r="E319" s="34" t="s">
        <v>93</v>
      </c>
      <c r="F319" s="35">
        <v>10</v>
      </c>
      <c r="G319" s="37">
        <v>100</v>
      </c>
      <c r="H319" s="32">
        <f t="shared" si="10"/>
        <v>1000</v>
      </c>
    </row>
    <row r="320" spans="2:8">
      <c r="B320" s="28">
        <v>10105</v>
      </c>
      <c r="C320" s="34" t="s">
        <v>429</v>
      </c>
      <c r="D320" s="34" t="s">
        <v>119</v>
      </c>
      <c r="E320" s="34" t="s">
        <v>93</v>
      </c>
      <c r="F320" s="35">
        <v>29</v>
      </c>
      <c r="G320" s="37">
        <v>100</v>
      </c>
      <c r="H320" s="32">
        <f t="shared" si="10"/>
        <v>2900</v>
      </c>
    </row>
    <row r="321" spans="2:8">
      <c r="B321" s="28">
        <v>10117</v>
      </c>
      <c r="C321" s="34" t="s">
        <v>287</v>
      </c>
      <c r="D321" s="34" t="s">
        <v>119</v>
      </c>
      <c r="E321" s="34" t="s">
        <v>93</v>
      </c>
      <c r="F321" s="35">
        <v>39</v>
      </c>
      <c r="G321" s="37">
        <v>100</v>
      </c>
      <c r="H321" s="32">
        <f t="shared" si="10"/>
        <v>3900</v>
      </c>
    </row>
    <row r="322" spans="2:8">
      <c r="B322" s="28">
        <v>10127</v>
      </c>
      <c r="C322" s="34" t="s">
        <v>100</v>
      </c>
      <c r="D322" s="34" t="s">
        <v>232</v>
      </c>
      <c r="E322" s="34" t="s">
        <v>93</v>
      </c>
      <c r="F322" s="35">
        <v>42</v>
      </c>
      <c r="G322" s="37">
        <v>100</v>
      </c>
      <c r="H322" s="32">
        <f t="shared" si="10"/>
        <v>4200</v>
      </c>
    </row>
    <row r="323" spans="2:8">
      <c r="B323" s="28">
        <v>10142</v>
      </c>
      <c r="C323" s="34" t="s">
        <v>100</v>
      </c>
      <c r="D323" s="34" t="s">
        <v>232</v>
      </c>
      <c r="E323" s="34" t="s">
        <v>93</v>
      </c>
      <c r="F323" s="35">
        <v>46</v>
      </c>
      <c r="G323" s="37">
        <v>100</v>
      </c>
      <c r="H323" s="32">
        <f t="shared" si="10"/>
        <v>4600</v>
      </c>
    </row>
    <row r="324" spans="2:8">
      <c r="B324" s="28">
        <v>10153</v>
      </c>
      <c r="C324" s="34" t="s">
        <v>261</v>
      </c>
      <c r="D324" s="34" t="s">
        <v>232</v>
      </c>
      <c r="E324" s="34" t="s">
        <v>93</v>
      </c>
      <c r="F324" s="35">
        <v>49</v>
      </c>
      <c r="G324" s="37">
        <v>100</v>
      </c>
      <c r="H324" s="32">
        <f t="shared" si="10"/>
        <v>4900</v>
      </c>
    </row>
    <row r="325" spans="2:8">
      <c r="B325" s="28">
        <v>10165</v>
      </c>
      <c r="C325" s="34" t="s">
        <v>287</v>
      </c>
      <c r="D325" s="34" t="s">
        <v>119</v>
      </c>
      <c r="E325" s="34" t="s">
        <v>93</v>
      </c>
      <c r="F325" s="35">
        <v>27</v>
      </c>
      <c r="G325" s="37">
        <v>100</v>
      </c>
      <c r="H325" s="32">
        <f t="shared" ref="H325:H388" si="11">F325*G325</f>
        <v>2700</v>
      </c>
    </row>
    <row r="326" spans="2:8">
      <c r="B326" s="28">
        <v>10176</v>
      </c>
      <c r="C326" s="34" t="s">
        <v>352</v>
      </c>
      <c r="D326" s="34" t="s">
        <v>232</v>
      </c>
      <c r="E326" s="34" t="s">
        <v>93</v>
      </c>
      <c r="F326" s="35">
        <v>50</v>
      </c>
      <c r="G326" s="37">
        <v>100</v>
      </c>
      <c r="H326" s="32">
        <f t="shared" si="11"/>
        <v>5000</v>
      </c>
    </row>
    <row r="327" spans="2:8">
      <c r="B327" s="28">
        <v>10185</v>
      </c>
      <c r="C327" s="34" t="s">
        <v>100</v>
      </c>
      <c r="D327" s="34" t="s">
        <v>232</v>
      </c>
      <c r="E327" s="34" t="s">
        <v>93</v>
      </c>
      <c r="F327" s="35">
        <v>43</v>
      </c>
      <c r="G327" s="37">
        <v>100</v>
      </c>
      <c r="H327" s="32">
        <f t="shared" si="11"/>
        <v>4300</v>
      </c>
    </row>
    <row r="328" spans="2:8">
      <c r="B328" s="28">
        <v>10196</v>
      </c>
      <c r="C328" s="34" t="s">
        <v>100</v>
      </c>
      <c r="D328" s="34" t="s">
        <v>232</v>
      </c>
      <c r="E328" s="34" t="s">
        <v>93</v>
      </c>
      <c r="F328" s="35">
        <v>38</v>
      </c>
      <c r="G328" s="37">
        <v>100</v>
      </c>
      <c r="H328" s="32">
        <f t="shared" si="11"/>
        <v>3800</v>
      </c>
    </row>
    <row r="329" spans="2:8">
      <c r="B329" s="28">
        <v>10208</v>
      </c>
      <c r="C329" s="34" t="s">
        <v>109</v>
      </c>
      <c r="D329" s="34" t="s">
        <v>119</v>
      </c>
      <c r="E329" s="34" t="s">
        <v>93</v>
      </c>
      <c r="F329" s="35">
        <v>20</v>
      </c>
      <c r="G329" s="37">
        <v>100</v>
      </c>
      <c r="H329" s="32">
        <f t="shared" si="11"/>
        <v>2000</v>
      </c>
    </row>
    <row r="330" spans="2:8">
      <c r="B330" s="28">
        <v>10220</v>
      </c>
      <c r="C330" s="34" t="s">
        <v>614</v>
      </c>
      <c r="D330" s="34" t="s">
        <v>119</v>
      </c>
      <c r="E330" s="34" t="s">
        <v>93</v>
      </c>
      <c r="F330" s="35">
        <v>27</v>
      </c>
      <c r="G330" s="37">
        <v>100</v>
      </c>
      <c r="H330" s="32">
        <f t="shared" si="11"/>
        <v>2700</v>
      </c>
    </row>
    <row r="331" spans="2:8">
      <c r="B331" s="28">
        <v>10231</v>
      </c>
      <c r="C331" s="34" t="s">
        <v>261</v>
      </c>
      <c r="D331" s="34" t="s">
        <v>119</v>
      </c>
      <c r="E331" s="34" t="s">
        <v>93</v>
      </c>
      <c r="F331" s="35">
        <v>49</v>
      </c>
      <c r="G331" s="37">
        <v>100</v>
      </c>
      <c r="H331" s="32">
        <f t="shared" si="11"/>
        <v>4900</v>
      </c>
    </row>
    <row r="332" spans="2:8">
      <c r="B332" s="28">
        <v>10247</v>
      </c>
      <c r="C332" s="34" t="s">
        <v>208</v>
      </c>
      <c r="D332" s="34" t="s">
        <v>119</v>
      </c>
      <c r="E332" s="34" t="s">
        <v>93</v>
      </c>
      <c r="F332" s="35">
        <v>27</v>
      </c>
      <c r="G332" s="37">
        <v>100</v>
      </c>
      <c r="H332" s="32">
        <f t="shared" si="11"/>
        <v>2700</v>
      </c>
    </row>
    <row r="333" spans="2:8">
      <c r="B333" s="28">
        <v>10272</v>
      </c>
      <c r="C333" s="34" t="s">
        <v>100</v>
      </c>
      <c r="D333" s="34" t="s">
        <v>232</v>
      </c>
      <c r="E333" s="34" t="s">
        <v>93</v>
      </c>
      <c r="F333" s="35">
        <v>39</v>
      </c>
      <c r="G333" s="37">
        <v>100</v>
      </c>
      <c r="H333" s="32">
        <f t="shared" si="11"/>
        <v>3900</v>
      </c>
    </row>
    <row r="334" spans="2:8">
      <c r="B334" s="28">
        <v>10282</v>
      </c>
      <c r="C334" s="34" t="s">
        <v>100</v>
      </c>
      <c r="D334" s="34" t="s">
        <v>119</v>
      </c>
      <c r="E334" s="34" t="s">
        <v>93</v>
      </c>
      <c r="F334" s="35">
        <v>24</v>
      </c>
      <c r="G334" s="37">
        <v>100</v>
      </c>
      <c r="H334" s="32">
        <f t="shared" si="11"/>
        <v>2400</v>
      </c>
    </row>
    <row r="335" spans="2:8">
      <c r="B335" s="28">
        <v>10293</v>
      </c>
      <c r="C335" s="34" t="s">
        <v>352</v>
      </c>
      <c r="D335" s="34" t="s">
        <v>232</v>
      </c>
      <c r="E335" s="34" t="s">
        <v>93</v>
      </c>
      <c r="F335" s="35">
        <v>45</v>
      </c>
      <c r="G335" s="37">
        <v>100</v>
      </c>
      <c r="H335" s="32">
        <f t="shared" si="11"/>
        <v>4500</v>
      </c>
    </row>
    <row r="336" spans="2:8">
      <c r="B336" s="28">
        <v>10306</v>
      </c>
      <c r="C336" s="34" t="s">
        <v>252</v>
      </c>
      <c r="D336" s="34" t="s">
        <v>119</v>
      </c>
      <c r="E336" s="34" t="s">
        <v>93</v>
      </c>
      <c r="F336" s="35">
        <v>20</v>
      </c>
      <c r="G336" s="37">
        <v>100</v>
      </c>
      <c r="H336" s="32">
        <f t="shared" si="11"/>
        <v>2000</v>
      </c>
    </row>
    <row r="337" spans="2:8">
      <c r="B337" s="28">
        <v>10314</v>
      </c>
      <c r="C337" s="34" t="s">
        <v>429</v>
      </c>
      <c r="D337" s="34" t="s">
        <v>119</v>
      </c>
      <c r="E337" s="34" t="s">
        <v>93</v>
      </c>
      <c r="F337" s="35">
        <v>36</v>
      </c>
      <c r="G337" s="37">
        <v>100</v>
      </c>
      <c r="H337" s="32">
        <f t="shared" si="11"/>
        <v>3600</v>
      </c>
    </row>
    <row r="338" spans="2:8">
      <c r="B338" s="28">
        <v>10325</v>
      </c>
      <c r="C338" s="34" t="s">
        <v>149</v>
      </c>
      <c r="D338" s="34" t="s">
        <v>104</v>
      </c>
      <c r="E338" s="34" t="s">
        <v>93</v>
      </c>
      <c r="F338" s="35">
        <v>24</v>
      </c>
      <c r="G338" s="37">
        <v>100</v>
      </c>
      <c r="H338" s="32">
        <f t="shared" si="11"/>
        <v>2400</v>
      </c>
    </row>
    <row r="339" spans="2:8">
      <c r="B339" s="28">
        <v>10336</v>
      </c>
      <c r="C339" s="34" t="s">
        <v>109</v>
      </c>
      <c r="D339" s="34" t="s">
        <v>119</v>
      </c>
      <c r="E339" s="34" t="s">
        <v>93</v>
      </c>
      <c r="F339" s="35">
        <v>49</v>
      </c>
      <c r="G339" s="37">
        <v>63.38</v>
      </c>
      <c r="H339" s="32">
        <f t="shared" si="11"/>
        <v>3105.6200000000003</v>
      </c>
    </row>
    <row r="340" spans="2:8">
      <c r="B340" s="28">
        <v>10349</v>
      </c>
      <c r="C340" s="34" t="s">
        <v>100</v>
      </c>
      <c r="D340" s="34" t="s">
        <v>119</v>
      </c>
      <c r="E340" s="34" t="s">
        <v>93</v>
      </c>
      <c r="F340" s="35">
        <v>26</v>
      </c>
      <c r="G340" s="37">
        <v>100</v>
      </c>
      <c r="H340" s="32">
        <f t="shared" si="11"/>
        <v>2600</v>
      </c>
    </row>
    <row r="341" spans="2:8">
      <c r="B341" s="28">
        <v>10359</v>
      </c>
      <c r="C341" s="34" t="s">
        <v>109</v>
      </c>
      <c r="D341" s="34" t="s">
        <v>119</v>
      </c>
      <c r="E341" s="34" t="s">
        <v>93</v>
      </c>
      <c r="F341" s="35">
        <v>49</v>
      </c>
      <c r="G341" s="37">
        <v>62.09</v>
      </c>
      <c r="H341" s="32">
        <f t="shared" si="11"/>
        <v>3042.4100000000003</v>
      </c>
    </row>
    <row r="342" spans="2:8">
      <c r="B342" s="28">
        <v>10372</v>
      </c>
      <c r="C342" s="34" t="s">
        <v>288</v>
      </c>
      <c r="D342" s="34" t="s">
        <v>119</v>
      </c>
      <c r="E342" s="34" t="s">
        <v>93</v>
      </c>
      <c r="F342" s="35">
        <v>34</v>
      </c>
      <c r="G342" s="37">
        <v>100</v>
      </c>
      <c r="H342" s="32">
        <f t="shared" si="11"/>
        <v>3400</v>
      </c>
    </row>
    <row r="343" spans="2:8">
      <c r="B343" s="28">
        <v>10382</v>
      </c>
      <c r="C343" s="34" t="s">
        <v>100</v>
      </c>
      <c r="D343" s="34" t="s">
        <v>119</v>
      </c>
      <c r="E343" s="34" t="s">
        <v>93</v>
      </c>
      <c r="F343" s="35">
        <v>34</v>
      </c>
      <c r="G343" s="37">
        <v>95.35</v>
      </c>
      <c r="H343" s="32">
        <f t="shared" si="11"/>
        <v>3241.8999999999996</v>
      </c>
    </row>
    <row r="344" spans="2:8">
      <c r="B344" s="28">
        <v>10396</v>
      </c>
      <c r="C344" s="34" t="s">
        <v>100</v>
      </c>
      <c r="D344" s="34" t="s">
        <v>119</v>
      </c>
      <c r="E344" s="34" t="s">
        <v>93</v>
      </c>
      <c r="F344" s="35">
        <v>33</v>
      </c>
      <c r="G344" s="37">
        <v>100</v>
      </c>
      <c r="H344" s="32">
        <f t="shared" si="11"/>
        <v>3300</v>
      </c>
    </row>
    <row r="345" spans="2:8">
      <c r="B345" s="28">
        <v>10413</v>
      </c>
      <c r="C345" s="34" t="s">
        <v>100</v>
      </c>
      <c r="D345" s="34" t="s">
        <v>119</v>
      </c>
      <c r="E345" s="34" t="s">
        <v>93</v>
      </c>
      <c r="F345" s="35">
        <v>22</v>
      </c>
      <c r="G345" s="37">
        <v>100</v>
      </c>
      <c r="H345" s="32">
        <f t="shared" si="11"/>
        <v>2200</v>
      </c>
    </row>
    <row r="346" spans="2:8">
      <c r="B346" s="28">
        <v>10108</v>
      </c>
      <c r="C346" s="34" t="s">
        <v>552</v>
      </c>
      <c r="D346" s="34" t="s">
        <v>119</v>
      </c>
      <c r="E346" s="34" t="s">
        <v>93</v>
      </c>
      <c r="F346" s="35">
        <v>39</v>
      </c>
      <c r="G346" s="37">
        <v>89.38</v>
      </c>
      <c r="H346" s="32">
        <f t="shared" si="11"/>
        <v>3485.8199999999997</v>
      </c>
    </row>
    <row r="347" spans="2:8">
      <c r="B347" s="28">
        <v>10122</v>
      </c>
      <c r="C347" s="34" t="s">
        <v>109</v>
      </c>
      <c r="D347" s="34" t="s">
        <v>104</v>
      </c>
      <c r="E347" s="34" t="s">
        <v>93</v>
      </c>
      <c r="F347" s="35">
        <v>32</v>
      </c>
      <c r="G347" s="37">
        <v>63.84</v>
      </c>
      <c r="H347" s="32">
        <f t="shared" si="11"/>
        <v>2042.88</v>
      </c>
    </row>
    <row r="348" spans="2:8">
      <c r="B348" s="28">
        <v>10135</v>
      </c>
      <c r="C348" s="34" t="s">
        <v>100</v>
      </c>
      <c r="D348" s="34" t="s">
        <v>104</v>
      </c>
      <c r="E348" s="34" t="s">
        <v>93</v>
      </c>
      <c r="F348" s="35">
        <v>24</v>
      </c>
      <c r="G348" s="37">
        <v>75.010000000000005</v>
      </c>
      <c r="H348" s="32">
        <f t="shared" si="11"/>
        <v>1800.2400000000002</v>
      </c>
    </row>
    <row r="349" spans="2:8">
      <c r="B349" s="28">
        <v>10147</v>
      </c>
      <c r="C349" s="34" t="s">
        <v>100</v>
      </c>
      <c r="D349" s="34" t="s">
        <v>104</v>
      </c>
      <c r="E349" s="34" t="s">
        <v>93</v>
      </c>
      <c r="F349" s="35">
        <v>21</v>
      </c>
      <c r="G349" s="37">
        <v>63.84</v>
      </c>
      <c r="H349" s="32">
        <f t="shared" si="11"/>
        <v>1340.64</v>
      </c>
    </row>
    <row r="350" spans="2:8">
      <c r="B350" s="28">
        <v>10159</v>
      </c>
      <c r="C350" s="34" t="s">
        <v>100</v>
      </c>
      <c r="D350" s="34" t="s">
        <v>104</v>
      </c>
      <c r="E350" s="34" t="s">
        <v>93</v>
      </c>
      <c r="F350" s="35">
        <v>24</v>
      </c>
      <c r="G350" s="37">
        <v>73.42</v>
      </c>
      <c r="H350" s="32">
        <f t="shared" si="11"/>
        <v>1762.08</v>
      </c>
    </row>
    <row r="351" spans="2:8">
      <c r="B351" s="28">
        <v>10169</v>
      </c>
      <c r="C351" s="34" t="s">
        <v>168</v>
      </c>
      <c r="D351" s="34" t="s">
        <v>104</v>
      </c>
      <c r="E351" s="34" t="s">
        <v>93</v>
      </c>
      <c r="F351" s="35">
        <v>36</v>
      </c>
      <c r="G351" s="37">
        <v>63.84</v>
      </c>
      <c r="H351" s="32">
        <f t="shared" si="11"/>
        <v>2298.2400000000002</v>
      </c>
    </row>
    <row r="352" spans="2:8">
      <c r="B352" s="28">
        <v>10181</v>
      </c>
      <c r="C352" s="34" t="s">
        <v>149</v>
      </c>
      <c r="D352" s="34" t="s">
        <v>104</v>
      </c>
      <c r="E352" s="34" t="s">
        <v>93</v>
      </c>
      <c r="F352" s="35">
        <v>20</v>
      </c>
      <c r="G352" s="37">
        <v>81.400000000000006</v>
      </c>
      <c r="H352" s="32">
        <f t="shared" si="11"/>
        <v>1628</v>
      </c>
    </row>
    <row r="353" spans="2:8">
      <c r="B353" s="28">
        <v>10191</v>
      </c>
      <c r="C353" s="34" t="s">
        <v>566</v>
      </c>
      <c r="D353" s="34" t="s">
        <v>104</v>
      </c>
      <c r="E353" s="34" t="s">
        <v>93</v>
      </c>
      <c r="F353" s="35">
        <v>30</v>
      </c>
      <c r="G353" s="37">
        <v>64.64</v>
      </c>
      <c r="H353" s="32">
        <f t="shared" si="11"/>
        <v>1939.2</v>
      </c>
    </row>
    <row r="354" spans="2:8">
      <c r="B354" s="28">
        <v>10203</v>
      </c>
      <c r="C354" s="34" t="s">
        <v>261</v>
      </c>
      <c r="D354" s="34" t="s">
        <v>119</v>
      </c>
      <c r="E354" s="34" t="s">
        <v>93</v>
      </c>
      <c r="F354" s="35">
        <v>44</v>
      </c>
      <c r="G354" s="37">
        <v>82.99</v>
      </c>
      <c r="H354" s="32">
        <f t="shared" si="11"/>
        <v>3651.56</v>
      </c>
    </row>
    <row r="355" spans="2:8">
      <c r="B355" s="28">
        <v>10211</v>
      </c>
      <c r="C355" s="34" t="s">
        <v>109</v>
      </c>
      <c r="D355" s="34" t="s">
        <v>104</v>
      </c>
      <c r="E355" s="34" t="s">
        <v>93</v>
      </c>
      <c r="F355" s="35">
        <v>28</v>
      </c>
      <c r="G355" s="37">
        <v>92.57</v>
      </c>
      <c r="H355" s="32">
        <f t="shared" si="11"/>
        <v>2591.96</v>
      </c>
    </row>
    <row r="356" spans="2:8">
      <c r="B356" s="28">
        <v>10225</v>
      </c>
      <c r="C356" s="34" t="s">
        <v>574</v>
      </c>
      <c r="D356" s="34" t="s">
        <v>104</v>
      </c>
      <c r="E356" s="34" t="s">
        <v>93</v>
      </c>
      <c r="F356" s="35">
        <v>37</v>
      </c>
      <c r="G356" s="37">
        <v>77.41</v>
      </c>
      <c r="H356" s="32">
        <f t="shared" si="11"/>
        <v>2864.17</v>
      </c>
    </row>
    <row r="357" spans="2:8">
      <c r="B357" s="28">
        <v>10238</v>
      </c>
      <c r="C357" s="34" t="s">
        <v>429</v>
      </c>
      <c r="D357" s="34" t="s">
        <v>104</v>
      </c>
      <c r="E357" s="34" t="s">
        <v>93</v>
      </c>
      <c r="F357" s="35">
        <v>20</v>
      </c>
      <c r="G357" s="37">
        <v>74.209999999999994</v>
      </c>
      <c r="H357" s="32">
        <f t="shared" si="11"/>
        <v>1484.1999999999998</v>
      </c>
    </row>
    <row r="358" spans="2:8">
      <c r="B358" s="28">
        <v>10253</v>
      </c>
      <c r="C358" s="34" t="s">
        <v>252</v>
      </c>
      <c r="D358" s="34" t="s">
        <v>104</v>
      </c>
      <c r="E358" s="34" t="s">
        <v>444</v>
      </c>
      <c r="F358" s="35">
        <v>25</v>
      </c>
      <c r="G358" s="37">
        <v>90.17</v>
      </c>
      <c r="H358" s="32">
        <f t="shared" si="11"/>
        <v>2254.25</v>
      </c>
    </row>
    <row r="359" spans="2:8">
      <c r="B359" s="28">
        <v>10266</v>
      </c>
      <c r="C359" s="34" t="s">
        <v>352</v>
      </c>
      <c r="D359" s="34" t="s">
        <v>104</v>
      </c>
      <c r="E359" s="34" t="s">
        <v>93</v>
      </c>
      <c r="F359" s="35">
        <v>35</v>
      </c>
      <c r="G359" s="37">
        <v>76.61</v>
      </c>
      <c r="H359" s="32">
        <f t="shared" si="11"/>
        <v>2681.35</v>
      </c>
    </row>
    <row r="360" spans="2:8">
      <c r="B360" s="28">
        <v>10276</v>
      </c>
      <c r="C360" s="34" t="s">
        <v>100</v>
      </c>
      <c r="D360" s="34" t="s">
        <v>119</v>
      </c>
      <c r="E360" s="34" t="s">
        <v>93</v>
      </c>
      <c r="F360" s="35">
        <v>38</v>
      </c>
      <c r="G360" s="37">
        <v>83.79</v>
      </c>
      <c r="H360" s="32">
        <f t="shared" si="11"/>
        <v>3184.0200000000004</v>
      </c>
    </row>
    <row r="361" spans="2:8">
      <c r="B361" s="28">
        <v>10287</v>
      </c>
      <c r="C361" s="34" t="s">
        <v>574</v>
      </c>
      <c r="D361" s="34" t="s">
        <v>104</v>
      </c>
      <c r="E361" s="34" t="s">
        <v>93</v>
      </c>
      <c r="F361" s="35">
        <v>41</v>
      </c>
      <c r="G361" s="37">
        <v>69.430000000000007</v>
      </c>
      <c r="H361" s="32">
        <f t="shared" si="11"/>
        <v>2846.63</v>
      </c>
    </row>
    <row r="362" spans="2:8">
      <c r="B362" s="28">
        <v>10300</v>
      </c>
      <c r="C362" s="34" t="s">
        <v>566</v>
      </c>
      <c r="D362" s="34" t="s">
        <v>104</v>
      </c>
      <c r="E362" s="34" t="s">
        <v>93</v>
      </c>
      <c r="F362" s="35">
        <v>22</v>
      </c>
      <c r="G362" s="37">
        <v>76.61</v>
      </c>
      <c r="H362" s="32">
        <f t="shared" si="11"/>
        <v>1685.42</v>
      </c>
    </row>
    <row r="363" spans="2:8">
      <c r="B363" s="28">
        <v>10310</v>
      </c>
      <c r="C363" s="34" t="s">
        <v>566</v>
      </c>
      <c r="D363" s="34" t="s">
        <v>119</v>
      </c>
      <c r="E363" s="34" t="s">
        <v>93</v>
      </c>
      <c r="F363" s="35">
        <v>49</v>
      </c>
      <c r="G363" s="37">
        <v>81.400000000000006</v>
      </c>
      <c r="H363" s="32">
        <f t="shared" si="11"/>
        <v>3988.6000000000004</v>
      </c>
    </row>
    <row r="364" spans="2:8">
      <c r="B364" s="28">
        <v>10320</v>
      </c>
      <c r="C364" s="34" t="s">
        <v>273</v>
      </c>
      <c r="D364" s="34" t="s">
        <v>104</v>
      </c>
      <c r="E364" s="34" t="s">
        <v>93</v>
      </c>
      <c r="F364" s="35">
        <v>38</v>
      </c>
      <c r="G364" s="37">
        <v>73.42</v>
      </c>
      <c r="H364" s="32">
        <f t="shared" si="11"/>
        <v>2789.96</v>
      </c>
    </row>
    <row r="365" spans="2:8">
      <c r="B365" s="28">
        <v>10329</v>
      </c>
      <c r="C365" s="34" t="s">
        <v>100</v>
      </c>
      <c r="D365" s="34" t="s">
        <v>119</v>
      </c>
      <c r="E365" s="34" t="s">
        <v>93</v>
      </c>
      <c r="F365" s="35">
        <v>33</v>
      </c>
      <c r="G365" s="37">
        <v>100</v>
      </c>
      <c r="H365" s="32">
        <f t="shared" si="11"/>
        <v>3300</v>
      </c>
    </row>
    <row r="366" spans="2:8">
      <c r="B366" s="28">
        <v>10341</v>
      </c>
      <c r="C366" s="34" t="s">
        <v>229</v>
      </c>
      <c r="D366" s="34" t="s">
        <v>119</v>
      </c>
      <c r="E366" s="34" t="s">
        <v>93</v>
      </c>
      <c r="F366" s="35">
        <v>36</v>
      </c>
      <c r="G366" s="37">
        <v>93.56</v>
      </c>
      <c r="H366" s="32">
        <f t="shared" si="11"/>
        <v>3368.16</v>
      </c>
    </row>
    <row r="367" spans="2:8">
      <c r="B367" s="28">
        <v>10363</v>
      </c>
      <c r="C367" s="34" t="s">
        <v>208</v>
      </c>
      <c r="D367" s="34" t="s">
        <v>104</v>
      </c>
      <c r="E367" s="34" t="s">
        <v>93</v>
      </c>
      <c r="F367" s="35">
        <v>34</v>
      </c>
      <c r="G367" s="37">
        <v>81.62</v>
      </c>
      <c r="H367" s="32">
        <f t="shared" si="11"/>
        <v>2775.08</v>
      </c>
    </row>
    <row r="368" spans="2:8">
      <c r="B368" s="28">
        <v>10377</v>
      </c>
      <c r="C368" s="34" t="s">
        <v>208</v>
      </c>
      <c r="D368" s="34" t="s">
        <v>104</v>
      </c>
      <c r="E368" s="34" t="s">
        <v>93</v>
      </c>
      <c r="F368" s="35">
        <v>24</v>
      </c>
      <c r="G368" s="37">
        <v>67.83</v>
      </c>
      <c r="H368" s="32">
        <f t="shared" si="11"/>
        <v>1627.92</v>
      </c>
    </row>
    <row r="369" spans="2:8">
      <c r="B369" s="28">
        <v>10389</v>
      </c>
      <c r="C369" s="34" t="s">
        <v>273</v>
      </c>
      <c r="D369" s="34" t="s">
        <v>104</v>
      </c>
      <c r="E369" s="34" t="s">
        <v>93</v>
      </c>
      <c r="F369" s="35">
        <v>36</v>
      </c>
      <c r="G369" s="37">
        <v>70.260000000000005</v>
      </c>
      <c r="H369" s="32">
        <f t="shared" si="11"/>
        <v>2529.36</v>
      </c>
    </row>
    <row r="370" spans="2:8">
      <c r="B370" s="28">
        <v>10419</v>
      </c>
      <c r="C370" s="34" t="s">
        <v>229</v>
      </c>
      <c r="D370" s="34" t="s">
        <v>119</v>
      </c>
      <c r="E370" s="34" t="s">
        <v>93</v>
      </c>
      <c r="F370" s="35">
        <v>34</v>
      </c>
      <c r="G370" s="37">
        <v>90.17</v>
      </c>
      <c r="H370" s="32">
        <f t="shared" si="11"/>
        <v>3065.78</v>
      </c>
    </row>
    <row r="371" spans="2:8">
      <c r="B371" s="28">
        <v>10104</v>
      </c>
      <c r="C371" s="34" t="s">
        <v>261</v>
      </c>
      <c r="D371" s="34" t="s">
        <v>119</v>
      </c>
      <c r="E371" s="34" t="s">
        <v>93</v>
      </c>
      <c r="F371" s="35">
        <v>41</v>
      </c>
      <c r="G371" s="37">
        <v>100</v>
      </c>
      <c r="H371" s="32">
        <f t="shared" si="11"/>
        <v>4100</v>
      </c>
    </row>
    <row r="372" spans="2:8">
      <c r="B372" s="28">
        <v>10115</v>
      </c>
      <c r="C372" s="34" t="s">
        <v>100</v>
      </c>
      <c r="D372" s="34" t="s">
        <v>119</v>
      </c>
      <c r="E372" s="34" t="s">
        <v>93</v>
      </c>
      <c r="F372" s="35">
        <v>46</v>
      </c>
      <c r="G372" s="37">
        <v>100</v>
      </c>
      <c r="H372" s="32">
        <f t="shared" si="11"/>
        <v>4600</v>
      </c>
    </row>
    <row r="373" spans="2:8">
      <c r="B373" s="28">
        <v>10127</v>
      </c>
      <c r="C373" s="34" t="s">
        <v>100</v>
      </c>
      <c r="D373" s="34" t="s">
        <v>104</v>
      </c>
      <c r="E373" s="34" t="s">
        <v>93</v>
      </c>
      <c r="F373" s="35">
        <v>24</v>
      </c>
      <c r="G373" s="37">
        <v>100</v>
      </c>
      <c r="H373" s="32">
        <f t="shared" si="11"/>
        <v>2400</v>
      </c>
    </row>
    <row r="374" spans="2:8">
      <c r="B374" s="28">
        <v>10141</v>
      </c>
      <c r="C374" s="34" t="s">
        <v>208</v>
      </c>
      <c r="D374" s="34" t="s">
        <v>104</v>
      </c>
      <c r="E374" s="34" t="s">
        <v>93</v>
      </c>
      <c r="F374" s="35">
        <v>21</v>
      </c>
      <c r="G374" s="37">
        <v>100</v>
      </c>
      <c r="H374" s="32">
        <f t="shared" si="11"/>
        <v>2100</v>
      </c>
    </row>
    <row r="375" spans="2:8">
      <c r="B375" s="28">
        <v>10151</v>
      </c>
      <c r="C375" s="34" t="s">
        <v>208</v>
      </c>
      <c r="D375" s="34" t="s">
        <v>119</v>
      </c>
      <c r="E375" s="34" t="s">
        <v>93</v>
      </c>
      <c r="F375" s="35">
        <v>24</v>
      </c>
      <c r="G375" s="37">
        <v>100</v>
      </c>
      <c r="H375" s="32">
        <f t="shared" si="11"/>
        <v>2400</v>
      </c>
    </row>
    <row r="376" spans="2:8">
      <c r="B376" s="28">
        <v>10165</v>
      </c>
      <c r="C376" s="34" t="s">
        <v>287</v>
      </c>
      <c r="D376" s="34" t="s">
        <v>119</v>
      </c>
      <c r="E376" s="34" t="s">
        <v>93</v>
      </c>
      <c r="F376" s="35">
        <v>48</v>
      </c>
      <c r="G376" s="37">
        <v>100</v>
      </c>
      <c r="H376" s="32">
        <f t="shared" si="11"/>
        <v>4800</v>
      </c>
    </row>
    <row r="377" spans="2:8">
      <c r="B377" s="28">
        <v>10175</v>
      </c>
      <c r="C377" s="34" t="s">
        <v>252</v>
      </c>
      <c r="D377" s="34" t="s">
        <v>119</v>
      </c>
      <c r="E377" s="34" t="s">
        <v>93</v>
      </c>
      <c r="F377" s="35">
        <v>26</v>
      </c>
      <c r="G377" s="37">
        <v>100</v>
      </c>
      <c r="H377" s="32">
        <f t="shared" si="11"/>
        <v>2600</v>
      </c>
    </row>
    <row r="378" spans="2:8">
      <c r="B378" s="28">
        <v>10184</v>
      </c>
      <c r="C378" s="34" t="s">
        <v>261</v>
      </c>
      <c r="D378" s="34" t="s">
        <v>119</v>
      </c>
      <c r="E378" s="34" t="s">
        <v>93</v>
      </c>
      <c r="F378" s="35">
        <v>37</v>
      </c>
      <c r="G378" s="37">
        <v>100</v>
      </c>
      <c r="H378" s="32">
        <f t="shared" si="11"/>
        <v>3700</v>
      </c>
    </row>
    <row r="379" spans="2:8">
      <c r="B379" s="28">
        <v>10195</v>
      </c>
      <c r="C379" s="34" t="s">
        <v>100</v>
      </c>
      <c r="D379" s="34" t="s">
        <v>119</v>
      </c>
      <c r="E379" s="34" t="s">
        <v>93</v>
      </c>
      <c r="F379" s="35">
        <v>49</v>
      </c>
      <c r="G379" s="37">
        <v>100</v>
      </c>
      <c r="H379" s="32">
        <f t="shared" si="11"/>
        <v>4900</v>
      </c>
    </row>
    <row r="380" spans="2:8">
      <c r="B380" s="28">
        <v>10207</v>
      </c>
      <c r="C380" s="34" t="s">
        <v>100</v>
      </c>
      <c r="D380" s="34" t="s">
        <v>119</v>
      </c>
      <c r="E380" s="34" t="s">
        <v>93</v>
      </c>
      <c r="F380" s="35">
        <v>34</v>
      </c>
      <c r="G380" s="37">
        <v>99.54</v>
      </c>
      <c r="H380" s="32">
        <f t="shared" si="11"/>
        <v>3384.36</v>
      </c>
    </row>
    <row r="381" spans="2:8">
      <c r="B381" s="28">
        <v>10219</v>
      </c>
      <c r="C381" s="34" t="s">
        <v>100</v>
      </c>
      <c r="D381" s="34" t="s">
        <v>119</v>
      </c>
      <c r="E381" s="34" t="s">
        <v>93</v>
      </c>
      <c r="F381" s="35">
        <v>48</v>
      </c>
      <c r="G381" s="37">
        <v>100</v>
      </c>
      <c r="H381" s="32">
        <f t="shared" si="11"/>
        <v>4800</v>
      </c>
    </row>
    <row r="382" spans="2:8">
      <c r="B382" s="28">
        <v>10229</v>
      </c>
      <c r="C382" s="34" t="s">
        <v>100</v>
      </c>
      <c r="D382" s="34" t="s">
        <v>119</v>
      </c>
      <c r="E382" s="34" t="s">
        <v>93</v>
      </c>
      <c r="F382" s="35">
        <v>36</v>
      </c>
      <c r="G382" s="37">
        <v>100</v>
      </c>
      <c r="H382" s="32">
        <f t="shared" si="11"/>
        <v>3600</v>
      </c>
    </row>
    <row r="383" spans="2:8">
      <c r="B383" s="28">
        <v>10246</v>
      </c>
      <c r="C383" s="34" t="s">
        <v>261</v>
      </c>
      <c r="D383" s="34" t="s">
        <v>119</v>
      </c>
      <c r="E383" s="34" t="s">
        <v>93</v>
      </c>
      <c r="F383" s="35">
        <v>46</v>
      </c>
      <c r="G383" s="37">
        <v>100</v>
      </c>
      <c r="H383" s="32">
        <f t="shared" si="11"/>
        <v>4600</v>
      </c>
    </row>
    <row r="384" spans="2:8">
      <c r="B384" s="28">
        <v>10259</v>
      </c>
      <c r="C384" s="34" t="s">
        <v>287</v>
      </c>
      <c r="D384" s="34" t="s">
        <v>119</v>
      </c>
      <c r="E384" s="34" t="s">
        <v>93</v>
      </c>
      <c r="F384" s="35">
        <v>46</v>
      </c>
      <c r="G384" s="37">
        <v>100</v>
      </c>
      <c r="H384" s="32">
        <f t="shared" si="11"/>
        <v>4600</v>
      </c>
    </row>
    <row r="385" spans="2:8">
      <c r="B385" s="28">
        <v>10271</v>
      </c>
      <c r="C385" s="34" t="s">
        <v>100</v>
      </c>
      <c r="D385" s="34" t="s">
        <v>119</v>
      </c>
      <c r="E385" s="34" t="s">
        <v>93</v>
      </c>
      <c r="F385" s="35">
        <v>31</v>
      </c>
      <c r="G385" s="37">
        <v>97.17</v>
      </c>
      <c r="H385" s="32">
        <f t="shared" si="11"/>
        <v>3012.27</v>
      </c>
    </row>
    <row r="386" spans="2:8">
      <c r="B386" s="28">
        <v>10281</v>
      </c>
      <c r="C386" s="34" t="s">
        <v>100</v>
      </c>
      <c r="D386" s="34" t="s">
        <v>119</v>
      </c>
      <c r="E386" s="34" t="s">
        <v>93</v>
      </c>
      <c r="F386" s="35">
        <v>41</v>
      </c>
      <c r="G386" s="37">
        <v>100</v>
      </c>
      <c r="H386" s="32">
        <f t="shared" si="11"/>
        <v>4100</v>
      </c>
    </row>
    <row r="387" spans="2:8">
      <c r="B387" s="28">
        <v>10292</v>
      </c>
      <c r="C387" s="34" t="s">
        <v>100</v>
      </c>
      <c r="D387" s="34" t="s">
        <v>104</v>
      </c>
      <c r="E387" s="34" t="s">
        <v>93</v>
      </c>
      <c r="F387" s="35">
        <v>21</v>
      </c>
      <c r="G387" s="37">
        <v>100</v>
      </c>
      <c r="H387" s="32">
        <f t="shared" si="11"/>
        <v>2100</v>
      </c>
    </row>
    <row r="388" spans="2:8">
      <c r="B388" s="28">
        <v>10305</v>
      </c>
      <c r="C388" s="34" t="s">
        <v>100</v>
      </c>
      <c r="D388" s="34" t="s">
        <v>119</v>
      </c>
      <c r="E388" s="34" t="s">
        <v>93</v>
      </c>
      <c r="F388" s="35">
        <v>38</v>
      </c>
      <c r="G388" s="37">
        <v>100</v>
      </c>
      <c r="H388" s="32">
        <f t="shared" si="11"/>
        <v>3800</v>
      </c>
    </row>
    <row r="389" spans="2:8">
      <c r="B389" s="28">
        <v>10314</v>
      </c>
      <c r="C389" s="34" t="s">
        <v>429</v>
      </c>
      <c r="D389" s="34" t="s">
        <v>119</v>
      </c>
      <c r="E389" s="34" t="s">
        <v>93</v>
      </c>
      <c r="F389" s="35">
        <v>45</v>
      </c>
      <c r="G389" s="37">
        <v>100</v>
      </c>
      <c r="H389" s="32">
        <f t="shared" ref="H389:H452" si="12">F389*G389</f>
        <v>4500</v>
      </c>
    </row>
    <row r="390" spans="2:8">
      <c r="B390" s="28">
        <v>10324</v>
      </c>
      <c r="C390" s="34" t="s">
        <v>100</v>
      </c>
      <c r="D390" s="34" t="s">
        <v>104</v>
      </c>
      <c r="E390" s="34" t="s">
        <v>93</v>
      </c>
      <c r="F390" s="35">
        <v>26</v>
      </c>
      <c r="G390" s="37">
        <v>58.38</v>
      </c>
      <c r="H390" s="32">
        <f t="shared" si="12"/>
        <v>1517.88</v>
      </c>
    </row>
    <row r="391" spans="2:8">
      <c r="B391" s="28">
        <v>10336</v>
      </c>
      <c r="C391" s="34" t="s">
        <v>109</v>
      </c>
      <c r="D391" s="34" t="s">
        <v>119</v>
      </c>
      <c r="E391" s="34" t="s">
        <v>93</v>
      </c>
      <c r="F391" s="35">
        <v>38</v>
      </c>
      <c r="G391" s="37">
        <v>100</v>
      </c>
      <c r="H391" s="32">
        <f t="shared" si="12"/>
        <v>3800</v>
      </c>
    </row>
    <row r="392" spans="2:8">
      <c r="B392" s="28">
        <v>10349</v>
      </c>
      <c r="C392" s="34" t="s">
        <v>100</v>
      </c>
      <c r="D392" s="34" t="s">
        <v>119</v>
      </c>
      <c r="E392" s="34" t="s">
        <v>93</v>
      </c>
      <c r="F392" s="35">
        <v>48</v>
      </c>
      <c r="G392" s="37">
        <v>100</v>
      </c>
      <c r="H392" s="32">
        <f t="shared" si="12"/>
        <v>4800</v>
      </c>
    </row>
    <row r="393" spans="2:8">
      <c r="B393" s="28">
        <v>10358</v>
      </c>
      <c r="C393" s="34" t="s">
        <v>261</v>
      </c>
      <c r="D393" s="34" t="s">
        <v>104</v>
      </c>
      <c r="E393" s="34" t="s">
        <v>93</v>
      </c>
      <c r="F393" s="35">
        <v>42</v>
      </c>
      <c r="G393" s="37">
        <v>64.16</v>
      </c>
      <c r="H393" s="32">
        <f t="shared" si="12"/>
        <v>2694.72</v>
      </c>
    </row>
    <row r="394" spans="2:8">
      <c r="B394" s="28">
        <v>10371</v>
      </c>
      <c r="C394" s="34" t="s">
        <v>100</v>
      </c>
      <c r="D394" s="34" t="s">
        <v>104</v>
      </c>
      <c r="E394" s="34" t="s">
        <v>93</v>
      </c>
      <c r="F394" s="35">
        <v>49</v>
      </c>
      <c r="G394" s="37">
        <v>35.71</v>
      </c>
      <c r="H394" s="32">
        <f t="shared" si="12"/>
        <v>1749.79</v>
      </c>
    </row>
    <row r="395" spans="2:8">
      <c r="B395" s="28">
        <v>10382</v>
      </c>
      <c r="C395" s="34" t="s">
        <v>100</v>
      </c>
      <c r="D395" s="34" t="s">
        <v>104</v>
      </c>
      <c r="E395" s="34" t="s">
        <v>93</v>
      </c>
      <c r="F395" s="35">
        <v>32</v>
      </c>
      <c r="G395" s="37">
        <v>66.58</v>
      </c>
      <c r="H395" s="32">
        <f t="shared" si="12"/>
        <v>2130.56</v>
      </c>
    </row>
    <row r="396" spans="2:8">
      <c r="B396" s="28">
        <v>10412</v>
      </c>
      <c r="C396" s="34" t="s">
        <v>261</v>
      </c>
      <c r="D396" s="34" t="s">
        <v>119</v>
      </c>
      <c r="E396" s="34" t="s">
        <v>93</v>
      </c>
      <c r="F396" s="35">
        <v>54</v>
      </c>
      <c r="G396" s="37">
        <v>100</v>
      </c>
      <c r="H396" s="32">
        <f t="shared" si="12"/>
        <v>5400</v>
      </c>
    </row>
    <row r="397" spans="2:8">
      <c r="B397" s="28">
        <v>10425</v>
      </c>
      <c r="C397" s="34" t="s">
        <v>109</v>
      </c>
      <c r="D397" s="34" t="s">
        <v>119</v>
      </c>
      <c r="E397" s="34" t="s">
        <v>400</v>
      </c>
      <c r="F397" s="35">
        <v>33</v>
      </c>
      <c r="G397" s="37">
        <v>100</v>
      </c>
      <c r="H397" s="32">
        <f t="shared" si="12"/>
        <v>3300</v>
      </c>
    </row>
    <row r="398" spans="2:8">
      <c r="B398" s="28">
        <v>10108</v>
      </c>
      <c r="C398" s="34" t="s">
        <v>552</v>
      </c>
      <c r="D398" s="34" t="s">
        <v>119</v>
      </c>
      <c r="E398" s="34" t="s">
        <v>93</v>
      </c>
      <c r="F398" s="35">
        <v>36</v>
      </c>
      <c r="G398" s="37">
        <v>100</v>
      </c>
      <c r="H398" s="32">
        <f t="shared" si="12"/>
        <v>3600</v>
      </c>
    </row>
    <row r="399" spans="2:8">
      <c r="B399" s="28">
        <v>10122</v>
      </c>
      <c r="C399" s="34" t="s">
        <v>109</v>
      </c>
      <c r="D399" s="34" t="s">
        <v>104</v>
      </c>
      <c r="E399" s="34" t="s">
        <v>93</v>
      </c>
      <c r="F399" s="35">
        <v>20</v>
      </c>
      <c r="G399" s="37">
        <v>100</v>
      </c>
      <c r="H399" s="32">
        <f t="shared" si="12"/>
        <v>2000</v>
      </c>
    </row>
    <row r="400" spans="2:8">
      <c r="B400" s="28">
        <v>10135</v>
      </c>
      <c r="C400" s="34" t="s">
        <v>100</v>
      </c>
      <c r="D400" s="34" t="s">
        <v>104</v>
      </c>
      <c r="E400" s="34" t="s">
        <v>93</v>
      </c>
      <c r="F400" s="35">
        <v>29</v>
      </c>
      <c r="G400" s="37">
        <v>97.89</v>
      </c>
      <c r="H400" s="32">
        <f t="shared" si="12"/>
        <v>2838.81</v>
      </c>
    </row>
    <row r="401" spans="2:8">
      <c r="B401" s="28">
        <v>10147</v>
      </c>
      <c r="C401" s="34" t="s">
        <v>100</v>
      </c>
      <c r="D401" s="34" t="s">
        <v>119</v>
      </c>
      <c r="E401" s="34" t="s">
        <v>93</v>
      </c>
      <c r="F401" s="35">
        <v>33</v>
      </c>
      <c r="G401" s="37">
        <v>97.89</v>
      </c>
      <c r="H401" s="32">
        <f t="shared" si="12"/>
        <v>3230.37</v>
      </c>
    </row>
    <row r="402" spans="2:8">
      <c r="B402" s="28">
        <v>10160</v>
      </c>
      <c r="C402" s="34" t="s">
        <v>100</v>
      </c>
      <c r="D402" s="34" t="s">
        <v>119</v>
      </c>
      <c r="E402" s="34" t="s">
        <v>93</v>
      </c>
      <c r="F402" s="35">
        <v>50</v>
      </c>
      <c r="G402" s="37">
        <v>100</v>
      </c>
      <c r="H402" s="32">
        <f t="shared" si="12"/>
        <v>5000</v>
      </c>
    </row>
    <row r="403" spans="2:8">
      <c r="B403" s="28">
        <v>10170</v>
      </c>
      <c r="C403" s="34" t="s">
        <v>229</v>
      </c>
      <c r="D403" s="34" t="s">
        <v>119</v>
      </c>
      <c r="E403" s="34" t="s">
        <v>93</v>
      </c>
      <c r="F403" s="35">
        <v>41</v>
      </c>
      <c r="G403" s="37">
        <v>100</v>
      </c>
      <c r="H403" s="32">
        <f t="shared" si="12"/>
        <v>4100</v>
      </c>
    </row>
    <row r="404" spans="2:8">
      <c r="B404" s="28">
        <v>10181</v>
      </c>
      <c r="C404" s="34" t="s">
        <v>149</v>
      </c>
      <c r="D404" s="34" t="s">
        <v>119</v>
      </c>
      <c r="E404" s="34" t="s">
        <v>93</v>
      </c>
      <c r="F404" s="35">
        <v>36</v>
      </c>
      <c r="G404" s="37">
        <v>100</v>
      </c>
      <c r="H404" s="32">
        <f t="shared" si="12"/>
        <v>3600</v>
      </c>
    </row>
    <row r="405" spans="2:8">
      <c r="B405" s="28">
        <v>10192</v>
      </c>
      <c r="C405" s="34" t="s">
        <v>100</v>
      </c>
      <c r="D405" s="34" t="s">
        <v>119</v>
      </c>
      <c r="E405" s="34" t="s">
        <v>93</v>
      </c>
      <c r="F405" s="35">
        <v>27</v>
      </c>
      <c r="G405" s="37">
        <v>100</v>
      </c>
      <c r="H405" s="32">
        <f t="shared" si="12"/>
        <v>2700</v>
      </c>
    </row>
    <row r="406" spans="2:8">
      <c r="B406" s="28">
        <v>10203</v>
      </c>
      <c r="C406" s="34" t="s">
        <v>261</v>
      </c>
      <c r="D406" s="34" t="s">
        <v>119</v>
      </c>
      <c r="E406" s="34" t="s">
        <v>93</v>
      </c>
      <c r="F406" s="35">
        <v>47</v>
      </c>
      <c r="G406" s="37">
        <v>100</v>
      </c>
      <c r="H406" s="32">
        <f t="shared" si="12"/>
        <v>4700</v>
      </c>
    </row>
    <row r="407" spans="2:8">
      <c r="B407" s="28">
        <v>10212</v>
      </c>
      <c r="C407" s="34" t="s">
        <v>261</v>
      </c>
      <c r="D407" s="34" t="s">
        <v>119</v>
      </c>
      <c r="E407" s="34" t="s">
        <v>93</v>
      </c>
      <c r="F407" s="35">
        <v>33</v>
      </c>
      <c r="G407" s="37">
        <v>100</v>
      </c>
      <c r="H407" s="32">
        <f t="shared" si="12"/>
        <v>3300</v>
      </c>
    </row>
    <row r="408" spans="2:8">
      <c r="B408" s="28">
        <v>10225</v>
      </c>
      <c r="C408" s="34" t="s">
        <v>574</v>
      </c>
      <c r="D408" s="34" t="s">
        <v>104</v>
      </c>
      <c r="E408" s="34" t="s">
        <v>93</v>
      </c>
      <c r="F408" s="35">
        <v>21</v>
      </c>
      <c r="G408" s="37">
        <v>100</v>
      </c>
      <c r="H408" s="32">
        <f t="shared" si="12"/>
        <v>2100</v>
      </c>
    </row>
    <row r="409" spans="2:8">
      <c r="B409" s="28">
        <v>10239</v>
      </c>
      <c r="C409" s="34" t="s">
        <v>208</v>
      </c>
      <c r="D409" s="34" t="s">
        <v>104</v>
      </c>
      <c r="E409" s="34" t="s">
        <v>93</v>
      </c>
      <c r="F409" s="35">
        <v>21</v>
      </c>
      <c r="G409" s="37">
        <v>93.28</v>
      </c>
      <c r="H409" s="32">
        <f t="shared" si="12"/>
        <v>1958.88</v>
      </c>
    </row>
    <row r="410" spans="2:8">
      <c r="B410" s="28">
        <v>10253</v>
      </c>
      <c r="C410" s="34" t="s">
        <v>252</v>
      </c>
      <c r="D410" s="34" t="s">
        <v>119</v>
      </c>
      <c r="E410" s="34" t="s">
        <v>444</v>
      </c>
      <c r="F410" s="35">
        <v>41</v>
      </c>
      <c r="G410" s="37">
        <v>100</v>
      </c>
      <c r="H410" s="32">
        <f t="shared" si="12"/>
        <v>4100</v>
      </c>
    </row>
    <row r="411" spans="2:8">
      <c r="B411" s="28">
        <v>10266</v>
      </c>
      <c r="C411" s="34" t="s">
        <v>352</v>
      </c>
      <c r="D411" s="34" t="s">
        <v>119</v>
      </c>
      <c r="E411" s="34" t="s">
        <v>93</v>
      </c>
      <c r="F411" s="35">
        <v>40</v>
      </c>
      <c r="G411" s="37">
        <v>100</v>
      </c>
      <c r="H411" s="32">
        <f t="shared" si="12"/>
        <v>4000</v>
      </c>
    </row>
    <row r="412" spans="2:8">
      <c r="B412" s="28">
        <v>10277</v>
      </c>
      <c r="C412" s="34" t="s">
        <v>287</v>
      </c>
      <c r="D412" s="34" t="s">
        <v>119</v>
      </c>
      <c r="E412" s="34" t="s">
        <v>93</v>
      </c>
      <c r="F412" s="35">
        <v>28</v>
      </c>
      <c r="G412" s="37">
        <v>100</v>
      </c>
      <c r="H412" s="32">
        <f t="shared" si="12"/>
        <v>2800</v>
      </c>
    </row>
    <row r="413" spans="2:8">
      <c r="B413" s="28">
        <v>10287</v>
      </c>
      <c r="C413" s="34" t="s">
        <v>574</v>
      </c>
      <c r="D413" s="34" t="s">
        <v>104</v>
      </c>
      <c r="E413" s="34" t="s">
        <v>93</v>
      </c>
      <c r="F413" s="35">
        <v>23</v>
      </c>
      <c r="G413" s="37">
        <v>100</v>
      </c>
      <c r="H413" s="32">
        <f t="shared" si="12"/>
        <v>2300</v>
      </c>
    </row>
    <row r="414" spans="2:8">
      <c r="B414" s="28">
        <v>10300</v>
      </c>
      <c r="C414" s="34" t="s">
        <v>566</v>
      </c>
      <c r="D414" s="34" t="s">
        <v>104</v>
      </c>
      <c r="E414" s="34" t="s">
        <v>93</v>
      </c>
      <c r="F414" s="35">
        <v>23</v>
      </c>
      <c r="G414" s="37">
        <v>100</v>
      </c>
      <c r="H414" s="32">
        <f t="shared" si="12"/>
        <v>2300</v>
      </c>
    </row>
    <row r="415" spans="2:8">
      <c r="B415" s="28">
        <v>10310</v>
      </c>
      <c r="C415" s="34" t="s">
        <v>566</v>
      </c>
      <c r="D415" s="34" t="s">
        <v>104</v>
      </c>
      <c r="E415" s="34" t="s">
        <v>93</v>
      </c>
      <c r="F415" s="35">
        <v>25</v>
      </c>
      <c r="G415" s="37">
        <v>100</v>
      </c>
      <c r="H415" s="32">
        <f t="shared" si="12"/>
        <v>2500</v>
      </c>
    </row>
    <row r="416" spans="2:8">
      <c r="B416" s="28">
        <v>10321</v>
      </c>
      <c r="C416" s="34" t="s">
        <v>100</v>
      </c>
      <c r="D416" s="34" t="s">
        <v>104</v>
      </c>
      <c r="E416" s="34" t="s">
        <v>93</v>
      </c>
      <c r="F416" s="35">
        <v>24</v>
      </c>
      <c r="G416" s="37">
        <v>100</v>
      </c>
      <c r="H416" s="32">
        <f t="shared" si="12"/>
        <v>2400</v>
      </c>
    </row>
    <row r="417" spans="2:8">
      <c r="B417" s="28">
        <v>10329</v>
      </c>
      <c r="C417" s="34" t="s">
        <v>100</v>
      </c>
      <c r="D417" s="34" t="s">
        <v>104</v>
      </c>
      <c r="E417" s="34" t="s">
        <v>93</v>
      </c>
      <c r="F417" s="35">
        <v>39</v>
      </c>
      <c r="G417" s="37">
        <v>64.739999999999995</v>
      </c>
      <c r="H417" s="32">
        <f t="shared" si="12"/>
        <v>2524.8599999999997</v>
      </c>
    </row>
    <row r="418" spans="2:8">
      <c r="B418" s="28">
        <v>10341</v>
      </c>
      <c r="C418" s="34" t="s">
        <v>229</v>
      </c>
      <c r="D418" s="34" t="s">
        <v>119</v>
      </c>
      <c r="E418" s="34" t="s">
        <v>93</v>
      </c>
      <c r="F418" s="35">
        <v>55</v>
      </c>
      <c r="G418" s="37">
        <v>75.2</v>
      </c>
      <c r="H418" s="32">
        <f t="shared" si="12"/>
        <v>4136</v>
      </c>
    </row>
    <row r="419" spans="2:8">
      <c r="B419" s="28">
        <v>10363</v>
      </c>
      <c r="C419" s="34" t="s">
        <v>208</v>
      </c>
      <c r="D419" s="34" t="s">
        <v>119</v>
      </c>
      <c r="E419" s="34" t="s">
        <v>93</v>
      </c>
      <c r="F419" s="35">
        <v>46</v>
      </c>
      <c r="G419" s="37">
        <v>88.45</v>
      </c>
      <c r="H419" s="32">
        <f t="shared" si="12"/>
        <v>4068.7000000000003</v>
      </c>
    </row>
    <row r="420" spans="2:8">
      <c r="B420" s="28">
        <v>10377</v>
      </c>
      <c r="C420" s="34" t="s">
        <v>208</v>
      </c>
      <c r="D420" s="34" t="s">
        <v>119</v>
      </c>
      <c r="E420" s="34" t="s">
        <v>93</v>
      </c>
      <c r="F420" s="35">
        <v>50</v>
      </c>
      <c r="G420" s="37">
        <v>100</v>
      </c>
      <c r="H420" s="32">
        <f t="shared" si="12"/>
        <v>5000</v>
      </c>
    </row>
    <row r="421" spans="2:8">
      <c r="B421" s="28">
        <v>10389</v>
      </c>
      <c r="C421" s="34" t="s">
        <v>273</v>
      </c>
      <c r="D421" s="34" t="s">
        <v>119</v>
      </c>
      <c r="E421" s="34" t="s">
        <v>93</v>
      </c>
      <c r="F421" s="35">
        <v>47</v>
      </c>
      <c r="G421" s="37">
        <v>100</v>
      </c>
      <c r="H421" s="32">
        <f t="shared" si="12"/>
        <v>4700</v>
      </c>
    </row>
    <row r="422" spans="2:8">
      <c r="B422" s="28">
        <v>10405</v>
      </c>
      <c r="C422" s="34" t="s">
        <v>109</v>
      </c>
      <c r="D422" s="34" t="s">
        <v>232</v>
      </c>
      <c r="E422" s="34" t="s">
        <v>93</v>
      </c>
      <c r="F422" s="35">
        <v>97</v>
      </c>
      <c r="G422" s="37">
        <v>93.28</v>
      </c>
      <c r="H422" s="32">
        <f t="shared" si="12"/>
        <v>9048.16</v>
      </c>
    </row>
    <row r="423" spans="2:8">
      <c r="B423" s="28">
        <v>10419</v>
      </c>
      <c r="C423" s="34" t="s">
        <v>229</v>
      </c>
      <c r="D423" s="34" t="s">
        <v>119</v>
      </c>
      <c r="E423" s="34" t="s">
        <v>93</v>
      </c>
      <c r="F423" s="35">
        <v>32</v>
      </c>
      <c r="G423" s="37">
        <v>100</v>
      </c>
      <c r="H423" s="32">
        <f t="shared" si="12"/>
        <v>3200</v>
      </c>
    </row>
    <row r="424" spans="2:8">
      <c r="B424" s="28">
        <v>10103</v>
      </c>
      <c r="C424" s="34" t="s">
        <v>149</v>
      </c>
      <c r="D424" s="34" t="s">
        <v>119</v>
      </c>
      <c r="E424" s="34" t="s">
        <v>93</v>
      </c>
      <c r="F424" s="35">
        <v>35</v>
      </c>
      <c r="G424" s="37">
        <v>100</v>
      </c>
      <c r="H424" s="32">
        <f t="shared" si="12"/>
        <v>3500</v>
      </c>
    </row>
    <row r="425" spans="2:8">
      <c r="B425" s="28">
        <v>10113</v>
      </c>
      <c r="C425" s="34" t="s">
        <v>100</v>
      </c>
      <c r="D425" s="34" t="s">
        <v>119</v>
      </c>
      <c r="E425" s="34" t="s">
        <v>93</v>
      </c>
      <c r="F425" s="35">
        <v>49</v>
      </c>
      <c r="G425" s="37">
        <v>100</v>
      </c>
      <c r="H425" s="32">
        <f t="shared" si="12"/>
        <v>4900</v>
      </c>
    </row>
    <row r="426" spans="2:8">
      <c r="B426" s="28">
        <v>10126</v>
      </c>
      <c r="C426" s="34" t="s">
        <v>261</v>
      </c>
      <c r="D426" s="34" t="s">
        <v>119</v>
      </c>
      <c r="E426" s="34" t="s">
        <v>93</v>
      </c>
      <c r="F426" s="35">
        <v>38</v>
      </c>
      <c r="G426" s="37">
        <v>100</v>
      </c>
      <c r="H426" s="32">
        <f t="shared" si="12"/>
        <v>3800</v>
      </c>
    </row>
    <row r="427" spans="2:8">
      <c r="B427" s="28">
        <v>10140</v>
      </c>
      <c r="C427" s="34" t="s">
        <v>100</v>
      </c>
      <c r="D427" s="34" t="s">
        <v>119</v>
      </c>
      <c r="E427" s="34" t="s">
        <v>93</v>
      </c>
      <c r="F427" s="35">
        <v>32</v>
      </c>
      <c r="G427" s="37">
        <v>100</v>
      </c>
      <c r="H427" s="32">
        <f t="shared" si="12"/>
        <v>3200</v>
      </c>
    </row>
    <row r="428" spans="2:8">
      <c r="B428" s="28">
        <v>10150</v>
      </c>
      <c r="C428" s="34" t="s">
        <v>287</v>
      </c>
      <c r="D428" s="34" t="s">
        <v>119</v>
      </c>
      <c r="E428" s="34" t="s">
        <v>93</v>
      </c>
      <c r="F428" s="35">
        <v>34</v>
      </c>
      <c r="G428" s="37">
        <v>100</v>
      </c>
      <c r="H428" s="32">
        <f t="shared" si="12"/>
        <v>3400</v>
      </c>
    </row>
    <row r="429" spans="2:8">
      <c r="B429" s="28">
        <v>10164</v>
      </c>
      <c r="C429" s="34" t="s">
        <v>229</v>
      </c>
      <c r="D429" s="34" t="s">
        <v>119</v>
      </c>
      <c r="E429" s="34" t="s">
        <v>526</v>
      </c>
      <c r="F429" s="35">
        <v>36</v>
      </c>
      <c r="G429" s="37">
        <v>99.17</v>
      </c>
      <c r="H429" s="32">
        <f t="shared" si="12"/>
        <v>3570.12</v>
      </c>
    </row>
    <row r="430" spans="2:8">
      <c r="B430" s="28">
        <v>10174</v>
      </c>
      <c r="C430" s="34" t="s">
        <v>168</v>
      </c>
      <c r="D430" s="34" t="s">
        <v>119</v>
      </c>
      <c r="E430" s="34" t="s">
        <v>93</v>
      </c>
      <c r="F430" s="35">
        <v>48</v>
      </c>
      <c r="G430" s="37">
        <v>93.34</v>
      </c>
      <c r="H430" s="32">
        <f t="shared" si="12"/>
        <v>4480.32</v>
      </c>
    </row>
    <row r="431" spans="2:8">
      <c r="B431" s="28">
        <v>10183</v>
      </c>
      <c r="C431" s="34" t="s">
        <v>100</v>
      </c>
      <c r="D431" s="34" t="s">
        <v>104</v>
      </c>
      <c r="E431" s="34" t="s">
        <v>93</v>
      </c>
      <c r="F431" s="35">
        <v>21</v>
      </c>
      <c r="G431" s="37">
        <v>96.84</v>
      </c>
      <c r="H431" s="32">
        <f t="shared" si="12"/>
        <v>2033.64</v>
      </c>
    </row>
    <row r="432" spans="2:8">
      <c r="B432" s="28">
        <v>10194</v>
      </c>
      <c r="C432" s="34" t="s">
        <v>109</v>
      </c>
      <c r="D432" s="34" t="s">
        <v>104</v>
      </c>
      <c r="E432" s="34" t="s">
        <v>93</v>
      </c>
      <c r="F432" s="35">
        <v>21</v>
      </c>
      <c r="G432" s="37">
        <v>93.34</v>
      </c>
      <c r="H432" s="32">
        <f t="shared" si="12"/>
        <v>1960.14</v>
      </c>
    </row>
    <row r="433" spans="2:8">
      <c r="B433" s="28">
        <v>10206</v>
      </c>
      <c r="C433" s="34" t="s">
        <v>322</v>
      </c>
      <c r="D433" s="34" t="s">
        <v>119</v>
      </c>
      <c r="E433" s="34" t="s">
        <v>93</v>
      </c>
      <c r="F433" s="35">
        <v>34</v>
      </c>
      <c r="G433" s="37">
        <v>100</v>
      </c>
      <c r="H433" s="32">
        <f t="shared" si="12"/>
        <v>3400</v>
      </c>
    </row>
    <row r="434" spans="2:8">
      <c r="B434" s="28">
        <v>10215</v>
      </c>
      <c r="C434" s="34" t="s">
        <v>100</v>
      </c>
      <c r="D434" s="34" t="s">
        <v>119</v>
      </c>
      <c r="E434" s="34" t="s">
        <v>93</v>
      </c>
      <c r="F434" s="35">
        <v>46</v>
      </c>
      <c r="G434" s="37">
        <v>100</v>
      </c>
      <c r="H434" s="32">
        <f t="shared" si="12"/>
        <v>4600</v>
      </c>
    </row>
    <row r="435" spans="2:8">
      <c r="B435" s="28">
        <v>10228</v>
      </c>
      <c r="C435" s="34" t="s">
        <v>100</v>
      </c>
      <c r="D435" s="34" t="s">
        <v>119</v>
      </c>
      <c r="E435" s="34" t="s">
        <v>93</v>
      </c>
      <c r="F435" s="35">
        <v>32</v>
      </c>
      <c r="G435" s="37">
        <v>100</v>
      </c>
      <c r="H435" s="32">
        <f t="shared" si="12"/>
        <v>3200</v>
      </c>
    </row>
    <row r="436" spans="2:8">
      <c r="B436" s="28">
        <v>10245</v>
      </c>
      <c r="C436" s="34" t="s">
        <v>100</v>
      </c>
      <c r="D436" s="34" t="s">
        <v>119</v>
      </c>
      <c r="E436" s="34" t="s">
        <v>93</v>
      </c>
      <c r="F436" s="35">
        <v>29</v>
      </c>
      <c r="G436" s="37">
        <v>100</v>
      </c>
      <c r="H436" s="32">
        <f t="shared" si="12"/>
        <v>2900</v>
      </c>
    </row>
    <row r="437" spans="2:8">
      <c r="B437" s="28">
        <v>10258</v>
      </c>
      <c r="C437" s="34" t="s">
        <v>288</v>
      </c>
      <c r="D437" s="34" t="s">
        <v>119</v>
      </c>
      <c r="E437" s="34" t="s">
        <v>93</v>
      </c>
      <c r="F437" s="35">
        <v>41</v>
      </c>
      <c r="G437" s="37">
        <v>100</v>
      </c>
      <c r="H437" s="32">
        <f t="shared" si="12"/>
        <v>4100</v>
      </c>
    </row>
    <row r="438" spans="2:8">
      <c r="B438" s="28">
        <v>10270</v>
      </c>
      <c r="C438" s="34" t="s">
        <v>168</v>
      </c>
      <c r="D438" s="34" t="s">
        <v>119</v>
      </c>
      <c r="E438" s="34" t="s">
        <v>93</v>
      </c>
      <c r="F438" s="35">
        <v>43</v>
      </c>
      <c r="G438" s="37">
        <v>96.84</v>
      </c>
      <c r="H438" s="32">
        <f t="shared" si="12"/>
        <v>4164.12</v>
      </c>
    </row>
    <row r="439" spans="2:8">
      <c r="B439" s="28">
        <v>10280</v>
      </c>
      <c r="C439" s="34" t="s">
        <v>352</v>
      </c>
      <c r="D439" s="34" t="s">
        <v>104</v>
      </c>
      <c r="E439" s="34" t="s">
        <v>93</v>
      </c>
      <c r="F439" s="35">
        <v>24</v>
      </c>
      <c r="G439" s="37">
        <v>100</v>
      </c>
      <c r="H439" s="32">
        <f t="shared" si="12"/>
        <v>2400</v>
      </c>
    </row>
    <row r="440" spans="2:8">
      <c r="B440" s="28">
        <v>10291</v>
      </c>
      <c r="C440" s="34" t="s">
        <v>273</v>
      </c>
      <c r="D440" s="34" t="s">
        <v>119</v>
      </c>
      <c r="E440" s="34" t="s">
        <v>93</v>
      </c>
      <c r="F440" s="35">
        <v>41</v>
      </c>
      <c r="G440" s="37">
        <v>100</v>
      </c>
      <c r="H440" s="32">
        <f t="shared" si="12"/>
        <v>4100</v>
      </c>
    </row>
    <row r="441" spans="2:8">
      <c r="B441" s="28">
        <v>10304</v>
      </c>
      <c r="C441" s="34" t="s">
        <v>109</v>
      </c>
      <c r="D441" s="34" t="s">
        <v>119</v>
      </c>
      <c r="E441" s="34" t="s">
        <v>93</v>
      </c>
      <c r="F441" s="35">
        <v>46</v>
      </c>
      <c r="G441" s="37">
        <v>98</v>
      </c>
      <c r="H441" s="32">
        <f t="shared" si="12"/>
        <v>4508</v>
      </c>
    </row>
    <row r="442" spans="2:8">
      <c r="B442" s="28">
        <v>10312</v>
      </c>
      <c r="C442" s="34" t="s">
        <v>100</v>
      </c>
      <c r="D442" s="34" t="s">
        <v>119</v>
      </c>
      <c r="E442" s="34" t="s">
        <v>93</v>
      </c>
      <c r="F442" s="35">
        <v>32</v>
      </c>
      <c r="G442" s="37">
        <v>100</v>
      </c>
      <c r="H442" s="32">
        <f t="shared" si="12"/>
        <v>3200</v>
      </c>
    </row>
    <row r="443" spans="2:8">
      <c r="B443" s="28">
        <v>10322</v>
      </c>
      <c r="C443" s="34" t="s">
        <v>100</v>
      </c>
      <c r="D443" s="34" t="s">
        <v>104</v>
      </c>
      <c r="E443" s="34" t="s">
        <v>93</v>
      </c>
      <c r="F443" s="35">
        <v>22</v>
      </c>
      <c r="G443" s="37">
        <v>100</v>
      </c>
      <c r="H443" s="32">
        <f t="shared" si="12"/>
        <v>2200</v>
      </c>
    </row>
    <row r="444" spans="2:8">
      <c r="B444" s="28">
        <v>10333</v>
      </c>
      <c r="C444" s="34" t="s">
        <v>100</v>
      </c>
      <c r="D444" s="34" t="s">
        <v>104</v>
      </c>
      <c r="E444" s="34" t="s">
        <v>93</v>
      </c>
      <c r="F444" s="35">
        <v>29</v>
      </c>
      <c r="G444" s="37">
        <v>40.25</v>
      </c>
      <c r="H444" s="32">
        <f t="shared" si="12"/>
        <v>1167.25</v>
      </c>
    </row>
    <row r="445" spans="2:8">
      <c r="B445" s="28">
        <v>10347</v>
      </c>
      <c r="C445" s="34" t="s">
        <v>168</v>
      </c>
      <c r="D445" s="34" t="s">
        <v>104</v>
      </c>
      <c r="E445" s="34" t="s">
        <v>93</v>
      </c>
      <c r="F445" s="35">
        <v>42</v>
      </c>
      <c r="G445" s="37">
        <v>49.6</v>
      </c>
      <c r="H445" s="32">
        <f t="shared" si="12"/>
        <v>2083.2000000000003</v>
      </c>
    </row>
    <row r="446" spans="2:8">
      <c r="B446" s="28">
        <v>10357</v>
      </c>
      <c r="C446" s="34" t="s">
        <v>100</v>
      </c>
      <c r="D446" s="34" t="s">
        <v>119</v>
      </c>
      <c r="E446" s="34" t="s">
        <v>93</v>
      </c>
      <c r="F446" s="35">
        <v>39</v>
      </c>
      <c r="G446" s="37">
        <v>98</v>
      </c>
      <c r="H446" s="32">
        <f t="shared" si="12"/>
        <v>3822</v>
      </c>
    </row>
    <row r="447" spans="2:8">
      <c r="B447" s="28">
        <v>10370</v>
      </c>
      <c r="C447" s="34" t="s">
        <v>168</v>
      </c>
      <c r="D447" s="34" t="s">
        <v>119</v>
      </c>
      <c r="E447" s="34" t="s">
        <v>93</v>
      </c>
      <c r="F447" s="35">
        <v>27</v>
      </c>
      <c r="G447" s="37">
        <v>100</v>
      </c>
      <c r="H447" s="32">
        <f t="shared" si="12"/>
        <v>2700</v>
      </c>
    </row>
    <row r="448" spans="2:8">
      <c r="B448" s="28">
        <v>10381</v>
      </c>
      <c r="C448" s="34" t="s">
        <v>100</v>
      </c>
      <c r="D448" s="34" t="s">
        <v>119</v>
      </c>
      <c r="E448" s="34" t="s">
        <v>93</v>
      </c>
      <c r="F448" s="35">
        <v>48</v>
      </c>
      <c r="G448" s="37">
        <v>98</v>
      </c>
      <c r="H448" s="32">
        <f t="shared" si="12"/>
        <v>4704</v>
      </c>
    </row>
    <row r="449" spans="2:8">
      <c r="B449" s="28">
        <v>10391</v>
      </c>
      <c r="C449" s="34" t="s">
        <v>168</v>
      </c>
      <c r="D449" s="34" t="s">
        <v>104</v>
      </c>
      <c r="E449" s="34" t="s">
        <v>93</v>
      </c>
      <c r="F449" s="35">
        <v>29</v>
      </c>
      <c r="G449" s="37">
        <v>85.1</v>
      </c>
      <c r="H449" s="32">
        <f t="shared" si="12"/>
        <v>2467.8999999999996</v>
      </c>
    </row>
    <row r="450" spans="2:8">
      <c r="B450" s="28">
        <v>10411</v>
      </c>
      <c r="C450" s="34" t="s">
        <v>322</v>
      </c>
      <c r="D450" s="34" t="s">
        <v>119</v>
      </c>
      <c r="E450" s="34" t="s">
        <v>93</v>
      </c>
      <c r="F450" s="35">
        <v>27</v>
      </c>
      <c r="G450" s="37">
        <v>100</v>
      </c>
      <c r="H450" s="32">
        <f t="shared" si="12"/>
        <v>2700</v>
      </c>
    </row>
    <row r="451" spans="2:8">
      <c r="B451" s="28">
        <v>10424</v>
      </c>
      <c r="C451" s="34" t="s">
        <v>261</v>
      </c>
      <c r="D451" s="34" t="s">
        <v>232</v>
      </c>
      <c r="E451" s="34" t="s">
        <v>400</v>
      </c>
      <c r="F451" s="35">
        <v>54</v>
      </c>
      <c r="G451" s="37">
        <v>100</v>
      </c>
      <c r="H451" s="32">
        <f t="shared" si="12"/>
        <v>5400</v>
      </c>
    </row>
    <row r="452" spans="2:8">
      <c r="B452" s="28">
        <v>10109</v>
      </c>
      <c r="C452" s="34" t="s">
        <v>100</v>
      </c>
      <c r="D452" s="34" t="s">
        <v>119</v>
      </c>
      <c r="E452" s="34" t="s">
        <v>93</v>
      </c>
      <c r="F452" s="35">
        <v>26</v>
      </c>
      <c r="G452" s="37">
        <v>100</v>
      </c>
      <c r="H452" s="32">
        <f t="shared" si="12"/>
        <v>2600</v>
      </c>
    </row>
    <row r="453" spans="2:8">
      <c r="B453" s="28">
        <v>10122</v>
      </c>
      <c r="C453" s="34" t="s">
        <v>109</v>
      </c>
      <c r="D453" s="34" t="s">
        <v>119</v>
      </c>
      <c r="E453" s="34" t="s">
        <v>93</v>
      </c>
      <c r="F453" s="35">
        <v>34</v>
      </c>
      <c r="G453" s="37">
        <v>100</v>
      </c>
      <c r="H453" s="32">
        <f t="shared" ref="H453:H516" si="13">F453*G453</f>
        <v>3400</v>
      </c>
    </row>
    <row r="454" spans="2:8">
      <c r="B454" s="28">
        <v>10136</v>
      </c>
      <c r="C454" s="34" t="s">
        <v>109</v>
      </c>
      <c r="D454" s="34" t="s">
        <v>119</v>
      </c>
      <c r="E454" s="34" t="s">
        <v>93</v>
      </c>
      <c r="F454" s="35">
        <v>25</v>
      </c>
      <c r="G454" s="37">
        <v>100</v>
      </c>
      <c r="H454" s="32">
        <f t="shared" si="13"/>
        <v>2500</v>
      </c>
    </row>
    <row r="455" spans="2:8">
      <c r="B455" s="28">
        <v>10148</v>
      </c>
      <c r="C455" s="34" t="s">
        <v>168</v>
      </c>
      <c r="D455" s="34" t="s">
        <v>104</v>
      </c>
      <c r="E455" s="34" t="s">
        <v>93</v>
      </c>
      <c r="F455" s="35">
        <v>23</v>
      </c>
      <c r="G455" s="37">
        <v>100</v>
      </c>
      <c r="H455" s="32">
        <f t="shared" si="13"/>
        <v>2300</v>
      </c>
    </row>
    <row r="456" spans="2:8">
      <c r="B456" s="28">
        <v>10161</v>
      </c>
      <c r="C456" s="34" t="s">
        <v>429</v>
      </c>
      <c r="D456" s="34" t="s">
        <v>119</v>
      </c>
      <c r="E456" s="34" t="s">
        <v>93</v>
      </c>
      <c r="F456" s="35">
        <v>28</v>
      </c>
      <c r="G456" s="37">
        <v>100</v>
      </c>
      <c r="H456" s="32">
        <f t="shared" si="13"/>
        <v>2800</v>
      </c>
    </row>
    <row r="457" spans="2:8">
      <c r="B457" s="28">
        <v>10171</v>
      </c>
      <c r="C457" s="34" t="s">
        <v>322</v>
      </c>
      <c r="D457" s="34" t="s">
        <v>119</v>
      </c>
      <c r="E457" s="34" t="s">
        <v>93</v>
      </c>
      <c r="F457" s="35">
        <v>35</v>
      </c>
      <c r="G457" s="37">
        <v>100</v>
      </c>
      <c r="H457" s="32">
        <f t="shared" si="13"/>
        <v>3500</v>
      </c>
    </row>
    <row r="458" spans="2:8">
      <c r="B458" s="28">
        <v>10181</v>
      </c>
      <c r="C458" s="34" t="s">
        <v>149</v>
      </c>
      <c r="D458" s="34" t="s">
        <v>119</v>
      </c>
      <c r="E458" s="34" t="s">
        <v>93</v>
      </c>
      <c r="F458" s="35">
        <v>44</v>
      </c>
      <c r="G458" s="37">
        <v>100</v>
      </c>
      <c r="H458" s="32">
        <f t="shared" si="13"/>
        <v>4400</v>
      </c>
    </row>
    <row r="459" spans="2:8">
      <c r="B459" s="28">
        <v>10192</v>
      </c>
      <c r="C459" s="34" t="s">
        <v>100</v>
      </c>
      <c r="D459" s="34" t="s">
        <v>119</v>
      </c>
      <c r="E459" s="34" t="s">
        <v>93</v>
      </c>
      <c r="F459" s="35">
        <v>22</v>
      </c>
      <c r="G459" s="37">
        <v>100</v>
      </c>
      <c r="H459" s="32">
        <f t="shared" si="13"/>
        <v>2200</v>
      </c>
    </row>
    <row r="460" spans="2:8">
      <c r="B460" s="28">
        <v>10204</v>
      </c>
      <c r="C460" s="34" t="s">
        <v>100</v>
      </c>
      <c r="D460" s="34" t="s">
        <v>119</v>
      </c>
      <c r="E460" s="34" t="s">
        <v>93</v>
      </c>
      <c r="F460" s="35">
        <v>42</v>
      </c>
      <c r="G460" s="37">
        <v>100</v>
      </c>
      <c r="H460" s="32">
        <f t="shared" si="13"/>
        <v>4200</v>
      </c>
    </row>
    <row r="461" spans="2:8">
      <c r="B461" s="28">
        <v>10212</v>
      </c>
      <c r="C461" s="34" t="s">
        <v>261</v>
      </c>
      <c r="D461" s="34" t="s">
        <v>119</v>
      </c>
      <c r="E461" s="34" t="s">
        <v>93</v>
      </c>
      <c r="F461" s="35">
        <v>29</v>
      </c>
      <c r="G461" s="37">
        <v>100</v>
      </c>
      <c r="H461" s="32">
        <f t="shared" si="13"/>
        <v>2900</v>
      </c>
    </row>
    <row r="462" spans="2:8">
      <c r="B462" s="28">
        <v>10225</v>
      </c>
      <c r="C462" s="34" t="s">
        <v>574</v>
      </c>
      <c r="D462" s="34" t="s">
        <v>119</v>
      </c>
      <c r="E462" s="34" t="s">
        <v>93</v>
      </c>
      <c r="F462" s="35">
        <v>32</v>
      </c>
      <c r="G462" s="37">
        <v>100</v>
      </c>
      <c r="H462" s="32">
        <f t="shared" si="13"/>
        <v>3200</v>
      </c>
    </row>
    <row r="463" spans="2:8">
      <c r="B463" s="28">
        <v>10240</v>
      </c>
      <c r="C463" s="34" t="s">
        <v>288</v>
      </c>
      <c r="D463" s="34" t="s">
        <v>119</v>
      </c>
      <c r="E463" s="34" t="s">
        <v>93</v>
      </c>
      <c r="F463" s="35">
        <v>41</v>
      </c>
      <c r="G463" s="37">
        <v>100</v>
      </c>
      <c r="H463" s="32">
        <f t="shared" si="13"/>
        <v>4100</v>
      </c>
    </row>
    <row r="464" spans="2:8">
      <c r="B464" s="28">
        <v>10253</v>
      </c>
      <c r="C464" s="34" t="s">
        <v>252</v>
      </c>
      <c r="D464" s="34" t="s">
        <v>119</v>
      </c>
      <c r="E464" s="34" t="s">
        <v>444</v>
      </c>
      <c r="F464" s="35">
        <v>26</v>
      </c>
      <c r="G464" s="37">
        <v>100</v>
      </c>
      <c r="H464" s="32">
        <f t="shared" si="13"/>
        <v>2600</v>
      </c>
    </row>
    <row r="465" spans="2:8">
      <c r="B465" s="28">
        <v>10266</v>
      </c>
      <c r="C465" s="34" t="s">
        <v>352</v>
      </c>
      <c r="D465" s="34" t="s">
        <v>104</v>
      </c>
      <c r="E465" s="34" t="s">
        <v>93</v>
      </c>
      <c r="F465" s="35">
        <v>21</v>
      </c>
      <c r="G465" s="37">
        <v>100</v>
      </c>
      <c r="H465" s="32">
        <f t="shared" si="13"/>
        <v>2100</v>
      </c>
    </row>
    <row r="466" spans="2:8">
      <c r="B466" s="28">
        <v>10278</v>
      </c>
      <c r="C466" s="34" t="s">
        <v>100</v>
      </c>
      <c r="D466" s="34" t="s">
        <v>119</v>
      </c>
      <c r="E466" s="34" t="s">
        <v>93</v>
      </c>
      <c r="F466" s="35">
        <v>34</v>
      </c>
      <c r="G466" s="37">
        <v>100</v>
      </c>
      <c r="H466" s="32">
        <f t="shared" si="13"/>
        <v>3400</v>
      </c>
    </row>
    <row r="467" spans="2:8">
      <c r="B467" s="28">
        <v>10287</v>
      </c>
      <c r="C467" s="34" t="s">
        <v>574</v>
      </c>
      <c r="D467" s="34" t="s">
        <v>119</v>
      </c>
      <c r="E467" s="34" t="s">
        <v>93</v>
      </c>
      <c r="F467" s="35">
        <v>41</v>
      </c>
      <c r="G467" s="37">
        <v>100</v>
      </c>
      <c r="H467" s="32">
        <f t="shared" si="13"/>
        <v>4100</v>
      </c>
    </row>
    <row r="468" spans="2:8">
      <c r="B468" s="28">
        <v>10301</v>
      </c>
      <c r="C468" s="34" t="s">
        <v>149</v>
      </c>
      <c r="D468" s="34" t="s">
        <v>119</v>
      </c>
      <c r="E468" s="34" t="s">
        <v>93</v>
      </c>
      <c r="F468" s="35">
        <v>37</v>
      </c>
      <c r="G468" s="37">
        <v>100</v>
      </c>
      <c r="H468" s="32">
        <f t="shared" si="13"/>
        <v>3700</v>
      </c>
    </row>
    <row r="469" spans="2:8">
      <c r="B469" s="28">
        <v>10310</v>
      </c>
      <c r="C469" s="34" t="s">
        <v>566</v>
      </c>
      <c r="D469" s="34" t="s">
        <v>119</v>
      </c>
      <c r="E469" s="34" t="s">
        <v>93</v>
      </c>
      <c r="F469" s="35">
        <v>37</v>
      </c>
      <c r="G469" s="37">
        <v>100</v>
      </c>
      <c r="H469" s="32">
        <f t="shared" si="13"/>
        <v>3700</v>
      </c>
    </row>
    <row r="470" spans="2:8">
      <c r="B470" s="28">
        <v>10321</v>
      </c>
      <c r="C470" s="34" t="s">
        <v>100</v>
      </c>
      <c r="D470" s="34" t="s">
        <v>119</v>
      </c>
      <c r="E470" s="34" t="s">
        <v>93</v>
      </c>
      <c r="F470" s="35">
        <v>41</v>
      </c>
      <c r="G470" s="37">
        <v>100</v>
      </c>
      <c r="H470" s="32">
        <f t="shared" si="13"/>
        <v>4100</v>
      </c>
    </row>
    <row r="471" spans="2:8">
      <c r="B471" s="28">
        <v>10331</v>
      </c>
      <c r="C471" s="34" t="s">
        <v>100</v>
      </c>
      <c r="D471" s="34" t="s">
        <v>119</v>
      </c>
      <c r="E471" s="34" t="s">
        <v>93</v>
      </c>
      <c r="F471" s="35">
        <v>46</v>
      </c>
      <c r="G471" s="37">
        <v>100</v>
      </c>
      <c r="H471" s="32">
        <f t="shared" si="13"/>
        <v>4600</v>
      </c>
    </row>
    <row r="472" spans="2:8">
      <c r="B472" s="28">
        <v>10342</v>
      </c>
      <c r="C472" s="34" t="s">
        <v>168</v>
      </c>
      <c r="D472" s="34" t="s">
        <v>119</v>
      </c>
      <c r="E472" s="34" t="s">
        <v>93</v>
      </c>
      <c r="F472" s="35">
        <v>40</v>
      </c>
      <c r="G472" s="37">
        <v>100</v>
      </c>
      <c r="H472" s="32">
        <f t="shared" si="13"/>
        <v>4000</v>
      </c>
    </row>
    <row r="473" spans="2:8">
      <c r="B473" s="28">
        <v>10356</v>
      </c>
      <c r="C473" s="34" t="s">
        <v>109</v>
      </c>
      <c r="D473" s="34" t="s">
        <v>119</v>
      </c>
      <c r="E473" s="34" t="s">
        <v>93</v>
      </c>
      <c r="F473" s="35">
        <v>43</v>
      </c>
      <c r="G473" s="37">
        <v>97.6</v>
      </c>
      <c r="H473" s="32">
        <f t="shared" si="13"/>
        <v>4196.8</v>
      </c>
    </row>
    <row r="474" spans="2:8">
      <c r="B474" s="28">
        <v>10365</v>
      </c>
      <c r="C474" s="34" t="s">
        <v>100</v>
      </c>
      <c r="D474" s="34" t="s">
        <v>104</v>
      </c>
      <c r="E474" s="34" t="s">
        <v>93</v>
      </c>
      <c r="F474" s="35">
        <v>30</v>
      </c>
      <c r="G474" s="37">
        <v>87.06</v>
      </c>
      <c r="H474" s="32">
        <f t="shared" si="13"/>
        <v>2611.8000000000002</v>
      </c>
    </row>
    <row r="475" spans="2:8">
      <c r="B475" s="28">
        <v>10377</v>
      </c>
      <c r="C475" s="34" t="s">
        <v>208</v>
      </c>
      <c r="D475" s="34" t="s">
        <v>119</v>
      </c>
      <c r="E475" s="34" t="s">
        <v>93</v>
      </c>
      <c r="F475" s="35">
        <v>35</v>
      </c>
      <c r="G475" s="37">
        <v>100</v>
      </c>
      <c r="H475" s="32">
        <f t="shared" si="13"/>
        <v>3500</v>
      </c>
    </row>
    <row r="476" spans="2:8">
      <c r="B476" s="28">
        <v>10390</v>
      </c>
      <c r="C476" s="34" t="s">
        <v>100</v>
      </c>
      <c r="D476" s="34" t="s">
        <v>119</v>
      </c>
      <c r="E476" s="34" t="s">
        <v>93</v>
      </c>
      <c r="F476" s="35">
        <v>36</v>
      </c>
      <c r="G476" s="37">
        <v>93.77</v>
      </c>
      <c r="H476" s="32">
        <f t="shared" si="13"/>
        <v>3375.72</v>
      </c>
    </row>
    <row r="477" spans="2:8">
      <c r="B477" s="28">
        <v>10406</v>
      </c>
      <c r="C477" s="34" t="s">
        <v>429</v>
      </c>
      <c r="D477" s="34" t="s">
        <v>232</v>
      </c>
      <c r="E477" s="34" t="s">
        <v>256</v>
      </c>
      <c r="F477" s="35">
        <v>61</v>
      </c>
      <c r="G477" s="37">
        <v>100</v>
      </c>
      <c r="H477" s="32">
        <f t="shared" si="13"/>
        <v>6100</v>
      </c>
    </row>
    <row r="478" spans="2:8">
      <c r="B478" s="28">
        <v>10419</v>
      </c>
      <c r="C478" s="34" t="s">
        <v>229</v>
      </c>
      <c r="D478" s="34" t="s">
        <v>119</v>
      </c>
      <c r="E478" s="34" t="s">
        <v>93</v>
      </c>
      <c r="F478" s="35">
        <v>38</v>
      </c>
      <c r="G478" s="37">
        <v>100</v>
      </c>
      <c r="H478" s="32">
        <f t="shared" si="13"/>
        <v>3800</v>
      </c>
    </row>
    <row r="479" spans="2:8">
      <c r="B479" s="28">
        <v>10102</v>
      </c>
      <c r="C479" s="34" t="s">
        <v>100</v>
      </c>
      <c r="D479" s="34" t="s">
        <v>119</v>
      </c>
      <c r="E479" s="34" t="s">
        <v>93</v>
      </c>
      <c r="F479" s="35">
        <v>39</v>
      </c>
      <c r="G479" s="37">
        <v>100</v>
      </c>
      <c r="H479" s="32">
        <f t="shared" si="13"/>
        <v>3900</v>
      </c>
    </row>
    <row r="480" spans="2:8">
      <c r="B480" s="28">
        <v>10111</v>
      </c>
      <c r="C480" s="34" t="s">
        <v>100</v>
      </c>
      <c r="D480" s="34" t="s">
        <v>119</v>
      </c>
      <c r="E480" s="34" t="s">
        <v>93</v>
      </c>
      <c r="F480" s="35">
        <v>33</v>
      </c>
      <c r="G480" s="37">
        <v>99.66</v>
      </c>
      <c r="H480" s="32">
        <f t="shared" si="13"/>
        <v>3288.7799999999997</v>
      </c>
    </row>
    <row r="481" spans="2:8">
      <c r="B481" s="28">
        <v>10125</v>
      </c>
      <c r="C481" s="34" t="s">
        <v>168</v>
      </c>
      <c r="D481" s="34" t="s">
        <v>119</v>
      </c>
      <c r="E481" s="34" t="s">
        <v>93</v>
      </c>
      <c r="F481" s="35">
        <v>32</v>
      </c>
      <c r="G481" s="37">
        <v>100</v>
      </c>
      <c r="H481" s="32">
        <f t="shared" si="13"/>
        <v>3200</v>
      </c>
    </row>
    <row r="482" spans="2:8">
      <c r="B482" s="28">
        <v>10139</v>
      </c>
      <c r="C482" s="34" t="s">
        <v>168</v>
      </c>
      <c r="D482" s="34" t="s">
        <v>119</v>
      </c>
      <c r="E482" s="34" t="s">
        <v>93</v>
      </c>
      <c r="F482" s="35">
        <v>31</v>
      </c>
      <c r="G482" s="37">
        <v>100</v>
      </c>
      <c r="H482" s="32">
        <f t="shared" si="13"/>
        <v>3100</v>
      </c>
    </row>
    <row r="483" spans="2:8">
      <c r="B483" s="28">
        <v>10149</v>
      </c>
      <c r="C483" s="34" t="s">
        <v>100</v>
      </c>
      <c r="D483" s="34" t="s">
        <v>119</v>
      </c>
      <c r="E483" s="34" t="s">
        <v>93</v>
      </c>
      <c r="F483" s="35">
        <v>50</v>
      </c>
      <c r="G483" s="37">
        <v>100</v>
      </c>
      <c r="H483" s="32">
        <f t="shared" si="13"/>
        <v>5000</v>
      </c>
    </row>
    <row r="484" spans="2:8">
      <c r="B484" s="28">
        <v>10162</v>
      </c>
      <c r="C484" s="34" t="s">
        <v>100</v>
      </c>
      <c r="D484" s="34" t="s">
        <v>119</v>
      </c>
      <c r="E484" s="34" t="s">
        <v>93</v>
      </c>
      <c r="F484" s="35">
        <v>48</v>
      </c>
      <c r="G484" s="37">
        <v>91.44</v>
      </c>
      <c r="H484" s="32">
        <f t="shared" si="13"/>
        <v>4389.12</v>
      </c>
    </row>
    <row r="485" spans="2:8">
      <c r="B485" s="28">
        <v>10173</v>
      </c>
      <c r="C485" s="34" t="s">
        <v>352</v>
      </c>
      <c r="D485" s="34" t="s">
        <v>119</v>
      </c>
      <c r="E485" s="34" t="s">
        <v>93</v>
      </c>
      <c r="F485" s="35">
        <v>43</v>
      </c>
      <c r="G485" s="37">
        <v>100</v>
      </c>
      <c r="H485" s="32">
        <f t="shared" si="13"/>
        <v>4300</v>
      </c>
    </row>
    <row r="486" spans="2:8">
      <c r="B486" s="28">
        <v>10182</v>
      </c>
      <c r="C486" s="34" t="s">
        <v>100</v>
      </c>
      <c r="D486" s="34" t="s">
        <v>104</v>
      </c>
      <c r="E486" s="34" t="s">
        <v>93</v>
      </c>
      <c r="F486" s="35">
        <v>25</v>
      </c>
      <c r="G486" s="37">
        <v>87.33</v>
      </c>
      <c r="H486" s="32">
        <f t="shared" si="13"/>
        <v>2183.25</v>
      </c>
    </row>
    <row r="487" spans="2:8">
      <c r="B487" s="28">
        <v>10193</v>
      </c>
      <c r="C487" s="34" t="s">
        <v>168</v>
      </c>
      <c r="D487" s="34" t="s">
        <v>119</v>
      </c>
      <c r="E487" s="34" t="s">
        <v>93</v>
      </c>
      <c r="F487" s="35">
        <v>28</v>
      </c>
      <c r="G487" s="37">
        <v>100</v>
      </c>
      <c r="H487" s="32">
        <f t="shared" si="13"/>
        <v>2800</v>
      </c>
    </row>
    <row r="488" spans="2:8">
      <c r="B488" s="28">
        <v>10205</v>
      </c>
      <c r="C488" s="34" t="s">
        <v>261</v>
      </c>
      <c r="D488" s="34" t="s">
        <v>119</v>
      </c>
      <c r="E488" s="34" t="s">
        <v>93</v>
      </c>
      <c r="F488" s="35">
        <v>36</v>
      </c>
      <c r="G488" s="37">
        <v>100</v>
      </c>
      <c r="H488" s="32">
        <f t="shared" si="13"/>
        <v>3600</v>
      </c>
    </row>
    <row r="489" spans="2:8">
      <c r="B489" s="28">
        <v>10215</v>
      </c>
      <c r="C489" s="34" t="s">
        <v>100</v>
      </c>
      <c r="D489" s="34" t="s">
        <v>104</v>
      </c>
      <c r="E489" s="34" t="s">
        <v>93</v>
      </c>
      <c r="F489" s="35">
        <v>27</v>
      </c>
      <c r="G489" s="37">
        <v>89.38</v>
      </c>
      <c r="H489" s="32">
        <f t="shared" si="13"/>
        <v>2413.2599999999998</v>
      </c>
    </row>
    <row r="490" spans="2:8">
      <c r="B490" s="28">
        <v>10227</v>
      </c>
      <c r="C490" s="34" t="s">
        <v>109</v>
      </c>
      <c r="D490" s="34" t="s">
        <v>104</v>
      </c>
      <c r="E490" s="34" t="s">
        <v>93</v>
      </c>
      <c r="F490" s="35">
        <v>25</v>
      </c>
      <c r="G490" s="37">
        <v>100</v>
      </c>
      <c r="H490" s="32">
        <f t="shared" si="13"/>
        <v>2500</v>
      </c>
    </row>
    <row r="491" spans="2:8">
      <c r="B491" s="28">
        <v>10244</v>
      </c>
      <c r="C491" s="34" t="s">
        <v>261</v>
      </c>
      <c r="D491" s="34" t="s">
        <v>119</v>
      </c>
      <c r="E491" s="34" t="s">
        <v>93</v>
      </c>
      <c r="F491" s="35">
        <v>40</v>
      </c>
      <c r="G491" s="37">
        <v>100</v>
      </c>
      <c r="H491" s="32">
        <f t="shared" si="13"/>
        <v>4000</v>
      </c>
    </row>
    <row r="492" spans="2:8">
      <c r="B492" s="28">
        <v>10256</v>
      </c>
      <c r="C492" s="34" t="s">
        <v>429</v>
      </c>
      <c r="D492" s="34" t="s">
        <v>119</v>
      </c>
      <c r="E492" s="34" t="s">
        <v>93</v>
      </c>
      <c r="F492" s="35">
        <v>34</v>
      </c>
      <c r="G492" s="37">
        <v>95.55</v>
      </c>
      <c r="H492" s="32">
        <f t="shared" si="13"/>
        <v>3248.7</v>
      </c>
    </row>
    <row r="493" spans="2:8">
      <c r="B493" s="28">
        <v>10280</v>
      </c>
      <c r="C493" s="34" t="s">
        <v>352</v>
      </c>
      <c r="D493" s="34" t="s">
        <v>119</v>
      </c>
      <c r="E493" s="34" t="s">
        <v>93</v>
      </c>
      <c r="F493" s="35">
        <v>50</v>
      </c>
      <c r="G493" s="37">
        <v>100</v>
      </c>
      <c r="H493" s="32">
        <f t="shared" si="13"/>
        <v>5000</v>
      </c>
    </row>
    <row r="494" spans="2:8">
      <c r="B494" s="28">
        <v>10289</v>
      </c>
      <c r="C494" s="34" t="s">
        <v>149</v>
      </c>
      <c r="D494" s="34" t="s">
        <v>119</v>
      </c>
      <c r="E494" s="34" t="s">
        <v>93</v>
      </c>
      <c r="F494" s="35">
        <v>38</v>
      </c>
      <c r="G494" s="37">
        <v>100</v>
      </c>
      <c r="H494" s="32">
        <f t="shared" si="13"/>
        <v>3800</v>
      </c>
    </row>
    <row r="495" spans="2:8">
      <c r="B495" s="28">
        <v>10304</v>
      </c>
      <c r="C495" s="34" t="s">
        <v>109</v>
      </c>
      <c r="D495" s="34" t="s">
        <v>119</v>
      </c>
      <c r="E495" s="34" t="s">
        <v>93</v>
      </c>
      <c r="F495" s="35">
        <v>37</v>
      </c>
      <c r="G495" s="37">
        <v>95.55</v>
      </c>
      <c r="H495" s="32">
        <f t="shared" si="13"/>
        <v>3535.35</v>
      </c>
    </row>
    <row r="496" spans="2:8">
      <c r="B496" s="28">
        <v>10312</v>
      </c>
      <c r="C496" s="34" t="s">
        <v>100</v>
      </c>
      <c r="D496" s="34" t="s">
        <v>119</v>
      </c>
      <c r="E496" s="34" t="s">
        <v>93</v>
      </c>
      <c r="F496" s="35">
        <v>43</v>
      </c>
      <c r="G496" s="37">
        <v>89.38</v>
      </c>
      <c r="H496" s="32">
        <f t="shared" si="13"/>
        <v>3843.3399999999997</v>
      </c>
    </row>
    <row r="497" spans="2:8">
      <c r="B497" s="28">
        <v>10322</v>
      </c>
      <c r="C497" s="34" t="s">
        <v>100</v>
      </c>
      <c r="D497" s="34" t="s">
        <v>119</v>
      </c>
      <c r="E497" s="34" t="s">
        <v>93</v>
      </c>
      <c r="F497" s="35">
        <v>43</v>
      </c>
      <c r="G497" s="37">
        <v>86.3</v>
      </c>
      <c r="H497" s="32">
        <f t="shared" si="13"/>
        <v>3710.9</v>
      </c>
    </row>
    <row r="498" spans="2:8">
      <c r="B498" s="28">
        <v>10332</v>
      </c>
      <c r="C498" s="34" t="s">
        <v>252</v>
      </c>
      <c r="D498" s="34" t="s">
        <v>119</v>
      </c>
      <c r="E498" s="34" t="s">
        <v>93</v>
      </c>
      <c r="F498" s="35">
        <v>46</v>
      </c>
      <c r="G498" s="37">
        <v>95.13</v>
      </c>
      <c r="H498" s="32">
        <f t="shared" si="13"/>
        <v>4375.9799999999996</v>
      </c>
    </row>
    <row r="499" spans="2:8">
      <c r="B499" s="28">
        <v>10346</v>
      </c>
      <c r="C499" s="34" t="s">
        <v>100</v>
      </c>
      <c r="D499" s="34" t="s">
        <v>104</v>
      </c>
      <c r="E499" s="34" t="s">
        <v>93</v>
      </c>
      <c r="F499" s="35">
        <v>42</v>
      </c>
      <c r="G499" s="37">
        <v>36.11</v>
      </c>
      <c r="H499" s="32">
        <f t="shared" si="13"/>
        <v>1516.62</v>
      </c>
    </row>
    <row r="500" spans="2:8">
      <c r="B500" s="28">
        <v>10356</v>
      </c>
      <c r="C500" s="34" t="s">
        <v>109</v>
      </c>
      <c r="D500" s="34" t="s">
        <v>104</v>
      </c>
      <c r="E500" s="34" t="s">
        <v>93</v>
      </c>
      <c r="F500" s="35">
        <v>50</v>
      </c>
      <c r="G500" s="37">
        <v>50.18</v>
      </c>
      <c r="H500" s="32">
        <f t="shared" si="13"/>
        <v>2509</v>
      </c>
    </row>
    <row r="501" spans="2:8">
      <c r="B501" s="28">
        <v>10369</v>
      </c>
      <c r="C501" s="34" t="s">
        <v>100</v>
      </c>
      <c r="D501" s="34" t="s">
        <v>232</v>
      </c>
      <c r="E501" s="34" t="s">
        <v>93</v>
      </c>
      <c r="F501" s="35">
        <v>44</v>
      </c>
      <c r="G501" s="37">
        <v>100</v>
      </c>
      <c r="H501" s="32">
        <f t="shared" si="13"/>
        <v>4400</v>
      </c>
    </row>
    <row r="502" spans="2:8">
      <c r="B502" s="28">
        <v>10380</v>
      </c>
      <c r="C502" s="34" t="s">
        <v>261</v>
      </c>
      <c r="D502" s="34" t="s">
        <v>104</v>
      </c>
      <c r="E502" s="34" t="s">
        <v>93</v>
      </c>
      <c r="F502" s="35">
        <v>27</v>
      </c>
      <c r="G502" s="37">
        <v>93.16</v>
      </c>
      <c r="H502" s="32">
        <f t="shared" si="13"/>
        <v>2515.3199999999997</v>
      </c>
    </row>
    <row r="503" spans="2:8">
      <c r="B503" s="28">
        <v>10391</v>
      </c>
      <c r="C503" s="34" t="s">
        <v>168</v>
      </c>
      <c r="D503" s="34" t="s">
        <v>119</v>
      </c>
      <c r="E503" s="34" t="s">
        <v>93</v>
      </c>
      <c r="F503" s="35">
        <v>35</v>
      </c>
      <c r="G503" s="37">
        <v>100</v>
      </c>
      <c r="H503" s="32">
        <f t="shared" si="13"/>
        <v>3500</v>
      </c>
    </row>
    <row r="504" spans="2:8">
      <c r="B504" s="28">
        <v>10422</v>
      </c>
      <c r="C504" s="34" t="s">
        <v>100</v>
      </c>
      <c r="D504" s="34" t="s">
        <v>119</v>
      </c>
      <c r="E504" s="34" t="s">
        <v>400</v>
      </c>
      <c r="F504" s="35">
        <v>51</v>
      </c>
      <c r="G504" s="37">
        <v>95.55</v>
      </c>
      <c r="H504" s="32">
        <f t="shared" si="13"/>
        <v>4873.05</v>
      </c>
    </row>
    <row r="505" spans="2:8">
      <c r="B505" s="28">
        <v>10102</v>
      </c>
      <c r="C505" s="34" t="s">
        <v>100</v>
      </c>
      <c r="D505" s="34" t="s">
        <v>104</v>
      </c>
      <c r="E505" s="34" t="s">
        <v>93</v>
      </c>
      <c r="F505" s="35">
        <v>41</v>
      </c>
      <c r="G505" s="37">
        <v>50.14</v>
      </c>
      <c r="H505" s="32">
        <f t="shared" si="13"/>
        <v>2055.7400000000002</v>
      </c>
    </row>
    <row r="506" spans="2:8">
      <c r="B506" s="28">
        <v>10111</v>
      </c>
      <c r="C506" s="34" t="s">
        <v>100</v>
      </c>
      <c r="D506" s="34" t="s">
        <v>104</v>
      </c>
      <c r="E506" s="34" t="s">
        <v>93</v>
      </c>
      <c r="F506" s="35">
        <v>48</v>
      </c>
      <c r="G506" s="37">
        <v>49.06</v>
      </c>
      <c r="H506" s="32">
        <f t="shared" si="13"/>
        <v>2354.88</v>
      </c>
    </row>
    <row r="507" spans="2:8">
      <c r="B507" s="28">
        <v>10126</v>
      </c>
      <c r="C507" s="34" t="s">
        <v>261</v>
      </c>
      <c r="D507" s="34" t="s">
        <v>104</v>
      </c>
      <c r="E507" s="34" t="s">
        <v>93</v>
      </c>
      <c r="F507" s="35">
        <v>42</v>
      </c>
      <c r="G507" s="37">
        <v>54.99</v>
      </c>
      <c r="H507" s="32">
        <f t="shared" si="13"/>
        <v>2309.58</v>
      </c>
    </row>
    <row r="508" spans="2:8">
      <c r="B508" s="28">
        <v>10139</v>
      </c>
      <c r="C508" s="34" t="s">
        <v>168</v>
      </c>
      <c r="D508" s="34" t="s">
        <v>104</v>
      </c>
      <c r="E508" s="34" t="s">
        <v>93</v>
      </c>
      <c r="F508" s="35">
        <v>49</v>
      </c>
      <c r="G508" s="37">
        <v>43.13</v>
      </c>
      <c r="H508" s="32">
        <f t="shared" si="13"/>
        <v>2113.3700000000003</v>
      </c>
    </row>
    <row r="509" spans="2:8">
      <c r="B509" s="28">
        <v>10149</v>
      </c>
      <c r="C509" s="34" t="s">
        <v>100</v>
      </c>
      <c r="D509" s="34" t="s">
        <v>104</v>
      </c>
      <c r="E509" s="34" t="s">
        <v>93</v>
      </c>
      <c r="F509" s="35">
        <v>30</v>
      </c>
      <c r="G509" s="37">
        <v>58.22</v>
      </c>
      <c r="H509" s="32">
        <f t="shared" si="13"/>
        <v>1746.6</v>
      </c>
    </row>
    <row r="510" spans="2:8">
      <c r="B510" s="28">
        <v>10162</v>
      </c>
      <c r="C510" s="34" t="s">
        <v>100</v>
      </c>
      <c r="D510" s="34" t="s">
        <v>104</v>
      </c>
      <c r="E510" s="34" t="s">
        <v>93</v>
      </c>
      <c r="F510" s="35">
        <v>45</v>
      </c>
      <c r="G510" s="37">
        <v>51.21</v>
      </c>
      <c r="H510" s="32">
        <f t="shared" si="13"/>
        <v>2304.4499999999998</v>
      </c>
    </row>
    <row r="511" spans="2:8">
      <c r="B511" s="28">
        <v>10173</v>
      </c>
      <c r="C511" s="34" t="s">
        <v>352</v>
      </c>
      <c r="D511" s="34" t="s">
        <v>104</v>
      </c>
      <c r="E511" s="34" t="s">
        <v>93</v>
      </c>
      <c r="F511" s="35">
        <v>48</v>
      </c>
      <c r="G511" s="37">
        <v>44.21</v>
      </c>
      <c r="H511" s="32">
        <f t="shared" si="13"/>
        <v>2122.08</v>
      </c>
    </row>
    <row r="512" spans="2:8">
      <c r="B512" s="28">
        <v>10182</v>
      </c>
      <c r="C512" s="34" t="s">
        <v>100</v>
      </c>
      <c r="D512" s="34" t="s">
        <v>104</v>
      </c>
      <c r="E512" s="34" t="s">
        <v>93</v>
      </c>
      <c r="F512" s="35">
        <v>32</v>
      </c>
      <c r="G512" s="37">
        <v>54.45</v>
      </c>
      <c r="H512" s="32">
        <f t="shared" si="13"/>
        <v>1742.4</v>
      </c>
    </row>
    <row r="513" spans="2:8">
      <c r="B513" s="28">
        <v>10193</v>
      </c>
      <c r="C513" s="34" t="s">
        <v>168</v>
      </c>
      <c r="D513" s="34" t="s">
        <v>104</v>
      </c>
      <c r="E513" s="34" t="s">
        <v>93</v>
      </c>
      <c r="F513" s="35">
        <v>46</v>
      </c>
      <c r="G513" s="37">
        <v>53.37</v>
      </c>
      <c r="H513" s="32">
        <f t="shared" si="13"/>
        <v>2455.02</v>
      </c>
    </row>
    <row r="514" spans="2:8">
      <c r="B514" s="28">
        <v>10205</v>
      </c>
      <c r="C514" s="34" t="s">
        <v>261</v>
      </c>
      <c r="D514" s="34" t="s">
        <v>119</v>
      </c>
      <c r="E514" s="34" t="s">
        <v>93</v>
      </c>
      <c r="F514" s="35">
        <v>48</v>
      </c>
      <c r="G514" s="37">
        <v>63.61</v>
      </c>
      <c r="H514" s="32">
        <f t="shared" si="13"/>
        <v>3053.2799999999997</v>
      </c>
    </row>
    <row r="515" spans="2:8">
      <c r="B515" s="28">
        <v>10215</v>
      </c>
      <c r="C515" s="34" t="s">
        <v>100</v>
      </c>
      <c r="D515" s="34" t="s">
        <v>104</v>
      </c>
      <c r="E515" s="34" t="s">
        <v>93</v>
      </c>
      <c r="F515" s="35">
        <v>33</v>
      </c>
      <c r="G515" s="37">
        <v>43.13</v>
      </c>
      <c r="H515" s="32">
        <f t="shared" si="13"/>
        <v>1423.2900000000002</v>
      </c>
    </row>
    <row r="516" spans="2:8">
      <c r="B516" s="28">
        <v>10227</v>
      </c>
      <c r="C516" s="34" t="s">
        <v>109</v>
      </c>
      <c r="D516" s="34" t="s">
        <v>104</v>
      </c>
      <c r="E516" s="34" t="s">
        <v>93</v>
      </c>
      <c r="F516" s="35">
        <v>31</v>
      </c>
      <c r="G516" s="37">
        <v>48.52</v>
      </c>
      <c r="H516" s="32">
        <f t="shared" si="13"/>
        <v>1504.1200000000001</v>
      </c>
    </row>
    <row r="517" spans="2:8">
      <c r="B517" s="28">
        <v>10244</v>
      </c>
      <c r="C517" s="34" t="s">
        <v>261</v>
      </c>
      <c r="D517" s="34" t="s">
        <v>104</v>
      </c>
      <c r="E517" s="34" t="s">
        <v>93</v>
      </c>
      <c r="F517" s="35">
        <v>20</v>
      </c>
      <c r="G517" s="37">
        <v>58.22</v>
      </c>
      <c r="H517" s="32">
        <f t="shared" ref="H517:H580" si="14">F517*G517</f>
        <v>1164.4000000000001</v>
      </c>
    </row>
    <row r="518" spans="2:8">
      <c r="B518" s="28">
        <v>10256</v>
      </c>
      <c r="C518" s="34" t="s">
        <v>429</v>
      </c>
      <c r="D518" s="34" t="s">
        <v>104</v>
      </c>
      <c r="E518" s="34" t="s">
        <v>93</v>
      </c>
      <c r="F518" s="35">
        <v>29</v>
      </c>
      <c r="G518" s="37">
        <v>51.75</v>
      </c>
      <c r="H518" s="32">
        <f t="shared" si="14"/>
        <v>1500.75</v>
      </c>
    </row>
    <row r="519" spans="2:8">
      <c r="B519" s="28">
        <v>10280</v>
      </c>
      <c r="C519" s="34" t="s">
        <v>352</v>
      </c>
      <c r="D519" s="34" t="s">
        <v>104</v>
      </c>
      <c r="E519" s="34" t="s">
        <v>93</v>
      </c>
      <c r="F519" s="35">
        <v>27</v>
      </c>
      <c r="G519" s="37">
        <v>57.68</v>
      </c>
      <c r="H519" s="32">
        <f t="shared" si="14"/>
        <v>1557.36</v>
      </c>
    </row>
    <row r="520" spans="2:8">
      <c r="B520" s="28">
        <v>10289</v>
      </c>
      <c r="C520" s="34" t="s">
        <v>149</v>
      </c>
      <c r="D520" s="34" t="s">
        <v>104</v>
      </c>
      <c r="E520" s="34" t="s">
        <v>93</v>
      </c>
      <c r="F520" s="35">
        <v>24</v>
      </c>
      <c r="G520" s="37">
        <v>56.07</v>
      </c>
      <c r="H520" s="32">
        <f t="shared" si="14"/>
        <v>1345.68</v>
      </c>
    </row>
    <row r="521" spans="2:8">
      <c r="B521" s="28">
        <v>10304</v>
      </c>
      <c r="C521" s="34" t="s">
        <v>109</v>
      </c>
      <c r="D521" s="34" t="s">
        <v>104</v>
      </c>
      <c r="E521" s="34" t="s">
        <v>93</v>
      </c>
      <c r="F521" s="35">
        <v>37</v>
      </c>
      <c r="G521" s="37">
        <v>48.52</v>
      </c>
      <c r="H521" s="32">
        <f t="shared" si="14"/>
        <v>1795.24</v>
      </c>
    </row>
    <row r="522" spans="2:8">
      <c r="B522" s="28">
        <v>10312</v>
      </c>
      <c r="C522" s="34" t="s">
        <v>100</v>
      </c>
      <c r="D522" s="34" t="s">
        <v>104</v>
      </c>
      <c r="E522" s="34" t="s">
        <v>93</v>
      </c>
      <c r="F522" s="35">
        <v>25</v>
      </c>
      <c r="G522" s="37">
        <v>44.21</v>
      </c>
      <c r="H522" s="32">
        <f t="shared" si="14"/>
        <v>1105.25</v>
      </c>
    </row>
    <row r="523" spans="2:8">
      <c r="B523" s="28">
        <v>10322</v>
      </c>
      <c r="C523" s="34" t="s">
        <v>100</v>
      </c>
      <c r="D523" s="34" t="s">
        <v>104</v>
      </c>
      <c r="E523" s="34" t="s">
        <v>93</v>
      </c>
      <c r="F523" s="35">
        <v>41</v>
      </c>
      <c r="G523" s="37">
        <v>57.68</v>
      </c>
      <c r="H523" s="32">
        <f t="shared" si="14"/>
        <v>2364.88</v>
      </c>
    </row>
    <row r="524" spans="2:8">
      <c r="B524" s="28">
        <v>10332</v>
      </c>
      <c r="C524" s="34" t="s">
        <v>252</v>
      </c>
      <c r="D524" s="34" t="s">
        <v>104</v>
      </c>
      <c r="E524" s="34" t="s">
        <v>93</v>
      </c>
      <c r="F524" s="35">
        <v>27</v>
      </c>
      <c r="G524" s="37">
        <v>89.89</v>
      </c>
      <c r="H524" s="32">
        <f t="shared" si="14"/>
        <v>2427.0300000000002</v>
      </c>
    </row>
    <row r="525" spans="2:8">
      <c r="B525" s="28">
        <v>10347</v>
      </c>
      <c r="C525" s="34" t="s">
        <v>168</v>
      </c>
      <c r="D525" s="34" t="s">
        <v>104</v>
      </c>
      <c r="E525" s="34" t="s">
        <v>93</v>
      </c>
      <c r="F525" s="35">
        <v>21</v>
      </c>
      <c r="G525" s="37">
        <v>58.95</v>
      </c>
      <c r="H525" s="32">
        <f t="shared" si="14"/>
        <v>1237.95</v>
      </c>
    </row>
    <row r="526" spans="2:8">
      <c r="B526" s="28">
        <v>10356</v>
      </c>
      <c r="C526" s="34" t="s">
        <v>109</v>
      </c>
      <c r="D526" s="34" t="s">
        <v>104</v>
      </c>
      <c r="E526" s="34" t="s">
        <v>93</v>
      </c>
      <c r="F526" s="35">
        <v>22</v>
      </c>
      <c r="G526" s="37">
        <v>72.41</v>
      </c>
      <c r="H526" s="32">
        <f t="shared" si="14"/>
        <v>1593.02</v>
      </c>
    </row>
    <row r="527" spans="2:8">
      <c r="B527" s="28">
        <v>10369</v>
      </c>
      <c r="C527" s="34" t="s">
        <v>100</v>
      </c>
      <c r="D527" s="34" t="s">
        <v>119</v>
      </c>
      <c r="E527" s="34" t="s">
        <v>93</v>
      </c>
      <c r="F527" s="35">
        <v>32</v>
      </c>
      <c r="G527" s="37">
        <v>98.63</v>
      </c>
      <c r="H527" s="32">
        <f t="shared" si="14"/>
        <v>3156.16</v>
      </c>
    </row>
    <row r="528" spans="2:8">
      <c r="B528" s="28">
        <v>10381</v>
      </c>
      <c r="C528" s="34" t="s">
        <v>100</v>
      </c>
      <c r="D528" s="34" t="s">
        <v>104</v>
      </c>
      <c r="E528" s="34" t="s">
        <v>93</v>
      </c>
      <c r="F528" s="35">
        <v>25</v>
      </c>
      <c r="G528" s="37">
        <v>52.83</v>
      </c>
      <c r="H528" s="32">
        <f t="shared" si="14"/>
        <v>1320.75</v>
      </c>
    </row>
    <row r="529" spans="2:8">
      <c r="B529" s="28">
        <v>10391</v>
      </c>
      <c r="C529" s="34" t="s">
        <v>168</v>
      </c>
      <c r="D529" s="34" t="s">
        <v>119</v>
      </c>
      <c r="E529" s="34" t="s">
        <v>93</v>
      </c>
      <c r="F529" s="35">
        <v>42</v>
      </c>
      <c r="G529" s="37">
        <v>100</v>
      </c>
      <c r="H529" s="32">
        <f t="shared" si="14"/>
        <v>4200</v>
      </c>
    </row>
    <row r="530" spans="2:8">
      <c r="B530" s="28">
        <v>10422</v>
      </c>
      <c r="C530" s="34" t="s">
        <v>100</v>
      </c>
      <c r="D530" s="34" t="s">
        <v>104</v>
      </c>
      <c r="E530" s="34" t="s">
        <v>400</v>
      </c>
      <c r="F530" s="35">
        <v>25</v>
      </c>
      <c r="G530" s="37">
        <v>51.75</v>
      </c>
      <c r="H530" s="32">
        <f t="shared" si="14"/>
        <v>1293.75</v>
      </c>
    </row>
    <row r="531" spans="2:8">
      <c r="B531" s="28">
        <v>10110</v>
      </c>
      <c r="C531" s="34" t="s">
        <v>252</v>
      </c>
      <c r="D531" s="34" t="s">
        <v>119</v>
      </c>
      <c r="E531" s="34" t="s">
        <v>93</v>
      </c>
      <c r="F531" s="35">
        <v>37</v>
      </c>
      <c r="G531" s="37">
        <v>100</v>
      </c>
      <c r="H531" s="32">
        <f t="shared" si="14"/>
        <v>3700</v>
      </c>
    </row>
    <row r="532" spans="2:8">
      <c r="B532" s="28">
        <v>10123</v>
      </c>
      <c r="C532" s="34" t="s">
        <v>109</v>
      </c>
      <c r="D532" s="34" t="s">
        <v>119</v>
      </c>
      <c r="E532" s="34" t="s">
        <v>93</v>
      </c>
      <c r="F532" s="35">
        <v>26</v>
      </c>
      <c r="G532" s="37">
        <v>100</v>
      </c>
      <c r="H532" s="32">
        <f t="shared" si="14"/>
        <v>2600</v>
      </c>
    </row>
    <row r="533" spans="2:8">
      <c r="B533" s="28">
        <v>10137</v>
      </c>
      <c r="C533" s="34" t="s">
        <v>109</v>
      </c>
      <c r="D533" s="34" t="s">
        <v>119</v>
      </c>
      <c r="E533" s="34" t="s">
        <v>93</v>
      </c>
      <c r="F533" s="35">
        <v>44</v>
      </c>
      <c r="G533" s="37">
        <v>99.55</v>
      </c>
      <c r="H533" s="32">
        <f t="shared" si="14"/>
        <v>4380.2</v>
      </c>
    </row>
    <row r="534" spans="2:8">
      <c r="B534" s="28">
        <v>10148</v>
      </c>
      <c r="C534" s="34" t="s">
        <v>168</v>
      </c>
      <c r="D534" s="34" t="s">
        <v>119</v>
      </c>
      <c r="E534" s="34" t="s">
        <v>93</v>
      </c>
      <c r="F534" s="35">
        <v>47</v>
      </c>
      <c r="G534" s="37">
        <v>100</v>
      </c>
      <c r="H534" s="32">
        <f t="shared" si="14"/>
        <v>4700</v>
      </c>
    </row>
    <row r="535" spans="2:8">
      <c r="B535" s="28">
        <v>10161</v>
      </c>
      <c r="C535" s="34" t="s">
        <v>429</v>
      </c>
      <c r="D535" s="34" t="s">
        <v>119</v>
      </c>
      <c r="E535" s="34" t="s">
        <v>93</v>
      </c>
      <c r="F535" s="35">
        <v>43</v>
      </c>
      <c r="G535" s="37">
        <v>100</v>
      </c>
      <c r="H535" s="32">
        <f t="shared" si="14"/>
        <v>4300</v>
      </c>
    </row>
    <row r="536" spans="2:8">
      <c r="B536" s="28">
        <v>10172</v>
      </c>
      <c r="C536" s="34" t="s">
        <v>100</v>
      </c>
      <c r="D536" s="34" t="s">
        <v>119</v>
      </c>
      <c r="E536" s="34" t="s">
        <v>93</v>
      </c>
      <c r="F536" s="35">
        <v>42</v>
      </c>
      <c r="G536" s="37">
        <v>100</v>
      </c>
      <c r="H536" s="32">
        <f t="shared" si="14"/>
        <v>4200</v>
      </c>
    </row>
    <row r="537" spans="2:8">
      <c r="B537" s="28">
        <v>10181</v>
      </c>
      <c r="C537" s="34" t="s">
        <v>149</v>
      </c>
      <c r="D537" s="34" t="s">
        <v>119</v>
      </c>
      <c r="E537" s="34" t="s">
        <v>93</v>
      </c>
      <c r="F537" s="35">
        <v>42</v>
      </c>
      <c r="G537" s="37">
        <v>100</v>
      </c>
      <c r="H537" s="32">
        <f t="shared" si="14"/>
        <v>4200</v>
      </c>
    </row>
    <row r="538" spans="2:8">
      <c r="B538" s="28">
        <v>10192</v>
      </c>
      <c r="C538" s="34" t="s">
        <v>100</v>
      </c>
      <c r="D538" s="34" t="s">
        <v>119</v>
      </c>
      <c r="E538" s="34" t="s">
        <v>93</v>
      </c>
      <c r="F538" s="35">
        <v>29</v>
      </c>
      <c r="G538" s="37">
        <v>100</v>
      </c>
      <c r="H538" s="32">
        <f t="shared" si="14"/>
        <v>2900</v>
      </c>
    </row>
    <row r="539" spans="2:8">
      <c r="B539" s="28">
        <v>10204</v>
      </c>
      <c r="C539" s="34" t="s">
        <v>100</v>
      </c>
      <c r="D539" s="34" t="s">
        <v>119</v>
      </c>
      <c r="E539" s="34" t="s">
        <v>93</v>
      </c>
      <c r="F539" s="35">
        <v>40</v>
      </c>
      <c r="G539" s="37">
        <v>100</v>
      </c>
      <c r="H539" s="32">
        <f t="shared" si="14"/>
        <v>4000</v>
      </c>
    </row>
    <row r="540" spans="2:8">
      <c r="B540" s="28">
        <v>10212</v>
      </c>
      <c r="C540" s="34" t="s">
        <v>261</v>
      </c>
      <c r="D540" s="34" t="s">
        <v>119</v>
      </c>
      <c r="E540" s="34" t="s">
        <v>93</v>
      </c>
      <c r="F540" s="35">
        <v>38</v>
      </c>
      <c r="G540" s="37">
        <v>100</v>
      </c>
      <c r="H540" s="32">
        <f t="shared" si="14"/>
        <v>3800</v>
      </c>
    </row>
    <row r="541" spans="2:8">
      <c r="B541" s="28">
        <v>10226</v>
      </c>
      <c r="C541" s="34" t="s">
        <v>100</v>
      </c>
      <c r="D541" s="34" t="s">
        <v>119</v>
      </c>
      <c r="E541" s="34" t="s">
        <v>93</v>
      </c>
      <c r="F541" s="35">
        <v>38</v>
      </c>
      <c r="G541" s="37">
        <v>100</v>
      </c>
      <c r="H541" s="32">
        <f t="shared" si="14"/>
        <v>3800</v>
      </c>
    </row>
    <row r="542" spans="2:8">
      <c r="B542" s="28">
        <v>10241</v>
      </c>
      <c r="C542" s="34" t="s">
        <v>109</v>
      </c>
      <c r="D542" s="34" t="s">
        <v>104</v>
      </c>
      <c r="E542" s="34" t="s">
        <v>93</v>
      </c>
      <c r="F542" s="35">
        <v>21</v>
      </c>
      <c r="G542" s="37">
        <v>100</v>
      </c>
      <c r="H542" s="32">
        <f t="shared" si="14"/>
        <v>2100</v>
      </c>
    </row>
    <row r="543" spans="2:8">
      <c r="B543" s="28">
        <v>10253</v>
      </c>
      <c r="C543" s="34" t="s">
        <v>252</v>
      </c>
      <c r="D543" s="34" t="s">
        <v>119</v>
      </c>
      <c r="E543" s="34" t="s">
        <v>444</v>
      </c>
      <c r="F543" s="35">
        <v>24</v>
      </c>
      <c r="G543" s="37">
        <v>100</v>
      </c>
      <c r="H543" s="32">
        <f t="shared" si="14"/>
        <v>2400</v>
      </c>
    </row>
    <row r="544" spans="2:8">
      <c r="B544" s="28">
        <v>10266</v>
      </c>
      <c r="C544" s="34" t="s">
        <v>352</v>
      </c>
      <c r="D544" s="34" t="s">
        <v>119</v>
      </c>
      <c r="E544" s="34" t="s">
        <v>93</v>
      </c>
      <c r="F544" s="35">
        <v>36</v>
      </c>
      <c r="G544" s="37">
        <v>100</v>
      </c>
      <c r="H544" s="32">
        <f t="shared" si="14"/>
        <v>3600</v>
      </c>
    </row>
    <row r="545" spans="2:8">
      <c r="B545" s="28">
        <v>10278</v>
      </c>
      <c r="C545" s="34" t="s">
        <v>100</v>
      </c>
      <c r="D545" s="34" t="s">
        <v>104</v>
      </c>
      <c r="E545" s="34" t="s">
        <v>93</v>
      </c>
      <c r="F545" s="35">
        <v>23</v>
      </c>
      <c r="G545" s="37">
        <v>100</v>
      </c>
      <c r="H545" s="32">
        <f t="shared" si="14"/>
        <v>2300</v>
      </c>
    </row>
    <row r="546" spans="2:8">
      <c r="B546" s="28">
        <v>10288</v>
      </c>
      <c r="C546" s="34" t="s">
        <v>287</v>
      </c>
      <c r="D546" s="34" t="s">
        <v>104</v>
      </c>
      <c r="E546" s="34" t="s">
        <v>93</v>
      </c>
      <c r="F546" s="35">
        <v>20</v>
      </c>
      <c r="G546" s="37">
        <v>100</v>
      </c>
      <c r="H546" s="32">
        <f t="shared" si="14"/>
        <v>2000</v>
      </c>
    </row>
    <row r="547" spans="2:8">
      <c r="B547" s="28">
        <v>10301</v>
      </c>
      <c r="C547" s="34" t="s">
        <v>149</v>
      </c>
      <c r="D547" s="34" t="s">
        <v>119</v>
      </c>
      <c r="E547" s="34" t="s">
        <v>93</v>
      </c>
      <c r="F547" s="35">
        <v>32</v>
      </c>
      <c r="G547" s="37">
        <v>100</v>
      </c>
      <c r="H547" s="32">
        <f t="shared" si="14"/>
        <v>3200</v>
      </c>
    </row>
    <row r="548" spans="2:8">
      <c r="B548" s="28">
        <v>10311</v>
      </c>
      <c r="C548" s="34" t="s">
        <v>261</v>
      </c>
      <c r="D548" s="34" t="s">
        <v>104</v>
      </c>
      <c r="E548" s="34" t="s">
        <v>93</v>
      </c>
      <c r="F548" s="35">
        <v>29</v>
      </c>
      <c r="G548" s="37">
        <v>100</v>
      </c>
      <c r="H548" s="32">
        <f t="shared" si="14"/>
        <v>2900</v>
      </c>
    </row>
    <row r="549" spans="2:8">
      <c r="B549" s="28">
        <v>10321</v>
      </c>
      <c r="C549" s="34" t="s">
        <v>100</v>
      </c>
      <c r="D549" s="34" t="s">
        <v>119</v>
      </c>
      <c r="E549" s="34" t="s">
        <v>93</v>
      </c>
      <c r="F549" s="35">
        <v>44</v>
      </c>
      <c r="G549" s="37">
        <v>100</v>
      </c>
      <c r="H549" s="32">
        <f t="shared" si="14"/>
        <v>4400</v>
      </c>
    </row>
    <row r="550" spans="2:8">
      <c r="B550" s="28">
        <v>10331</v>
      </c>
      <c r="C550" s="34" t="s">
        <v>100</v>
      </c>
      <c r="D550" s="34" t="s">
        <v>119</v>
      </c>
      <c r="E550" s="34" t="s">
        <v>93</v>
      </c>
      <c r="F550" s="35">
        <v>44</v>
      </c>
      <c r="G550" s="37">
        <v>100</v>
      </c>
      <c r="H550" s="32">
        <f t="shared" si="14"/>
        <v>4400</v>
      </c>
    </row>
    <row r="551" spans="2:8">
      <c r="B551" s="28">
        <v>10343</v>
      </c>
      <c r="C551" s="34" t="s">
        <v>109</v>
      </c>
      <c r="D551" s="34" t="s">
        <v>119</v>
      </c>
      <c r="E551" s="34" t="s">
        <v>93</v>
      </c>
      <c r="F551" s="35">
        <v>36</v>
      </c>
      <c r="G551" s="37">
        <v>100</v>
      </c>
      <c r="H551" s="32">
        <f t="shared" si="14"/>
        <v>3600</v>
      </c>
    </row>
    <row r="552" spans="2:8">
      <c r="B552" s="28">
        <v>10367</v>
      </c>
      <c r="C552" s="34" t="s">
        <v>100</v>
      </c>
      <c r="D552" s="34" t="s">
        <v>104</v>
      </c>
      <c r="E552" s="34" t="s">
        <v>526</v>
      </c>
      <c r="F552" s="35">
        <v>49</v>
      </c>
      <c r="G552" s="37">
        <v>56.3</v>
      </c>
      <c r="H552" s="32">
        <f t="shared" si="14"/>
        <v>2758.7</v>
      </c>
    </row>
    <row r="553" spans="2:8">
      <c r="B553" s="28">
        <v>10378</v>
      </c>
      <c r="C553" s="34" t="s">
        <v>261</v>
      </c>
      <c r="D553" s="34" t="s">
        <v>104</v>
      </c>
      <c r="E553" s="34" t="s">
        <v>93</v>
      </c>
      <c r="F553" s="35">
        <v>34</v>
      </c>
      <c r="G553" s="37">
        <v>42.64</v>
      </c>
      <c r="H553" s="32">
        <f t="shared" si="14"/>
        <v>1449.76</v>
      </c>
    </row>
    <row r="554" spans="2:8">
      <c r="B554" s="28">
        <v>10407</v>
      </c>
      <c r="C554" s="34" t="s">
        <v>100</v>
      </c>
      <c r="D554" s="34" t="s">
        <v>232</v>
      </c>
      <c r="E554" s="34" t="s">
        <v>518</v>
      </c>
      <c r="F554" s="35">
        <v>59</v>
      </c>
      <c r="G554" s="37">
        <v>100</v>
      </c>
      <c r="H554" s="32">
        <f t="shared" si="14"/>
        <v>5900</v>
      </c>
    </row>
    <row r="555" spans="2:8">
      <c r="B555" s="28">
        <v>10419</v>
      </c>
      <c r="C555" s="34" t="s">
        <v>229</v>
      </c>
      <c r="D555" s="34" t="s">
        <v>119</v>
      </c>
      <c r="E555" s="34" t="s">
        <v>93</v>
      </c>
      <c r="F555" s="35">
        <v>37</v>
      </c>
      <c r="G555" s="37">
        <v>100</v>
      </c>
      <c r="H555" s="32">
        <f t="shared" si="14"/>
        <v>3700</v>
      </c>
    </row>
    <row r="556" spans="2:8">
      <c r="B556" s="28">
        <v>10106</v>
      </c>
      <c r="C556" s="34" t="s">
        <v>352</v>
      </c>
      <c r="D556" s="34" t="s">
        <v>119</v>
      </c>
      <c r="E556" s="34" t="s">
        <v>93</v>
      </c>
      <c r="F556" s="35">
        <v>36</v>
      </c>
      <c r="G556" s="37">
        <v>100</v>
      </c>
      <c r="H556" s="32">
        <f t="shared" si="14"/>
        <v>3600</v>
      </c>
    </row>
    <row r="557" spans="2:8">
      <c r="B557" s="28">
        <v>10119</v>
      </c>
      <c r="C557" s="34" t="s">
        <v>229</v>
      </c>
      <c r="D557" s="34" t="s">
        <v>119</v>
      </c>
      <c r="E557" s="34" t="s">
        <v>93</v>
      </c>
      <c r="F557" s="35">
        <v>43</v>
      </c>
      <c r="G557" s="37">
        <v>100</v>
      </c>
      <c r="H557" s="32">
        <f t="shared" si="14"/>
        <v>4300</v>
      </c>
    </row>
    <row r="558" spans="2:8">
      <c r="B558" s="28">
        <v>10131</v>
      </c>
      <c r="C558" s="34" t="s">
        <v>100</v>
      </c>
      <c r="D558" s="34" t="s">
        <v>104</v>
      </c>
      <c r="E558" s="34" t="s">
        <v>93</v>
      </c>
      <c r="F558" s="35">
        <v>21</v>
      </c>
      <c r="G558" s="37">
        <v>100</v>
      </c>
      <c r="H558" s="32">
        <f t="shared" si="14"/>
        <v>2100</v>
      </c>
    </row>
    <row r="559" spans="2:8">
      <c r="B559" s="28">
        <v>10143</v>
      </c>
      <c r="C559" s="34" t="s">
        <v>100</v>
      </c>
      <c r="D559" s="34" t="s">
        <v>119</v>
      </c>
      <c r="E559" s="34" t="s">
        <v>93</v>
      </c>
      <c r="F559" s="35">
        <v>32</v>
      </c>
      <c r="G559" s="37">
        <v>100</v>
      </c>
      <c r="H559" s="32">
        <f t="shared" si="14"/>
        <v>3200</v>
      </c>
    </row>
    <row r="560" spans="2:8">
      <c r="B560" s="28">
        <v>10155</v>
      </c>
      <c r="C560" s="34" t="s">
        <v>208</v>
      </c>
      <c r="D560" s="34" t="s">
        <v>119</v>
      </c>
      <c r="E560" s="34" t="s">
        <v>93</v>
      </c>
      <c r="F560" s="35">
        <v>38</v>
      </c>
      <c r="G560" s="37">
        <v>100</v>
      </c>
      <c r="H560" s="32">
        <f t="shared" si="14"/>
        <v>3800</v>
      </c>
    </row>
    <row r="561" spans="2:8">
      <c r="B561" s="28">
        <v>10167</v>
      </c>
      <c r="C561" s="34" t="s">
        <v>273</v>
      </c>
      <c r="D561" s="34" t="s">
        <v>119</v>
      </c>
      <c r="E561" s="34" t="s">
        <v>444</v>
      </c>
      <c r="F561" s="35">
        <v>43</v>
      </c>
      <c r="G561" s="37">
        <v>100</v>
      </c>
      <c r="H561" s="32">
        <f t="shared" si="14"/>
        <v>4300</v>
      </c>
    </row>
    <row r="562" spans="2:8">
      <c r="B562" s="28">
        <v>10178</v>
      </c>
      <c r="C562" s="34" t="s">
        <v>109</v>
      </c>
      <c r="D562" s="34" t="s">
        <v>119</v>
      </c>
      <c r="E562" s="34" t="s">
        <v>93</v>
      </c>
      <c r="F562" s="35">
        <v>42</v>
      </c>
      <c r="G562" s="37">
        <v>100</v>
      </c>
      <c r="H562" s="32">
        <f t="shared" si="14"/>
        <v>4200</v>
      </c>
    </row>
    <row r="563" spans="2:8">
      <c r="B563" s="28">
        <v>10186</v>
      </c>
      <c r="C563" s="34" t="s">
        <v>252</v>
      </c>
      <c r="D563" s="34" t="s">
        <v>119</v>
      </c>
      <c r="E563" s="34" t="s">
        <v>93</v>
      </c>
      <c r="F563" s="35">
        <v>32</v>
      </c>
      <c r="G563" s="37">
        <v>100</v>
      </c>
      <c r="H563" s="32">
        <f t="shared" si="14"/>
        <v>3200</v>
      </c>
    </row>
    <row r="564" spans="2:8">
      <c r="B564" s="28">
        <v>10198</v>
      </c>
      <c r="C564" s="34" t="s">
        <v>552</v>
      </c>
      <c r="D564" s="34" t="s">
        <v>232</v>
      </c>
      <c r="E564" s="34" t="s">
        <v>93</v>
      </c>
      <c r="F564" s="35">
        <v>42</v>
      </c>
      <c r="G564" s="37">
        <v>100</v>
      </c>
      <c r="H564" s="32">
        <f t="shared" si="14"/>
        <v>4200</v>
      </c>
    </row>
    <row r="565" spans="2:8">
      <c r="B565" s="28">
        <v>10210</v>
      </c>
      <c r="C565" s="34" t="s">
        <v>288</v>
      </c>
      <c r="D565" s="34" t="s">
        <v>119</v>
      </c>
      <c r="E565" s="34" t="s">
        <v>93</v>
      </c>
      <c r="F565" s="35">
        <v>31</v>
      </c>
      <c r="G565" s="37">
        <v>100</v>
      </c>
      <c r="H565" s="32">
        <f t="shared" si="14"/>
        <v>3100</v>
      </c>
    </row>
    <row r="566" spans="2:8">
      <c r="B566" s="28">
        <v>10222</v>
      </c>
      <c r="C566" s="34" t="s">
        <v>100</v>
      </c>
      <c r="D566" s="34" t="s">
        <v>119</v>
      </c>
      <c r="E566" s="34" t="s">
        <v>93</v>
      </c>
      <c r="F566" s="35">
        <v>49</v>
      </c>
      <c r="G566" s="37">
        <v>100</v>
      </c>
      <c r="H566" s="32">
        <f t="shared" si="14"/>
        <v>4900</v>
      </c>
    </row>
    <row r="567" spans="2:8">
      <c r="B567" s="28">
        <v>10250</v>
      </c>
      <c r="C567" s="34" t="s">
        <v>100</v>
      </c>
      <c r="D567" s="34" t="s">
        <v>232</v>
      </c>
      <c r="E567" s="34" t="s">
        <v>93</v>
      </c>
      <c r="F567" s="35">
        <v>45</v>
      </c>
      <c r="G567" s="37">
        <v>100</v>
      </c>
      <c r="H567" s="32">
        <f t="shared" si="14"/>
        <v>4500</v>
      </c>
    </row>
    <row r="568" spans="2:8">
      <c r="B568" s="28">
        <v>10262</v>
      </c>
      <c r="C568" s="34" t="s">
        <v>261</v>
      </c>
      <c r="D568" s="34" t="s">
        <v>119</v>
      </c>
      <c r="E568" s="34" t="s">
        <v>444</v>
      </c>
      <c r="F568" s="35">
        <v>49</v>
      </c>
      <c r="G568" s="37">
        <v>100</v>
      </c>
      <c r="H568" s="32">
        <f t="shared" si="14"/>
        <v>4900</v>
      </c>
    </row>
    <row r="569" spans="2:8">
      <c r="B569" s="28">
        <v>10274</v>
      </c>
      <c r="C569" s="34" t="s">
        <v>100</v>
      </c>
      <c r="D569" s="34" t="s">
        <v>119</v>
      </c>
      <c r="E569" s="34" t="s">
        <v>93</v>
      </c>
      <c r="F569" s="35">
        <v>41</v>
      </c>
      <c r="G569" s="37">
        <v>100</v>
      </c>
      <c r="H569" s="32">
        <f t="shared" si="14"/>
        <v>4100</v>
      </c>
    </row>
    <row r="570" spans="2:8">
      <c r="B570" s="28">
        <v>10284</v>
      </c>
      <c r="C570" s="34" t="s">
        <v>149</v>
      </c>
      <c r="D570" s="34" t="s">
        <v>119</v>
      </c>
      <c r="E570" s="34" t="s">
        <v>93</v>
      </c>
      <c r="F570" s="35">
        <v>45</v>
      </c>
      <c r="G570" s="37">
        <v>100</v>
      </c>
      <c r="H570" s="32">
        <f t="shared" si="14"/>
        <v>4500</v>
      </c>
    </row>
    <row r="571" spans="2:8">
      <c r="B571" s="28">
        <v>10296</v>
      </c>
      <c r="C571" s="34" t="s">
        <v>566</v>
      </c>
      <c r="D571" s="34" t="s">
        <v>119</v>
      </c>
      <c r="E571" s="34" t="s">
        <v>93</v>
      </c>
      <c r="F571" s="35">
        <v>36</v>
      </c>
      <c r="G571" s="37">
        <v>100</v>
      </c>
      <c r="H571" s="32">
        <f t="shared" si="14"/>
        <v>3600</v>
      </c>
    </row>
    <row r="572" spans="2:8">
      <c r="B572" s="28">
        <v>10307</v>
      </c>
      <c r="C572" s="34" t="s">
        <v>100</v>
      </c>
      <c r="D572" s="34" t="s">
        <v>232</v>
      </c>
      <c r="E572" s="34" t="s">
        <v>93</v>
      </c>
      <c r="F572" s="35">
        <v>39</v>
      </c>
      <c r="G572" s="37">
        <v>100</v>
      </c>
      <c r="H572" s="32">
        <f t="shared" si="14"/>
        <v>3900</v>
      </c>
    </row>
    <row r="573" spans="2:8">
      <c r="B573" s="28">
        <v>10316</v>
      </c>
      <c r="C573" s="34" t="s">
        <v>252</v>
      </c>
      <c r="D573" s="34" t="s">
        <v>119</v>
      </c>
      <c r="E573" s="34" t="s">
        <v>93</v>
      </c>
      <c r="F573" s="35">
        <v>27</v>
      </c>
      <c r="G573" s="37">
        <v>100</v>
      </c>
      <c r="H573" s="32">
        <f t="shared" si="14"/>
        <v>2700</v>
      </c>
    </row>
    <row r="574" spans="2:8">
      <c r="B574" s="28">
        <v>10327</v>
      </c>
      <c r="C574" s="34" t="s">
        <v>429</v>
      </c>
      <c r="D574" s="34" t="s">
        <v>104</v>
      </c>
      <c r="E574" s="34" t="s">
        <v>526</v>
      </c>
      <c r="F574" s="35">
        <v>25</v>
      </c>
      <c r="G574" s="37">
        <v>100</v>
      </c>
      <c r="H574" s="32">
        <f t="shared" si="14"/>
        <v>2500</v>
      </c>
    </row>
    <row r="575" spans="2:8">
      <c r="B575" s="28">
        <v>10338</v>
      </c>
      <c r="C575" s="34" t="s">
        <v>480</v>
      </c>
      <c r="D575" s="34" t="s">
        <v>119</v>
      </c>
      <c r="E575" s="34" t="s">
        <v>93</v>
      </c>
      <c r="F575" s="35">
        <v>41</v>
      </c>
      <c r="G575" s="37">
        <v>100</v>
      </c>
      <c r="H575" s="32">
        <f t="shared" si="14"/>
        <v>4100</v>
      </c>
    </row>
    <row r="576" spans="2:8">
      <c r="B576" s="28">
        <v>10351</v>
      </c>
      <c r="C576" s="34" t="s">
        <v>252</v>
      </c>
      <c r="D576" s="34" t="s">
        <v>119</v>
      </c>
      <c r="E576" s="34" t="s">
        <v>93</v>
      </c>
      <c r="F576" s="35">
        <v>39</v>
      </c>
      <c r="G576" s="37">
        <v>99.52</v>
      </c>
      <c r="H576" s="32">
        <f t="shared" si="14"/>
        <v>3881.2799999999997</v>
      </c>
    </row>
    <row r="577" spans="2:8">
      <c r="B577" s="28">
        <v>10373</v>
      </c>
      <c r="C577" s="34" t="s">
        <v>208</v>
      </c>
      <c r="D577" s="34" t="s">
        <v>104</v>
      </c>
      <c r="E577" s="34" t="s">
        <v>93</v>
      </c>
      <c r="F577" s="35">
        <v>28</v>
      </c>
      <c r="G577" s="37">
        <v>57.55</v>
      </c>
      <c r="H577" s="32">
        <f t="shared" si="14"/>
        <v>1611.3999999999999</v>
      </c>
    </row>
    <row r="578" spans="2:8">
      <c r="B578" s="28">
        <v>10386</v>
      </c>
      <c r="C578" s="34" t="s">
        <v>261</v>
      </c>
      <c r="D578" s="34" t="s">
        <v>104</v>
      </c>
      <c r="E578" s="34" t="s">
        <v>526</v>
      </c>
      <c r="F578" s="35">
        <v>25</v>
      </c>
      <c r="G578" s="37">
        <v>54.57</v>
      </c>
      <c r="H578" s="32">
        <f t="shared" si="14"/>
        <v>1364.25</v>
      </c>
    </row>
    <row r="579" spans="2:8">
      <c r="B579" s="28">
        <v>10398</v>
      </c>
      <c r="C579" s="34" t="s">
        <v>109</v>
      </c>
      <c r="D579" s="34" t="s">
        <v>119</v>
      </c>
      <c r="E579" s="34" t="s">
        <v>93</v>
      </c>
      <c r="F579" s="35">
        <v>33</v>
      </c>
      <c r="G579" s="37">
        <v>100</v>
      </c>
      <c r="H579" s="32">
        <f t="shared" si="14"/>
        <v>3300</v>
      </c>
    </row>
    <row r="580" spans="2:8">
      <c r="B580" s="28">
        <v>10400</v>
      </c>
      <c r="C580" s="34" t="s">
        <v>100</v>
      </c>
      <c r="D580" s="34" t="s">
        <v>119</v>
      </c>
      <c r="E580" s="34" t="s">
        <v>93</v>
      </c>
      <c r="F580" s="35">
        <v>34</v>
      </c>
      <c r="G580" s="37">
        <v>100</v>
      </c>
      <c r="H580" s="32">
        <f t="shared" si="14"/>
        <v>3400</v>
      </c>
    </row>
    <row r="581" spans="2:8">
      <c r="B581" s="28">
        <v>10416</v>
      </c>
      <c r="C581" s="34" t="s">
        <v>352</v>
      </c>
      <c r="D581" s="34" t="s">
        <v>119</v>
      </c>
      <c r="E581" s="34" t="s">
        <v>93</v>
      </c>
      <c r="F581" s="35">
        <v>24</v>
      </c>
      <c r="G581" s="37">
        <v>100</v>
      </c>
      <c r="H581" s="32">
        <f t="shared" ref="H581:H644" si="15">F581*G581</f>
        <v>2400</v>
      </c>
    </row>
    <row r="582" spans="2:8">
      <c r="B582" s="28">
        <v>10100</v>
      </c>
      <c r="C582" s="34" t="s">
        <v>100</v>
      </c>
      <c r="D582" s="34" t="s">
        <v>119</v>
      </c>
      <c r="E582" s="34" t="s">
        <v>93</v>
      </c>
      <c r="F582" s="35">
        <v>30</v>
      </c>
      <c r="G582" s="37">
        <v>100</v>
      </c>
      <c r="H582" s="32">
        <f t="shared" si="15"/>
        <v>3000</v>
      </c>
    </row>
    <row r="583" spans="2:8">
      <c r="B583" s="28">
        <v>10110</v>
      </c>
      <c r="C583" s="34" t="s">
        <v>252</v>
      </c>
      <c r="D583" s="34" t="s">
        <v>119</v>
      </c>
      <c r="E583" s="34" t="s">
        <v>93</v>
      </c>
      <c r="F583" s="35">
        <v>42</v>
      </c>
      <c r="G583" s="37">
        <v>100</v>
      </c>
      <c r="H583" s="32">
        <f t="shared" si="15"/>
        <v>4200</v>
      </c>
    </row>
    <row r="584" spans="2:8">
      <c r="B584" s="28">
        <v>10124</v>
      </c>
      <c r="C584" s="34" t="s">
        <v>100</v>
      </c>
      <c r="D584" s="34" t="s">
        <v>104</v>
      </c>
      <c r="E584" s="34" t="s">
        <v>93</v>
      </c>
      <c r="F584" s="35">
        <v>21</v>
      </c>
      <c r="G584" s="37">
        <v>100</v>
      </c>
      <c r="H584" s="32">
        <f t="shared" si="15"/>
        <v>2100</v>
      </c>
    </row>
    <row r="585" spans="2:8">
      <c r="B585" s="28">
        <v>10149</v>
      </c>
      <c r="C585" s="34" t="s">
        <v>100</v>
      </c>
      <c r="D585" s="34" t="s">
        <v>119</v>
      </c>
      <c r="E585" s="34" t="s">
        <v>93</v>
      </c>
      <c r="F585" s="35">
        <v>34</v>
      </c>
      <c r="G585" s="37">
        <v>100</v>
      </c>
      <c r="H585" s="32">
        <f t="shared" si="15"/>
        <v>3400</v>
      </c>
    </row>
    <row r="586" spans="2:8">
      <c r="B586" s="28">
        <v>10162</v>
      </c>
      <c r="C586" s="34" t="s">
        <v>100</v>
      </c>
      <c r="D586" s="34" t="s">
        <v>119</v>
      </c>
      <c r="E586" s="34" t="s">
        <v>93</v>
      </c>
      <c r="F586" s="35">
        <v>29</v>
      </c>
      <c r="G586" s="37">
        <v>100</v>
      </c>
      <c r="H586" s="32">
        <f t="shared" si="15"/>
        <v>2900</v>
      </c>
    </row>
    <row r="587" spans="2:8">
      <c r="B587" s="28">
        <v>10173</v>
      </c>
      <c r="C587" s="34" t="s">
        <v>352</v>
      </c>
      <c r="D587" s="34" t="s">
        <v>119</v>
      </c>
      <c r="E587" s="34" t="s">
        <v>93</v>
      </c>
      <c r="F587" s="35">
        <v>24</v>
      </c>
      <c r="G587" s="37">
        <v>100</v>
      </c>
      <c r="H587" s="32">
        <f t="shared" si="15"/>
        <v>2400</v>
      </c>
    </row>
    <row r="588" spans="2:8">
      <c r="B588" s="28">
        <v>10182</v>
      </c>
      <c r="C588" s="34" t="s">
        <v>100</v>
      </c>
      <c r="D588" s="34" t="s">
        <v>232</v>
      </c>
      <c r="E588" s="34" t="s">
        <v>93</v>
      </c>
      <c r="F588" s="35">
        <v>44</v>
      </c>
      <c r="G588" s="37">
        <v>100</v>
      </c>
      <c r="H588" s="32">
        <f t="shared" si="15"/>
        <v>4400</v>
      </c>
    </row>
    <row r="589" spans="2:8">
      <c r="B589" s="28">
        <v>10193</v>
      </c>
      <c r="C589" s="34" t="s">
        <v>168</v>
      </c>
      <c r="D589" s="34" t="s">
        <v>119</v>
      </c>
      <c r="E589" s="34" t="s">
        <v>93</v>
      </c>
      <c r="F589" s="35">
        <v>21</v>
      </c>
      <c r="G589" s="37">
        <v>100</v>
      </c>
      <c r="H589" s="32">
        <f t="shared" si="15"/>
        <v>2100</v>
      </c>
    </row>
    <row r="590" spans="2:8">
      <c r="B590" s="28">
        <v>10204</v>
      </c>
      <c r="C590" s="34" t="s">
        <v>100</v>
      </c>
      <c r="D590" s="34" t="s">
        <v>119</v>
      </c>
      <c r="E590" s="34" t="s">
        <v>93</v>
      </c>
      <c r="F590" s="35">
        <v>33</v>
      </c>
      <c r="G590" s="37">
        <v>100</v>
      </c>
      <c r="H590" s="32">
        <f t="shared" si="15"/>
        <v>3300</v>
      </c>
    </row>
    <row r="591" spans="2:8">
      <c r="B591" s="28">
        <v>10214</v>
      </c>
      <c r="C591" s="34" t="s">
        <v>261</v>
      </c>
      <c r="D591" s="34" t="s">
        <v>119</v>
      </c>
      <c r="E591" s="34" t="s">
        <v>93</v>
      </c>
      <c r="F591" s="35">
        <v>30</v>
      </c>
      <c r="G591" s="37">
        <v>100</v>
      </c>
      <c r="H591" s="32">
        <f t="shared" si="15"/>
        <v>3000</v>
      </c>
    </row>
    <row r="592" spans="2:8">
      <c r="B592" s="28">
        <v>10227</v>
      </c>
      <c r="C592" s="34" t="s">
        <v>109</v>
      </c>
      <c r="D592" s="34" t="s">
        <v>119</v>
      </c>
      <c r="E592" s="34" t="s">
        <v>93</v>
      </c>
      <c r="F592" s="35">
        <v>26</v>
      </c>
      <c r="G592" s="37">
        <v>100</v>
      </c>
      <c r="H592" s="32">
        <f t="shared" si="15"/>
        <v>2600</v>
      </c>
    </row>
    <row r="593" spans="2:8">
      <c r="B593" s="28">
        <v>10241</v>
      </c>
      <c r="C593" s="34" t="s">
        <v>109</v>
      </c>
      <c r="D593" s="34" t="s">
        <v>232</v>
      </c>
      <c r="E593" s="34" t="s">
        <v>93</v>
      </c>
      <c r="F593" s="35">
        <v>41</v>
      </c>
      <c r="G593" s="37">
        <v>100</v>
      </c>
      <c r="H593" s="32">
        <f t="shared" si="15"/>
        <v>4100</v>
      </c>
    </row>
    <row r="594" spans="2:8">
      <c r="B594" s="28">
        <v>10280</v>
      </c>
      <c r="C594" s="34" t="s">
        <v>352</v>
      </c>
      <c r="D594" s="34" t="s">
        <v>119</v>
      </c>
      <c r="E594" s="34" t="s">
        <v>93</v>
      </c>
      <c r="F594" s="35">
        <v>26</v>
      </c>
      <c r="G594" s="37">
        <v>100</v>
      </c>
      <c r="H594" s="32">
        <f t="shared" si="15"/>
        <v>2600</v>
      </c>
    </row>
    <row r="595" spans="2:8">
      <c r="B595" s="28">
        <v>10288</v>
      </c>
      <c r="C595" s="34" t="s">
        <v>287</v>
      </c>
      <c r="D595" s="34" t="s">
        <v>119</v>
      </c>
      <c r="E595" s="34" t="s">
        <v>93</v>
      </c>
      <c r="F595" s="35">
        <v>32</v>
      </c>
      <c r="G595" s="37">
        <v>100</v>
      </c>
      <c r="H595" s="32">
        <f t="shared" si="15"/>
        <v>3200</v>
      </c>
    </row>
    <row r="596" spans="2:8">
      <c r="B596" s="28">
        <v>10302</v>
      </c>
      <c r="C596" s="34" t="s">
        <v>252</v>
      </c>
      <c r="D596" s="34" t="s">
        <v>232</v>
      </c>
      <c r="E596" s="34" t="s">
        <v>93</v>
      </c>
      <c r="F596" s="35">
        <v>43</v>
      </c>
      <c r="G596" s="37">
        <v>100</v>
      </c>
      <c r="H596" s="32">
        <f t="shared" si="15"/>
        <v>4300</v>
      </c>
    </row>
    <row r="597" spans="2:8">
      <c r="B597" s="28">
        <v>10312</v>
      </c>
      <c r="C597" s="34" t="s">
        <v>100</v>
      </c>
      <c r="D597" s="34" t="s">
        <v>232</v>
      </c>
      <c r="E597" s="34" t="s">
        <v>93</v>
      </c>
      <c r="F597" s="35">
        <v>48</v>
      </c>
      <c r="G597" s="37">
        <v>100</v>
      </c>
      <c r="H597" s="32">
        <f t="shared" si="15"/>
        <v>4800</v>
      </c>
    </row>
    <row r="598" spans="2:8">
      <c r="B598" s="28">
        <v>10331</v>
      </c>
      <c r="C598" s="34" t="s">
        <v>100</v>
      </c>
      <c r="D598" s="34" t="s">
        <v>119</v>
      </c>
      <c r="E598" s="34" t="s">
        <v>93</v>
      </c>
      <c r="F598" s="35">
        <v>44</v>
      </c>
      <c r="G598" s="37">
        <v>74.040000000000006</v>
      </c>
      <c r="H598" s="32">
        <f t="shared" si="15"/>
        <v>3257.76</v>
      </c>
    </row>
    <row r="599" spans="2:8">
      <c r="B599" s="28">
        <v>10344</v>
      </c>
      <c r="C599" s="34" t="s">
        <v>109</v>
      </c>
      <c r="D599" s="34" t="s">
        <v>232</v>
      </c>
      <c r="E599" s="34" t="s">
        <v>93</v>
      </c>
      <c r="F599" s="35">
        <v>45</v>
      </c>
      <c r="G599" s="37">
        <v>100</v>
      </c>
      <c r="H599" s="32">
        <f t="shared" si="15"/>
        <v>4500</v>
      </c>
    </row>
    <row r="600" spans="2:8">
      <c r="B600" s="28">
        <v>10367</v>
      </c>
      <c r="C600" s="34" t="s">
        <v>100</v>
      </c>
      <c r="D600" s="34" t="s">
        <v>119</v>
      </c>
      <c r="E600" s="34" t="s">
        <v>526</v>
      </c>
      <c r="F600" s="35">
        <v>37</v>
      </c>
      <c r="G600" s="37">
        <v>100</v>
      </c>
      <c r="H600" s="32">
        <f t="shared" si="15"/>
        <v>3700</v>
      </c>
    </row>
    <row r="601" spans="2:8">
      <c r="B601" s="28">
        <v>10379</v>
      </c>
      <c r="C601" s="34" t="s">
        <v>261</v>
      </c>
      <c r="D601" s="34" t="s">
        <v>119</v>
      </c>
      <c r="E601" s="34" t="s">
        <v>93</v>
      </c>
      <c r="F601" s="35">
        <v>39</v>
      </c>
      <c r="G601" s="37">
        <v>100</v>
      </c>
      <c r="H601" s="32">
        <f t="shared" si="15"/>
        <v>3900</v>
      </c>
    </row>
    <row r="602" spans="2:8">
      <c r="B602" s="28">
        <v>10407</v>
      </c>
      <c r="C602" s="34" t="s">
        <v>100</v>
      </c>
      <c r="D602" s="34" t="s">
        <v>232</v>
      </c>
      <c r="E602" s="34" t="s">
        <v>518</v>
      </c>
      <c r="F602" s="35">
        <v>76</v>
      </c>
      <c r="G602" s="37">
        <v>100</v>
      </c>
      <c r="H602" s="32">
        <f t="shared" si="15"/>
        <v>7600</v>
      </c>
    </row>
    <row r="603" spans="2:8">
      <c r="B603" s="28">
        <v>10420</v>
      </c>
      <c r="C603" s="34" t="s">
        <v>168</v>
      </c>
      <c r="D603" s="34" t="s">
        <v>119</v>
      </c>
      <c r="E603" s="34" t="s">
        <v>400</v>
      </c>
      <c r="F603" s="35">
        <v>37</v>
      </c>
      <c r="G603" s="37">
        <v>100</v>
      </c>
      <c r="H603" s="32">
        <f t="shared" si="15"/>
        <v>3700</v>
      </c>
    </row>
    <row r="604" spans="2:8">
      <c r="B604" s="28">
        <v>10108</v>
      </c>
      <c r="C604" s="34" t="s">
        <v>552</v>
      </c>
      <c r="D604" s="34" t="s">
        <v>119</v>
      </c>
      <c r="E604" s="34" t="s">
        <v>93</v>
      </c>
      <c r="F604" s="35">
        <v>38</v>
      </c>
      <c r="G604" s="37">
        <v>82.39</v>
      </c>
      <c r="H604" s="32">
        <f t="shared" si="15"/>
        <v>3130.82</v>
      </c>
    </row>
    <row r="605" spans="2:8">
      <c r="B605" s="28">
        <v>10122</v>
      </c>
      <c r="C605" s="34" t="s">
        <v>109</v>
      </c>
      <c r="D605" s="34" t="s">
        <v>119</v>
      </c>
      <c r="E605" s="34" t="s">
        <v>93</v>
      </c>
      <c r="F605" s="35">
        <v>43</v>
      </c>
      <c r="G605" s="37">
        <v>72.38</v>
      </c>
      <c r="H605" s="32">
        <f t="shared" si="15"/>
        <v>3112.3399999999997</v>
      </c>
    </row>
    <row r="606" spans="2:8">
      <c r="B606" s="28">
        <v>10135</v>
      </c>
      <c r="C606" s="34" t="s">
        <v>100</v>
      </c>
      <c r="D606" s="34" t="s">
        <v>119</v>
      </c>
      <c r="E606" s="34" t="s">
        <v>93</v>
      </c>
      <c r="F606" s="35">
        <v>48</v>
      </c>
      <c r="G606" s="37">
        <v>79.31</v>
      </c>
      <c r="H606" s="32">
        <f t="shared" si="15"/>
        <v>3806.88</v>
      </c>
    </row>
    <row r="607" spans="2:8">
      <c r="B607" s="28">
        <v>10147</v>
      </c>
      <c r="C607" s="34" t="s">
        <v>100</v>
      </c>
      <c r="D607" s="34" t="s">
        <v>104</v>
      </c>
      <c r="E607" s="34" t="s">
        <v>93</v>
      </c>
      <c r="F607" s="35">
        <v>26</v>
      </c>
      <c r="G607" s="37">
        <v>82.39</v>
      </c>
      <c r="H607" s="32">
        <f t="shared" si="15"/>
        <v>2142.14</v>
      </c>
    </row>
    <row r="608" spans="2:8">
      <c r="B608" s="28">
        <v>10160</v>
      </c>
      <c r="C608" s="34" t="s">
        <v>100</v>
      </c>
      <c r="D608" s="34" t="s">
        <v>119</v>
      </c>
      <c r="E608" s="34" t="s">
        <v>93</v>
      </c>
      <c r="F608" s="35">
        <v>38</v>
      </c>
      <c r="G608" s="37">
        <v>88.55</v>
      </c>
      <c r="H608" s="32">
        <f t="shared" si="15"/>
        <v>3364.9</v>
      </c>
    </row>
    <row r="609" spans="2:8">
      <c r="B609" s="28">
        <v>10170</v>
      </c>
      <c r="C609" s="34" t="s">
        <v>229</v>
      </c>
      <c r="D609" s="34" t="s">
        <v>104</v>
      </c>
      <c r="E609" s="34" t="s">
        <v>93</v>
      </c>
      <c r="F609" s="35">
        <v>20</v>
      </c>
      <c r="G609" s="37">
        <v>63.14</v>
      </c>
      <c r="H609" s="32">
        <f t="shared" si="15"/>
        <v>1262.8</v>
      </c>
    </row>
    <row r="610" spans="2:8">
      <c r="B610" s="28">
        <v>10181</v>
      </c>
      <c r="C610" s="34" t="s">
        <v>149</v>
      </c>
      <c r="D610" s="34" t="s">
        <v>104</v>
      </c>
      <c r="E610" s="34" t="s">
        <v>93</v>
      </c>
      <c r="F610" s="35">
        <v>22</v>
      </c>
      <c r="G610" s="37">
        <v>73.92</v>
      </c>
      <c r="H610" s="32">
        <f t="shared" si="15"/>
        <v>1626.24</v>
      </c>
    </row>
    <row r="611" spans="2:8">
      <c r="B611" s="28">
        <v>10192</v>
      </c>
      <c r="C611" s="34" t="s">
        <v>100</v>
      </c>
      <c r="D611" s="34" t="s">
        <v>119</v>
      </c>
      <c r="E611" s="34" t="s">
        <v>93</v>
      </c>
      <c r="F611" s="35">
        <v>45</v>
      </c>
      <c r="G611" s="37">
        <v>90.86</v>
      </c>
      <c r="H611" s="32">
        <f t="shared" si="15"/>
        <v>4088.7</v>
      </c>
    </row>
    <row r="612" spans="2:8">
      <c r="B612" s="28">
        <v>10203</v>
      </c>
      <c r="C612" s="34" t="s">
        <v>261</v>
      </c>
      <c r="D612" s="34" t="s">
        <v>119</v>
      </c>
      <c r="E612" s="34" t="s">
        <v>93</v>
      </c>
      <c r="F612" s="35">
        <v>45</v>
      </c>
      <c r="G612" s="37">
        <v>85.47</v>
      </c>
      <c r="H612" s="32">
        <f t="shared" si="15"/>
        <v>3846.15</v>
      </c>
    </row>
    <row r="613" spans="2:8">
      <c r="B613" s="28">
        <v>10212</v>
      </c>
      <c r="C613" s="34" t="s">
        <v>261</v>
      </c>
      <c r="D613" s="34" t="s">
        <v>104</v>
      </c>
      <c r="E613" s="34" t="s">
        <v>93</v>
      </c>
      <c r="F613" s="35">
        <v>20</v>
      </c>
      <c r="G613" s="37">
        <v>66.989999999999995</v>
      </c>
      <c r="H613" s="32">
        <f t="shared" si="15"/>
        <v>1339.8</v>
      </c>
    </row>
    <row r="614" spans="2:8">
      <c r="B614" s="28">
        <v>10225</v>
      </c>
      <c r="C614" s="34" t="s">
        <v>574</v>
      </c>
      <c r="D614" s="34" t="s">
        <v>119</v>
      </c>
      <c r="E614" s="34" t="s">
        <v>93</v>
      </c>
      <c r="F614" s="35">
        <v>47</v>
      </c>
      <c r="G614" s="37">
        <v>64.680000000000007</v>
      </c>
      <c r="H614" s="32">
        <f t="shared" si="15"/>
        <v>3039.9600000000005</v>
      </c>
    </row>
    <row r="615" spans="2:8">
      <c r="B615" s="28">
        <v>10239</v>
      </c>
      <c r="C615" s="34" t="s">
        <v>208</v>
      </c>
      <c r="D615" s="34" t="s">
        <v>119</v>
      </c>
      <c r="E615" s="34" t="s">
        <v>93</v>
      </c>
      <c r="F615" s="35">
        <v>46</v>
      </c>
      <c r="G615" s="37">
        <v>73.92</v>
      </c>
      <c r="H615" s="32">
        <f t="shared" si="15"/>
        <v>3400.32</v>
      </c>
    </row>
    <row r="616" spans="2:8">
      <c r="B616" s="28">
        <v>10253</v>
      </c>
      <c r="C616" s="34" t="s">
        <v>252</v>
      </c>
      <c r="D616" s="34" t="s">
        <v>104</v>
      </c>
      <c r="E616" s="34" t="s">
        <v>444</v>
      </c>
      <c r="F616" s="35">
        <v>23</v>
      </c>
      <c r="G616" s="37">
        <v>83.93</v>
      </c>
      <c r="H616" s="32">
        <f t="shared" si="15"/>
        <v>1930.39</v>
      </c>
    </row>
    <row r="617" spans="2:8">
      <c r="B617" s="28">
        <v>10266</v>
      </c>
      <c r="C617" s="34" t="s">
        <v>352</v>
      </c>
      <c r="D617" s="34" t="s">
        <v>104</v>
      </c>
      <c r="E617" s="34" t="s">
        <v>93</v>
      </c>
      <c r="F617" s="35">
        <v>33</v>
      </c>
      <c r="G617" s="37">
        <v>74.69</v>
      </c>
      <c r="H617" s="32">
        <f t="shared" si="15"/>
        <v>2464.77</v>
      </c>
    </row>
    <row r="618" spans="2:8">
      <c r="B618" s="28">
        <v>10278</v>
      </c>
      <c r="C618" s="34" t="s">
        <v>100</v>
      </c>
      <c r="D618" s="34" t="s">
        <v>104</v>
      </c>
      <c r="E618" s="34" t="s">
        <v>93</v>
      </c>
      <c r="F618" s="35">
        <v>29</v>
      </c>
      <c r="G618" s="37">
        <v>90.86</v>
      </c>
      <c r="H618" s="32">
        <f t="shared" si="15"/>
        <v>2634.94</v>
      </c>
    </row>
    <row r="619" spans="2:8">
      <c r="B619" s="28">
        <v>10287</v>
      </c>
      <c r="C619" s="34" t="s">
        <v>574</v>
      </c>
      <c r="D619" s="34" t="s">
        <v>119</v>
      </c>
      <c r="E619" s="34" t="s">
        <v>93</v>
      </c>
      <c r="F619" s="35">
        <v>44</v>
      </c>
      <c r="G619" s="37">
        <v>82.39</v>
      </c>
      <c r="H619" s="32">
        <f t="shared" si="15"/>
        <v>3625.16</v>
      </c>
    </row>
    <row r="620" spans="2:8">
      <c r="B620" s="28">
        <v>10300</v>
      </c>
      <c r="C620" s="34" t="s">
        <v>566</v>
      </c>
      <c r="D620" s="34" t="s">
        <v>119</v>
      </c>
      <c r="E620" s="34" t="s">
        <v>93</v>
      </c>
      <c r="F620" s="35">
        <v>41</v>
      </c>
      <c r="G620" s="37">
        <v>92.4</v>
      </c>
      <c r="H620" s="32">
        <f t="shared" si="15"/>
        <v>3788.4</v>
      </c>
    </row>
    <row r="621" spans="2:8">
      <c r="B621" s="28">
        <v>10310</v>
      </c>
      <c r="C621" s="34" t="s">
        <v>566</v>
      </c>
      <c r="D621" s="34" t="s">
        <v>104</v>
      </c>
      <c r="E621" s="34" t="s">
        <v>93</v>
      </c>
      <c r="F621" s="35">
        <v>20</v>
      </c>
      <c r="G621" s="37">
        <v>91.63</v>
      </c>
      <c r="H621" s="32">
        <f t="shared" si="15"/>
        <v>1832.6</v>
      </c>
    </row>
    <row r="622" spans="2:8">
      <c r="B622" s="28">
        <v>10321</v>
      </c>
      <c r="C622" s="34" t="s">
        <v>100</v>
      </c>
      <c r="D622" s="34" t="s">
        <v>104</v>
      </c>
      <c r="E622" s="34" t="s">
        <v>93</v>
      </c>
      <c r="F622" s="35">
        <v>37</v>
      </c>
      <c r="G622" s="37">
        <v>78.540000000000006</v>
      </c>
      <c r="H622" s="32">
        <f t="shared" si="15"/>
        <v>2905.98</v>
      </c>
    </row>
    <row r="623" spans="2:8">
      <c r="B623" s="28">
        <v>10329</v>
      </c>
      <c r="C623" s="34" t="s">
        <v>100</v>
      </c>
      <c r="D623" s="34" t="s">
        <v>104</v>
      </c>
      <c r="E623" s="34" t="s">
        <v>93</v>
      </c>
      <c r="F623" s="35">
        <v>29</v>
      </c>
      <c r="G623" s="37">
        <v>100</v>
      </c>
      <c r="H623" s="32">
        <f t="shared" si="15"/>
        <v>2900</v>
      </c>
    </row>
    <row r="624" spans="2:8">
      <c r="B624" s="28">
        <v>10342</v>
      </c>
      <c r="C624" s="34" t="s">
        <v>168</v>
      </c>
      <c r="D624" s="34" t="s">
        <v>119</v>
      </c>
      <c r="E624" s="34" t="s">
        <v>93</v>
      </c>
      <c r="F624" s="35">
        <v>55</v>
      </c>
      <c r="G624" s="37">
        <v>65.45</v>
      </c>
      <c r="H624" s="32">
        <f t="shared" si="15"/>
        <v>3599.75</v>
      </c>
    </row>
    <row r="625" spans="2:8">
      <c r="B625" s="28">
        <v>10363</v>
      </c>
      <c r="C625" s="34" t="s">
        <v>208</v>
      </c>
      <c r="D625" s="34" t="s">
        <v>119</v>
      </c>
      <c r="E625" s="34" t="s">
        <v>93</v>
      </c>
      <c r="F625" s="35">
        <v>22</v>
      </c>
      <c r="G625" s="37">
        <v>100</v>
      </c>
      <c r="H625" s="32">
        <f t="shared" si="15"/>
        <v>2200</v>
      </c>
    </row>
    <row r="626" spans="2:8">
      <c r="B626" s="28">
        <v>10377</v>
      </c>
      <c r="C626" s="34" t="s">
        <v>208</v>
      </c>
      <c r="D626" s="34" t="s">
        <v>104</v>
      </c>
      <c r="E626" s="34" t="s">
        <v>93</v>
      </c>
      <c r="F626" s="35">
        <v>31</v>
      </c>
      <c r="G626" s="37">
        <v>67.760000000000005</v>
      </c>
      <c r="H626" s="32">
        <f t="shared" si="15"/>
        <v>2100.56</v>
      </c>
    </row>
    <row r="627" spans="2:8">
      <c r="B627" s="28">
        <v>10389</v>
      </c>
      <c r="C627" s="34" t="s">
        <v>273</v>
      </c>
      <c r="D627" s="34" t="s">
        <v>119</v>
      </c>
      <c r="E627" s="34" t="s">
        <v>93</v>
      </c>
      <c r="F627" s="35">
        <v>49</v>
      </c>
      <c r="G627" s="37">
        <v>79.22</v>
      </c>
      <c r="H627" s="32">
        <f t="shared" si="15"/>
        <v>3881.7799999999997</v>
      </c>
    </row>
    <row r="628" spans="2:8">
      <c r="B628" s="28">
        <v>10405</v>
      </c>
      <c r="C628" s="34" t="s">
        <v>109</v>
      </c>
      <c r="D628" s="34" t="s">
        <v>119</v>
      </c>
      <c r="E628" s="34" t="s">
        <v>93</v>
      </c>
      <c r="F628" s="35">
        <v>61</v>
      </c>
      <c r="G628" s="37">
        <v>73.92</v>
      </c>
      <c r="H628" s="32">
        <f t="shared" si="15"/>
        <v>4509.12</v>
      </c>
    </row>
    <row r="629" spans="2:8">
      <c r="B629" s="28">
        <v>10419</v>
      </c>
      <c r="C629" s="34" t="s">
        <v>229</v>
      </c>
      <c r="D629" s="34" t="s">
        <v>119</v>
      </c>
      <c r="E629" s="34" t="s">
        <v>93</v>
      </c>
      <c r="F629" s="35">
        <v>39</v>
      </c>
      <c r="G629" s="37">
        <v>83.93</v>
      </c>
      <c r="H629" s="32">
        <f t="shared" si="15"/>
        <v>3273.2700000000004</v>
      </c>
    </row>
    <row r="630" spans="2:8">
      <c r="B630" s="28">
        <v>10109</v>
      </c>
      <c r="C630" s="34" t="s">
        <v>100</v>
      </c>
      <c r="D630" s="34" t="s">
        <v>119</v>
      </c>
      <c r="E630" s="34" t="s">
        <v>93</v>
      </c>
      <c r="F630" s="35">
        <v>38</v>
      </c>
      <c r="G630" s="37">
        <v>100</v>
      </c>
      <c r="H630" s="32">
        <f t="shared" si="15"/>
        <v>3800</v>
      </c>
    </row>
    <row r="631" spans="2:8">
      <c r="B631" s="28">
        <v>10122</v>
      </c>
      <c r="C631" s="34" t="s">
        <v>109</v>
      </c>
      <c r="D631" s="34" t="s">
        <v>119</v>
      </c>
      <c r="E631" s="34" t="s">
        <v>93</v>
      </c>
      <c r="F631" s="35">
        <v>31</v>
      </c>
      <c r="G631" s="37">
        <v>100</v>
      </c>
      <c r="H631" s="32">
        <f t="shared" si="15"/>
        <v>3100</v>
      </c>
    </row>
    <row r="632" spans="2:8">
      <c r="B632" s="28">
        <v>10136</v>
      </c>
      <c r="C632" s="34" t="s">
        <v>109</v>
      </c>
      <c r="D632" s="34" t="s">
        <v>119</v>
      </c>
      <c r="E632" s="34" t="s">
        <v>93</v>
      </c>
      <c r="F632" s="35">
        <v>36</v>
      </c>
      <c r="G632" s="37">
        <v>100</v>
      </c>
      <c r="H632" s="32">
        <f t="shared" si="15"/>
        <v>3600</v>
      </c>
    </row>
    <row r="633" spans="2:8">
      <c r="B633" s="28">
        <v>10148</v>
      </c>
      <c r="C633" s="34" t="s">
        <v>168</v>
      </c>
      <c r="D633" s="34" t="s">
        <v>119</v>
      </c>
      <c r="E633" s="34" t="s">
        <v>93</v>
      </c>
      <c r="F633" s="35">
        <v>25</v>
      </c>
      <c r="G633" s="37">
        <v>100</v>
      </c>
      <c r="H633" s="32">
        <f t="shared" si="15"/>
        <v>2500</v>
      </c>
    </row>
    <row r="634" spans="2:8">
      <c r="B634" s="28">
        <v>10161</v>
      </c>
      <c r="C634" s="34" t="s">
        <v>429</v>
      </c>
      <c r="D634" s="34" t="s">
        <v>119</v>
      </c>
      <c r="E634" s="34" t="s">
        <v>93</v>
      </c>
      <c r="F634" s="35">
        <v>48</v>
      </c>
      <c r="G634" s="37">
        <v>100</v>
      </c>
      <c r="H634" s="32">
        <f t="shared" si="15"/>
        <v>4800</v>
      </c>
    </row>
    <row r="635" spans="2:8">
      <c r="B635" s="28">
        <v>10171</v>
      </c>
      <c r="C635" s="34" t="s">
        <v>322</v>
      </c>
      <c r="D635" s="34" t="s">
        <v>119</v>
      </c>
      <c r="E635" s="34" t="s">
        <v>93</v>
      </c>
      <c r="F635" s="35">
        <v>35</v>
      </c>
      <c r="G635" s="37">
        <v>100</v>
      </c>
      <c r="H635" s="32">
        <f t="shared" si="15"/>
        <v>3500</v>
      </c>
    </row>
    <row r="636" spans="2:8">
      <c r="B636" s="28">
        <v>10181</v>
      </c>
      <c r="C636" s="34" t="s">
        <v>149</v>
      </c>
      <c r="D636" s="34" t="s">
        <v>119</v>
      </c>
      <c r="E636" s="34" t="s">
        <v>93</v>
      </c>
      <c r="F636" s="35">
        <v>21</v>
      </c>
      <c r="G636" s="37">
        <v>100</v>
      </c>
      <c r="H636" s="32">
        <f t="shared" si="15"/>
        <v>2100</v>
      </c>
    </row>
    <row r="637" spans="2:8">
      <c r="B637" s="28">
        <v>10192</v>
      </c>
      <c r="C637" s="34" t="s">
        <v>100</v>
      </c>
      <c r="D637" s="34" t="s">
        <v>232</v>
      </c>
      <c r="E637" s="34" t="s">
        <v>93</v>
      </c>
      <c r="F637" s="35">
        <v>47</v>
      </c>
      <c r="G637" s="37">
        <v>100</v>
      </c>
      <c r="H637" s="32">
        <f t="shared" si="15"/>
        <v>4700</v>
      </c>
    </row>
    <row r="638" spans="2:8">
      <c r="B638" s="28">
        <v>10204</v>
      </c>
      <c r="C638" s="34" t="s">
        <v>100</v>
      </c>
      <c r="D638" s="34" t="s">
        <v>119</v>
      </c>
      <c r="E638" s="34" t="s">
        <v>93</v>
      </c>
      <c r="F638" s="35">
        <v>38</v>
      </c>
      <c r="G638" s="37">
        <v>100</v>
      </c>
      <c r="H638" s="32">
        <f t="shared" si="15"/>
        <v>3800</v>
      </c>
    </row>
    <row r="639" spans="2:8">
      <c r="B639" s="28">
        <v>10212</v>
      </c>
      <c r="C639" s="34" t="s">
        <v>261</v>
      </c>
      <c r="D639" s="34" t="s">
        <v>119</v>
      </c>
      <c r="E639" s="34" t="s">
        <v>93</v>
      </c>
      <c r="F639" s="35">
        <v>41</v>
      </c>
      <c r="G639" s="37">
        <v>100</v>
      </c>
      <c r="H639" s="32">
        <f t="shared" si="15"/>
        <v>4100</v>
      </c>
    </row>
    <row r="640" spans="2:8">
      <c r="B640" s="28">
        <v>10226</v>
      </c>
      <c r="C640" s="34" t="s">
        <v>100</v>
      </c>
      <c r="D640" s="34" t="s">
        <v>119</v>
      </c>
      <c r="E640" s="34" t="s">
        <v>93</v>
      </c>
      <c r="F640" s="35">
        <v>24</v>
      </c>
      <c r="G640" s="37">
        <v>100</v>
      </c>
      <c r="H640" s="32">
        <f t="shared" si="15"/>
        <v>2400</v>
      </c>
    </row>
    <row r="641" spans="2:8">
      <c r="B641" s="28">
        <v>10240</v>
      </c>
      <c r="C641" s="34" t="s">
        <v>288</v>
      </c>
      <c r="D641" s="34" t="s">
        <v>119</v>
      </c>
      <c r="E641" s="34" t="s">
        <v>93</v>
      </c>
      <c r="F641" s="35">
        <v>37</v>
      </c>
      <c r="G641" s="37">
        <v>100</v>
      </c>
      <c r="H641" s="32">
        <f t="shared" si="15"/>
        <v>3700</v>
      </c>
    </row>
    <row r="642" spans="2:8">
      <c r="B642" s="28">
        <v>10253</v>
      </c>
      <c r="C642" s="34" t="s">
        <v>252</v>
      </c>
      <c r="D642" s="34" t="s">
        <v>119</v>
      </c>
      <c r="E642" s="34" t="s">
        <v>444</v>
      </c>
      <c r="F642" s="35">
        <v>33</v>
      </c>
      <c r="G642" s="37">
        <v>100</v>
      </c>
      <c r="H642" s="32">
        <f t="shared" si="15"/>
        <v>3300</v>
      </c>
    </row>
    <row r="643" spans="2:8">
      <c r="B643" s="28">
        <v>10266</v>
      </c>
      <c r="C643" s="34" t="s">
        <v>352</v>
      </c>
      <c r="D643" s="34" t="s">
        <v>119</v>
      </c>
      <c r="E643" s="34" t="s">
        <v>93</v>
      </c>
      <c r="F643" s="35">
        <v>49</v>
      </c>
      <c r="G643" s="37">
        <v>100</v>
      </c>
      <c r="H643" s="32">
        <f t="shared" si="15"/>
        <v>4900</v>
      </c>
    </row>
    <row r="644" spans="2:8">
      <c r="B644" s="28">
        <v>10278</v>
      </c>
      <c r="C644" s="34" t="s">
        <v>100</v>
      </c>
      <c r="D644" s="34" t="s">
        <v>119</v>
      </c>
      <c r="E644" s="34" t="s">
        <v>93</v>
      </c>
      <c r="F644" s="35">
        <v>29</v>
      </c>
      <c r="G644" s="37">
        <v>100</v>
      </c>
      <c r="H644" s="32">
        <f t="shared" si="15"/>
        <v>2900</v>
      </c>
    </row>
    <row r="645" spans="2:8">
      <c r="B645" s="28">
        <v>10287</v>
      </c>
      <c r="C645" s="34" t="s">
        <v>574</v>
      </c>
      <c r="D645" s="34" t="s">
        <v>119</v>
      </c>
      <c r="E645" s="34" t="s">
        <v>93</v>
      </c>
      <c r="F645" s="35">
        <v>24</v>
      </c>
      <c r="G645" s="37">
        <v>100</v>
      </c>
      <c r="H645" s="32">
        <f t="shared" ref="H645:H708" si="16">F645*G645</f>
        <v>2400</v>
      </c>
    </row>
    <row r="646" spans="2:8">
      <c r="B646" s="28">
        <v>10301</v>
      </c>
      <c r="C646" s="34" t="s">
        <v>149</v>
      </c>
      <c r="D646" s="34" t="s">
        <v>232</v>
      </c>
      <c r="E646" s="34" t="s">
        <v>93</v>
      </c>
      <c r="F646" s="35">
        <v>47</v>
      </c>
      <c r="G646" s="37">
        <v>100</v>
      </c>
      <c r="H646" s="32">
        <f t="shared" si="16"/>
        <v>4700</v>
      </c>
    </row>
    <row r="647" spans="2:8">
      <c r="B647" s="28">
        <v>10310</v>
      </c>
      <c r="C647" s="34" t="s">
        <v>566</v>
      </c>
      <c r="D647" s="34" t="s">
        <v>119</v>
      </c>
      <c r="E647" s="34" t="s">
        <v>93</v>
      </c>
      <c r="F647" s="35">
        <v>24</v>
      </c>
      <c r="G647" s="37">
        <v>100</v>
      </c>
      <c r="H647" s="32">
        <f t="shared" si="16"/>
        <v>2400</v>
      </c>
    </row>
    <row r="648" spans="2:8">
      <c r="B648" s="28">
        <v>10321</v>
      </c>
      <c r="C648" s="34" t="s">
        <v>100</v>
      </c>
      <c r="D648" s="34" t="s">
        <v>119</v>
      </c>
      <c r="E648" s="34" t="s">
        <v>93</v>
      </c>
      <c r="F648" s="35">
        <v>25</v>
      </c>
      <c r="G648" s="37">
        <v>100</v>
      </c>
      <c r="H648" s="32">
        <f t="shared" si="16"/>
        <v>2500</v>
      </c>
    </row>
    <row r="649" spans="2:8">
      <c r="B649" s="28">
        <v>10331</v>
      </c>
      <c r="C649" s="34" t="s">
        <v>100</v>
      </c>
      <c r="D649" s="34" t="s">
        <v>104</v>
      </c>
      <c r="E649" s="34" t="s">
        <v>93</v>
      </c>
      <c r="F649" s="35">
        <v>30</v>
      </c>
      <c r="G649" s="37">
        <v>32.47</v>
      </c>
      <c r="H649" s="32">
        <f t="shared" si="16"/>
        <v>974.09999999999991</v>
      </c>
    </row>
    <row r="650" spans="2:8">
      <c r="B650" s="28">
        <v>10342</v>
      </c>
      <c r="C650" s="34" t="s">
        <v>168</v>
      </c>
      <c r="D650" s="34" t="s">
        <v>119</v>
      </c>
      <c r="E650" s="34" t="s">
        <v>93</v>
      </c>
      <c r="F650" s="35">
        <v>22</v>
      </c>
      <c r="G650" s="37">
        <v>100</v>
      </c>
      <c r="H650" s="32">
        <f t="shared" si="16"/>
        <v>2200</v>
      </c>
    </row>
    <row r="651" spans="2:8">
      <c r="B651" s="28">
        <v>10356</v>
      </c>
      <c r="C651" s="34" t="s">
        <v>109</v>
      </c>
      <c r="D651" s="34" t="s">
        <v>104</v>
      </c>
      <c r="E651" s="34" t="s">
        <v>93</v>
      </c>
      <c r="F651" s="35">
        <v>27</v>
      </c>
      <c r="G651" s="37">
        <v>64.69</v>
      </c>
      <c r="H651" s="32">
        <f t="shared" si="16"/>
        <v>1746.6299999999999</v>
      </c>
    </row>
    <row r="652" spans="2:8">
      <c r="B652" s="28">
        <v>10366</v>
      </c>
      <c r="C652" s="34" t="s">
        <v>480</v>
      </c>
      <c r="D652" s="34" t="s">
        <v>119</v>
      </c>
      <c r="E652" s="34" t="s">
        <v>93</v>
      </c>
      <c r="F652" s="35">
        <v>34</v>
      </c>
      <c r="G652" s="37">
        <v>100</v>
      </c>
      <c r="H652" s="32">
        <f t="shared" si="16"/>
        <v>3400</v>
      </c>
    </row>
    <row r="653" spans="2:8">
      <c r="B653" s="28">
        <v>10377</v>
      </c>
      <c r="C653" s="34" t="s">
        <v>208</v>
      </c>
      <c r="D653" s="34" t="s">
        <v>119</v>
      </c>
      <c r="E653" s="34" t="s">
        <v>93</v>
      </c>
      <c r="F653" s="35">
        <v>36</v>
      </c>
      <c r="G653" s="37">
        <v>100</v>
      </c>
      <c r="H653" s="32">
        <f t="shared" si="16"/>
        <v>3600</v>
      </c>
    </row>
    <row r="654" spans="2:8">
      <c r="B654" s="28">
        <v>10390</v>
      </c>
      <c r="C654" s="34" t="s">
        <v>100</v>
      </c>
      <c r="D654" s="34" t="s">
        <v>104</v>
      </c>
      <c r="E654" s="34" t="s">
        <v>93</v>
      </c>
      <c r="F654" s="35">
        <v>34</v>
      </c>
      <c r="G654" s="37">
        <v>43.05</v>
      </c>
      <c r="H654" s="32">
        <f t="shared" si="16"/>
        <v>1463.6999999999998</v>
      </c>
    </row>
    <row r="655" spans="2:8">
      <c r="B655" s="28">
        <v>10406</v>
      </c>
      <c r="C655" s="34" t="s">
        <v>429</v>
      </c>
      <c r="D655" s="34" t="s">
        <v>232</v>
      </c>
      <c r="E655" s="34" t="s">
        <v>256</v>
      </c>
      <c r="F655" s="35">
        <v>48</v>
      </c>
      <c r="G655" s="37">
        <v>100</v>
      </c>
      <c r="H655" s="32">
        <f t="shared" si="16"/>
        <v>4800</v>
      </c>
    </row>
    <row r="656" spans="2:8">
      <c r="B656" s="28">
        <v>10419</v>
      </c>
      <c r="C656" s="34" t="s">
        <v>229</v>
      </c>
      <c r="D656" s="34" t="s">
        <v>119</v>
      </c>
      <c r="E656" s="34" t="s">
        <v>93</v>
      </c>
      <c r="F656" s="35">
        <v>34</v>
      </c>
      <c r="G656" s="37">
        <v>100</v>
      </c>
      <c r="H656" s="32">
        <f t="shared" si="16"/>
        <v>3400</v>
      </c>
    </row>
    <row r="657" spans="2:8">
      <c r="B657" s="28">
        <v>10104</v>
      </c>
      <c r="C657" s="34" t="s">
        <v>261</v>
      </c>
      <c r="D657" s="34" t="s">
        <v>119</v>
      </c>
      <c r="E657" s="34" t="s">
        <v>93</v>
      </c>
      <c r="F657" s="35">
        <v>24</v>
      </c>
      <c r="G657" s="37">
        <v>100</v>
      </c>
      <c r="H657" s="32">
        <f t="shared" si="16"/>
        <v>2400</v>
      </c>
    </row>
    <row r="658" spans="2:8">
      <c r="B658" s="28">
        <v>10115</v>
      </c>
      <c r="C658" s="34" t="s">
        <v>100</v>
      </c>
      <c r="D658" s="34" t="s">
        <v>232</v>
      </c>
      <c r="E658" s="34" t="s">
        <v>93</v>
      </c>
      <c r="F658" s="35">
        <v>46</v>
      </c>
      <c r="G658" s="37">
        <v>100</v>
      </c>
      <c r="H658" s="32">
        <f t="shared" si="16"/>
        <v>4600</v>
      </c>
    </row>
    <row r="659" spans="2:8">
      <c r="B659" s="28">
        <v>10127</v>
      </c>
      <c r="C659" s="34" t="s">
        <v>100</v>
      </c>
      <c r="D659" s="34" t="s">
        <v>232</v>
      </c>
      <c r="E659" s="34" t="s">
        <v>93</v>
      </c>
      <c r="F659" s="35">
        <v>45</v>
      </c>
      <c r="G659" s="37">
        <v>100</v>
      </c>
      <c r="H659" s="32">
        <f t="shared" si="16"/>
        <v>4500</v>
      </c>
    </row>
    <row r="660" spans="2:8">
      <c r="B660" s="28">
        <v>10141</v>
      </c>
      <c r="C660" s="34" t="s">
        <v>208</v>
      </c>
      <c r="D660" s="34" t="s">
        <v>119</v>
      </c>
      <c r="E660" s="34" t="s">
        <v>93</v>
      </c>
      <c r="F660" s="35">
        <v>39</v>
      </c>
      <c r="G660" s="37">
        <v>100</v>
      </c>
      <c r="H660" s="32">
        <f t="shared" si="16"/>
        <v>3900</v>
      </c>
    </row>
    <row r="661" spans="2:8">
      <c r="B661" s="28">
        <v>10151</v>
      </c>
      <c r="C661" s="34" t="s">
        <v>208</v>
      </c>
      <c r="D661" s="34" t="s">
        <v>232</v>
      </c>
      <c r="E661" s="34" t="s">
        <v>93</v>
      </c>
      <c r="F661" s="35">
        <v>43</v>
      </c>
      <c r="G661" s="37">
        <v>100</v>
      </c>
      <c r="H661" s="32">
        <f t="shared" si="16"/>
        <v>4300</v>
      </c>
    </row>
    <row r="662" spans="2:8">
      <c r="B662" s="28">
        <v>10165</v>
      </c>
      <c r="C662" s="34" t="s">
        <v>287</v>
      </c>
      <c r="D662" s="34" t="s">
        <v>119</v>
      </c>
      <c r="E662" s="34" t="s">
        <v>93</v>
      </c>
      <c r="F662" s="35">
        <v>29</v>
      </c>
      <c r="G662" s="37">
        <v>100</v>
      </c>
      <c r="H662" s="32">
        <f t="shared" si="16"/>
        <v>2900</v>
      </c>
    </row>
    <row r="663" spans="2:8">
      <c r="B663" s="28">
        <v>10176</v>
      </c>
      <c r="C663" s="34" t="s">
        <v>352</v>
      </c>
      <c r="D663" s="34" t="s">
        <v>119</v>
      </c>
      <c r="E663" s="34" t="s">
        <v>93</v>
      </c>
      <c r="F663" s="35">
        <v>20</v>
      </c>
      <c r="G663" s="37">
        <v>100</v>
      </c>
      <c r="H663" s="32">
        <f t="shared" si="16"/>
        <v>2000</v>
      </c>
    </row>
    <row r="664" spans="2:8">
      <c r="B664" s="28">
        <v>10184</v>
      </c>
      <c r="C664" s="34" t="s">
        <v>261</v>
      </c>
      <c r="D664" s="34" t="s">
        <v>232</v>
      </c>
      <c r="E664" s="34" t="s">
        <v>93</v>
      </c>
      <c r="F664" s="35">
        <v>46</v>
      </c>
      <c r="G664" s="37">
        <v>100</v>
      </c>
      <c r="H664" s="32">
        <f t="shared" si="16"/>
        <v>4600</v>
      </c>
    </row>
    <row r="665" spans="2:8">
      <c r="B665" s="28">
        <v>10195</v>
      </c>
      <c r="C665" s="34" t="s">
        <v>100</v>
      </c>
      <c r="D665" s="34" t="s">
        <v>119</v>
      </c>
      <c r="E665" s="34" t="s">
        <v>93</v>
      </c>
      <c r="F665" s="35">
        <v>27</v>
      </c>
      <c r="G665" s="37">
        <v>100</v>
      </c>
      <c r="H665" s="32">
        <f t="shared" si="16"/>
        <v>2700</v>
      </c>
    </row>
    <row r="666" spans="2:8">
      <c r="B666" s="28">
        <v>10207</v>
      </c>
      <c r="C666" s="34" t="s">
        <v>100</v>
      </c>
      <c r="D666" s="34" t="s">
        <v>232</v>
      </c>
      <c r="E666" s="34" t="s">
        <v>93</v>
      </c>
      <c r="F666" s="35">
        <v>44</v>
      </c>
      <c r="G666" s="37">
        <v>100</v>
      </c>
      <c r="H666" s="32">
        <f t="shared" si="16"/>
        <v>4400</v>
      </c>
    </row>
    <row r="667" spans="2:8">
      <c r="B667" s="28">
        <v>10219</v>
      </c>
      <c r="C667" s="34" t="s">
        <v>100</v>
      </c>
      <c r="D667" s="34" t="s">
        <v>232</v>
      </c>
      <c r="E667" s="34" t="s">
        <v>93</v>
      </c>
      <c r="F667" s="35">
        <v>43</v>
      </c>
      <c r="G667" s="37">
        <v>100</v>
      </c>
      <c r="H667" s="32">
        <f t="shared" si="16"/>
        <v>4300</v>
      </c>
    </row>
    <row r="668" spans="2:8">
      <c r="B668" s="28">
        <v>10230</v>
      </c>
      <c r="C668" s="34" t="s">
        <v>566</v>
      </c>
      <c r="D668" s="34" t="s">
        <v>232</v>
      </c>
      <c r="E668" s="34" t="s">
        <v>93</v>
      </c>
      <c r="F668" s="35">
        <v>49</v>
      </c>
      <c r="G668" s="37">
        <v>100</v>
      </c>
      <c r="H668" s="32">
        <f t="shared" si="16"/>
        <v>4900</v>
      </c>
    </row>
    <row r="669" spans="2:8">
      <c r="B669" s="28">
        <v>10246</v>
      </c>
      <c r="C669" s="34" t="s">
        <v>261</v>
      </c>
      <c r="D669" s="34" t="s">
        <v>119</v>
      </c>
      <c r="E669" s="34" t="s">
        <v>93</v>
      </c>
      <c r="F669" s="35">
        <v>40</v>
      </c>
      <c r="G669" s="37">
        <v>100</v>
      </c>
      <c r="H669" s="32">
        <f t="shared" si="16"/>
        <v>4000</v>
      </c>
    </row>
    <row r="670" spans="2:8">
      <c r="B670" s="28">
        <v>10259</v>
      </c>
      <c r="C670" s="34" t="s">
        <v>287</v>
      </c>
      <c r="D670" s="34" t="s">
        <v>119</v>
      </c>
      <c r="E670" s="34" t="s">
        <v>93</v>
      </c>
      <c r="F670" s="35">
        <v>30</v>
      </c>
      <c r="G670" s="37">
        <v>100</v>
      </c>
      <c r="H670" s="32">
        <f t="shared" si="16"/>
        <v>3000</v>
      </c>
    </row>
    <row r="671" spans="2:8">
      <c r="B671" s="28">
        <v>10271</v>
      </c>
      <c r="C671" s="34" t="s">
        <v>100</v>
      </c>
      <c r="D671" s="34" t="s">
        <v>232</v>
      </c>
      <c r="E671" s="34" t="s">
        <v>93</v>
      </c>
      <c r="F671" s="35">
        <v>50</v>
      </c>
      <c r="G671" s="37">
        <v>100</v>
      </c>
      <c r="H671" s="32">
        <f t="shared" si="16"/>
        <v>5000</v>
      </c>
    </row>
    <row r="672" spans="2:8">
      <c r="B672" s="28">
        <v>10282</v>
      </c>
      <c r="C672" s="34" t="s">
        <v>100</v>
      </c>
      <c r="D672" s="34" t="s">
        <v>119</v>
      </c>
      <c r="E672" s="34" t="s">
        <v>93</v>
      </c>
      <c r="F672" s="35">
        <v>23</v>
      </c>
      <c r="G672" s="37">
        <v>100</v>
      </c>
      <c r="H672" s="32">
        <f t="shared" si="16"/>
        <v>2300</v>
      </c>
    </row>
    <row r="673" spans="2:8">
      <c r="B673" s="28">
        <v>10292</v>
      </c>
      <c r="C673" s="34" t="s">
        <v>100</v>
      </c>
      <c r="D673" s="34" t="s">
        <v>119</v>
      </c>
      <c r="E673" s="34" t="s">
        <v>93</v>
      </c>
      <c r="F673" s="35">
        <v>26</v>
      </c>
      <c r="G673" s="37">
        <v>100</v>
      </c>
      <c r="H673" s="32">
        <f t="shared" si="16"/>
        <v>2600</v>
      </c>
    </row>
    <row r="674" spans="2:8">
      <c r="B674" s="28">
        <v>10305</v>
      </c>
      <c r="C674" s="34" t="s">
        <v>100</v>
      </c>
      <c r="D674" s="34" t="s">
        <v>119</v>
      </c>
      <c r="E674" s="34" t="s">
        <v>93</v>
      </c>
      <c r="F674" s="35">
        <v>27</v>
      </c>
      <c r="G674" s="37">
        <v>100</v>
      </c>
      <c r="H674" s="32">
        <f t="shared" si="16"/>
        <v>2700</v>
      </c>
    </row>
    <row r="675" spans="2:8">
      <c r="B675" s="28">
        <v>10314</v>
      </c>
      <c r="C675" s="34" t="s">
        <v>429</v>
      </c>
      <c r="D675" s="34" t="s">
        <v>119</v>
      </c>
      <c r="E675" s="34" t="s">
        <v>93</v>
      </c>
      <c r="F675" s="35">
        <v>42</v>
      </c>
      <c r="G675" s="37">
        <v>100</v>
      </c>
      <c r="H675" s="32">
        <f t="shared" si="16"/>
        <v>4200</v>
      </c>
    </row>
    <row r="676" spans="2:8">
      <c r="B676" s="28">
        <v>10324</v>
      </c>
      <c r="C676" s="34" t="s">
        <v>100</v>
      </c>
      <c r="D676" s="34" t="s">
        <v>232</v>
      </c>
      <c r="E676" s="34" t="s">
        <v>93</v>
      </c>
      <c r="F676" s="35">
        <v>47</v>
      </c>
      <c r="G676" s="37">
        <v>100</v>
      </c>
      <c r="H676" s="32">
        <f t="shared" si="16"/>
        <v>4700</v>
      </c>
    </row>
    <row r="677" spans="2:8">
      <c r="B677" s="28">
        <v>10336</v>
      </c>
      <c r="C677" s="34" t="s">
        <v>109</v>
      </c>
      <c r="D677" s="34" t="s">
        <v>232</v>
      </c>
      <c r="E677" s="34" t="s">
        <v>93</v>
      </c>
      <c r="F677" s="35">
        <v>49</v>
      </c>
      <c r="G677" s="37">
        <v>100</v>
      </c>
      <c r="H677" s="32">
        <f t="shared" si="16"/>
        <v>4900</v>
      </c>
    </row>
    <row r="678" spans="2:8">
      <c r="B678" s="28">
        <v>10349</v>
      </c>
      <c r="C678" s="34" t="s">
        <v>100</v>
      </c>
      <c r="D678" s="34" t="s">
        <v>119</v>
      </c>
      <c r="E678" s="34" t="s">
        <v>93</v>
      </c>
      <c r="F678" s="35">
        <v>38</v>
      </c>
      <c r="G678" s="37">
        <v>100</v>
      </c>
      <c r="H678" s="32">
        <f t="shared" si="16"/>
        <v>3800</v>
      </c>
    </row>
    <row r="679" spans="2:8">
      <c r="B679" s="28">
        <v>10358</v>
      </c>
      <c r="C679" s="34" t="s">
        <v>261</v>
      </c>
      <c r="D679" s="34" t="s">
        <v>104</v>
      </c>
      <c r="E679" s="34" t="s">
        <v>93</v>
      </c>
      <c r="F679" s="35">
        <v>20</v>
      </c>
      <c r="G679" s="37">
        <v>100</v>
      </c>
      <c r="H679" s="32">
        <f t="shared" si="16"/>
        <v>2000</v>
      </c>
    </row>
    <row r="680" spans="2:8">
      <c r="B680" s="28">
        <v>10371</v>
      </c>
      <c r="C680" s="34" t="s">
        <v>100</v>
      </c>
      <c r="D680" s="34" t="s">
        <v>104</v>
      </c>
      <c r="E680" s="34" t="s">
        <v>93</v>
      </c>
      <c r="F680" s="35">
        <v>25</v>
      </c>
      <c r="G680" s="37">
        <v>100</v>
      </c>
      <c r="H680" s="32">
        <f t="shared" si="16"/>
        <v>2500</v>
      </c>
    </row>
    <row r="681" spans="2:8">
      <c r="B681" s="28">
        <v>10382</v>
      </c>
      <c r="C681" s="34" t="s">
        <v>100</v>
      </c>
      <c r="D681" s="34" t="s">
        <v>104</v>
      </c>
      <c r="E681" s="34" t="s">
        <v>93</v>
      </c>
      <c r="F681" s="35">
        <v>25</v>
      </c>
      <c r="G681" s="37">
        <v>88</v>
      </c>
      <c r="H681" s="32">
        <f t="shared" si="16"/>
        <v>2200</v>
      </c>
    </row>
    <row r="682" spans="2:8">
      <c r="B682" s="28">
        <v>10412</v>
      </c>
      <c r="C682" s="34" t="s">
        <v>261</v>
      </c>
      <c r="D682" s="34" t="s">
        <v>119</v>
      </c>
      <c r="E682" s="34" t="s">
        <v>93</v>
      </c>
      <c r="F682" s="35">
        <v>41</v>
      </c>
      <c r="G682" s="37">
        <v>100</v>
      </c>
      <c r="H682" s="32">
        <f t="shared" si="16"/>
        <v>4100</v>
      </c>
    </row>
    <row r="683" spans="2:8">
      <c r="B683" s="28">
        <v>10425</v>
      </c>
      <c r="C683" s="34" t="s">
        <v>109</v>
      </c>
      <c r="D683" s="34" t="s">
        <v>119</v>
      </c>
      <c r="E683" s="34" t="s">
        <v>400</v>
      </c>
      <c r="F683" s="35">
        <v>28</v>
      </c>
      <c r="G683" s="37">
        <v>100</v>
      </c>
      <c r="H683" s="32">
        <f t="shared" si="16"/>
        <v>2800</v>
      </c>
    </row>
    <row r="684" spans="2:8">
      <c r="B684" s="28">
        <v>10100</v>
      </c>
      <c r="C684" s="34" t="s">
        <v>100</v>
      </c>
      <c r="D684" s="34" t="s">
        <v>119</v>
      </c>
      <c r="E684" s="34" t="s">
        <v>93</v>
      </c>
      <c r="F684" s="35">
        <v>50</v>
      </c>
      <c r="G684" s="37">
        <v>67.8</v>
      </c>
      <c r="H684" s="32">
        <f t="shared" si="16"/>
        <v>3390</v>
      </c>
    </row>
    <row r="685" spans="2:8">
      <c r="B685" s="28">
        <v>10110</v>
      </c>
      <c r="C685" s="34" t="s">
        <v>252</v>
      </c>
      <c r="D685" s="34" t="s">
        <v>104</v>
      </c>
      <c r="E685" s="34" t="s">
        <v>93</v>
      </c>
      <c r="F685" s="35">
        <v>32</v>
      </c>
      <c r="G685" s="37">
        <v>50.25</v>
      </c>
      <c r="H685" s="32">
        <f t="shared" si="16"/>
        <v>1608</v>
      </c>
    </row>
    <row r="686" spans="2:8">
      <c r="B686" s="28">
        <v>10124</v>
      </c>
      <c r="C686" s="34" t="s">
        <v>100</v>
      </c>
      <c r="D686" s="34" t="s">
        <v>104</v>
      </c>
      <c r="E686" s="34" t="s">
        <v>93</v>
      </c>
      <c r="F686" s="35">
        <v>42</v>
      </c>
      <c r="G686" s="37">
        <v>53.88</v>
      </c>
      <c r="H686" s="32">
        <f t="shared" si="16"/>
        <v>2262.96</v>
      </c>
    </row>
    <row r="687" spans="2:8">
      <c r="B687" s="28">
        <v>10149</v>
      </c>
      <c r="C687" s="34" t="s">
        <v>100</v>
      </c>
      <c r="D687" s="34" t="s">
        <v>104</v>
      </c>
      <c r="E687" s="34" t="s">
        <v>93</v>
      </c>
      <c r="F687" s="35">
        <v>24</v>
      </c>
      <c r="G687" s="37">
        <v>62.36</v>
      </c>
      <c r="H687" s="32">
        <f t="shared" si="16"/>
        <v>1496.6399999999999</v>
      </c>
    </row>
    <row r="688" spans="2:8">
      <c r="B688" s="28">
        <v>10162</v>
      </c>
      <c r="C688" s="34" t="s">
        <v>100</v>
      </c>
      <c r="D688" s="34" t="s">
        <v>104</v>
      </c>
      <c r="E688" s="34" t="s">
        <v>93</v>
      </c>
      <c r="F688" s="35">
        <v>27</v>
      </c>
      <c r="G688" s="37">
        <v>69.62</v>
      </c>
      <c r="H688" s="32">
        <f t="shared" si="16"/>
        <v>1879.7400000000002</v>
      </c>
    </row>
    <row r="689" spans="2:8">
      <c r="B689" s="28">
        <v>10173</v>
      </c>
      <c r="C689" s="34" t="s">
        <v>352</v>
      </c>
      <c r="D689" s="34" t="s">
        <v>104</v>
      </c>
      <c r="E689" s="34" t="s">
        <v>93</v>
      </c>
      <c r="F689" s="35">
        <v>26</v>
      </c>
      <c r="G689" s="37">
        <v>57.51</v>
      </c>
      <c r="H689" s="32">
        <f t="shared" si="16"/>
        <v>1495.26</v>
      </c>
    </row>
    <row r="690" spans="2:8">
      <c r="B690" s="28">
        <v>10182</v>
      </c>
      <c r="C690" s="34" t="s">
        <v>100</v>
      </c>
      <c r="D690" s="34" t="s">
        <v>104</v>
      </c>
      <c r="E690" s="34" t="s">
        <v>93</v>
      </c>
      <c r="F690" s="35">
        <v>38</v>
      </c>
      <c r="G690" s="37">
        <v>61.15</v>
      </c>
      <c r="H690" s="32">
        <f t="shared" si="16"/>
        <v>2323.6999999999998</v>
      </c>
    </row>
    <row r="691" spans="2:8">
      <c r="B691" s="28">
        <v>10193</v>
      </c>
      <c r="C691" s="34" t="s">
        <v>168</v>
      </c>
      <c r="D691" s="34" t="s">
        <v>104</v>
      </c>
      <c r="E691" s="34" t="s">
        <v>93</v>
      </c>
      <c r="F691" s="35">
        <v>42</v>
      </c>
      <c r="G691" s="37">
        <v>59.33</v>
      </c>
      <c r="H691" s="32">
        <f t="shared" si="16"/>
        <v>2491.86</v>
      </c>
    </row>
    <row r="692" spans="2:8">
      <c r="B692" s="28">
        <v>10204</v>
      </c>
      <c r="C692" s="34" t="s">
        <v>100</v>
      </c>
      <c r="D692" s="34" t="s">
        <v>104</v>
      </c>
      <c r="E692" s="34" t="s">
        <v>93</v>
      </c>
      <c r="F692" s="35">
        <v>23</v>
      </c>
      <c r="G692" s="37">
        <v>71.44</v>
      </c>
      <c r="H692" s="32">
        <f t="shared" si="16"/>
        <v>1643.12</v>
      </c>
    </row>
    <row r="693" spans="2:8">
      <c r="B693" s="28">
        <v>10214</v>
      </c>
      <c r="C693" s="34" t="s">
        <v>261</v>
      </c>
      <c r="D693" s="34" t="s">
        <v>104</v>
      </c>
      <c r="E693" s="34" t="s">
        <v>93</v>
      </c>
      <c r="F693" s="35">
        <v>21</v>
      </c>
      <c r="G693" s="37">
        <v>62.96</v>
      </c>
      <c r="H693" s="32">
        <f t="shared" si="16"/>
        <v>1322.16</v>
      </c>
    </row>
    <row r="694" spans="2:8">
      <c r="B694" s="28">
        <v>10227</v>
      </c>
      <c r="C694" s="34" t="s">
        <v>109</v>
      </c>
      <c r="D694" s="34" t="s">
        <v>104</v>
      </c>
      <c r="E694" s="34" t="s">
        <v>93</v>
      </c>
      <c r="F694" s="35">
        <v>28</v>
      </c>
      <c r="G694" s="37">
        <v>50.85</v>
      </c>
      <c r="H694" s="32">
        <f t="shared" si="16"/>
        <v>1423.8</v>
      </c>
    </row>
    <row r="695" spans="2:8">
      <c r="B695" s="28">
        <v>10241</v>
      </c>
      <c r="C695" s="34" t="s">
        <v>109</v>
      </c>
      <c r="D695" s="34" t="s">
        <v>104</v>
      </c>
      <c r="E695" s="34" t="s">
        <v>93</v>
      </c>
      <c r="F695" s="35">
        <v>33</v>
      </c>
      <c r="G695" s="37">
        <v>72.650000000000006</v>
      </c>
      <c r="H695" s="32">
        <f t="shared" si="16"/>
        <v>2397.4500000000003</v>
      </c>
    </row>
    <row r="696" spans="2:8">
      <c r="B696" s="28">
        <v>10280</v>
      </c>
      <c r="C696" s="34" t="s">
        <v>352</v>
      </c>
      <c r="D696" s="34" t="s">
        <v>104</v>
      </c>
      <c r="E696" s="34" t="s">
        <v>93</v>
      </c>
      <c r="F696" s="35">
        <v>25</v>
      </c>
      <c r="G696" s="37">
        <v>62.96</v>
      </c>
      <c r="H696" s="32">
        <f t="shared" si="16"/>
        <v>1574</v>
      </c>
    </row>
    <row r="697" spans="2:8">
      <c r="B697" s="28">
        <v>10288</v>
      </c>
      <c r="C697" s="34" t="s">
        <v>287</v>
      </c>
      <c r="D697" s="34" t="s">
        <v>104</v>
      </c>
      <c r="E697" s="34" t="s">
        <v>93</v>
      </c>
      <c r="F697" s="35">
        <v>28</v>
      </c>
      <c r="G697" s="37">
        <v>61.75</v>
      </c>
      <c r="H697" s="32">
        <f t="shared" si="16"/>
        <v>1729</v>
      </c>
    </row>
    <row r="698" spans="2:8">
      <c r="B698" s="28">
        <v>10303</v>
      </c>
      <c r="C698" s="34" t="s">
        <v>261</v>
      </c>
      <c r="D698" s="34" t="s">
        <v>104</v>
      </c>
      <c r="E698" s="34" t="s">
        <v>93</v>
      </c>
      <c r="F698" s="35">
        <v>46</v>
      </c>
      <c r="G698" s="37">
        <v>49.04</v>
      </c>
      <c r="H698" s="32">
        <f t="shared" si="16"/>
        <v>2255.84</v>
      </c>
    </row>
    <row r="699" spans="2:8">
      <c r="B699" s="28">
        <v>10312</v>
      </c>
      <c r="C699" s="34" t="s">
        <v>100</v>
      </c>
      <c r="D699" s="34" t="s">
        <v>104</v>
      </c>
      <c r="E699" s="34" t="s">
        <v>93</v>
      </c>
      <c r="F699" s="35">
        <v>30</v>
      </c>
      <c r="G699" s="37">
        <v>61.15</v>
      </c>
      <c r="H699" s="32">
        <f t="shared" si="16"/>
        <v>1834.5</v>
      </c>
    </row>
    <row r="700" spans="2:8">
      <c r="B700" s="28">
        <v>10332</v>
      </c>
      <c r="C700" s="34" t="s">
        <v>252</v>
      </c>
      <c r="D700" s="34" t="s">
        <v>119</v>
      </c>
      <c r="E700" s="34" t="s">
        <v>93</v>
      </c>
      <c r="F700" s="35">
        <v>38</v>
      </c>
      <c r="G700" s="37">
        <v>84.25</v>
      </c>
      <c r="H700" s="32">
        <f t="shared" si="16"/>
        <v>3201.5</v>
      </c>
    </row>
    <row r="701" spans="2:8">
      <c r="B701" s="28">
        <v>10344</v>
      </c>
      <c r="C701" s="34" t="s">
        <v>109</v>
      </c>
      <c r="D701" s="34" t="s">
        <v>104</v>
      </c>
      <c r="E701" s="34" t="s">
        <v>93</v>
      </c>
      <c r="F701" s="35">
        <v>40</v>
      </c>
      <c r="G701" s="37">
        <v>56.91</v>
      </c>
      <c r="H701" s="32">
        <f t="shared" si="16"/>
        <v>2276.3999999999996</v>
      </c>
    </row>
    <row r="702" spans="2:8">
      <c r="B702" s="28">
        <v>10367</v>
      </c>
      <c r="C702" s="34" t="s">
        <v>100</v>
      </c>
      <c r="D702" s="34" t="s">
        <v>232</v>
      </c>
      <c r="E702" s="34" t="s">
        <v>526</v>
      </c>
      <c r="F702" s="35">
        <v>45</v>
      </c>
      <c r="G702" s="37">
        <v>100</v>
      </c>
      <c r="H702" s="32">
        <f t="shared" si="16"/>
        <v>4500</v>
      </c>
    </row>
    <row r="703" spans="2:8">
      <c r="B703" s="28">
        <v>10379</v>
      </c>
      <c r="C703" s="34" t="s">
        <v>261</v>
      </c>
      <c r="D703" s="34" t="s">
        <v>104</v>
      </c>
      <c r="E703" s="34" t="s">
        <v>93</v>
      </c>
      <c r="F703" s="35">
        <v>27</v>
      </c>
      <c r="G703" s="37">
        <v>49.3</v>
      </c>
      <c r="H703" s="32">
        <f t="shared" si="16"/>
        <v>1331.1</v>
      </c>
    </row>
    <row r="704" spans="2:8">
      <c r="B704" s="28">
        <v>10407</v>
      </c>
      <c r="C704" s="34" t="s">
        <v>100</v>
      </c>
      <c r="D704" s="34" t="s">
        <v>119</v>
      </c>
      <c r="E704" s="34" t="s">
        <v>518</v>
      </c>
      <c r="F704" s="35">
        <v>42</v>
      </c>
      <c r="G704" s="37">
        <v>72.650000000000006</v>
      </c>
      <c r="H704" s="32">
        <f t="shared" si="16"/>
        <v>3051.3</v>
      </c>
    </row>
    <row r="705" spans="2:8">
      <c r="B705" s="28">
        <v>10420</v>
      </c>
      <c r="C705" s="34" t="s">
        <v>168</v>
      </c>
      <c r="D705" s="34" t="s">
        <v>104</v>
      </c>
      <c r="E705" s="34" t="s">
        <v>400</v>
      </c>
      <c r="F705" s="35">
        <v>36</v>
      </c>
      <c r="G705" s="37">
        <v>63.57</v>
      </c>
      <c r="H705" s="32">
        <f t="shared" si="16"/>
        <v>2288.52</v>
      </c>
    </row>
    <row r="706" spans="2:8">
      <c r="B706" s="28">
        <v>10104</v>
      </c>
      <c r="C706" s="34" t="s">
        <v>261</v>
      </c>
      <c r="D706" s="34" t="s">
        <v>119</v>
      </c>
      <c r="E706" s="34" t="s">
        <v>93</v>
      </c>
      <c r="F706" s="35">
        <v>29</v>
      </c>
      <c r="G706" s="37">
        <v>100</v>
      </c>
      <c r="H706" s="32">
        <f t="shared" si="16"/>
        <v>2900</v>
      </c>
    </row>
    <row r="707" spans="2:8">
      <c r="B707" s="28">
        <v>10114</v>
      </c>
      <c r="C707" s="34" t="s">
        <v>109</v>
      </c>
      <c r="D707" s="34" t="s">
        <v>119</v>
      </c>
      <c r="E707" s="34" t="s">
        <v>93</v>
      </c>
      <c r="F707" s="35">
        <v>39</v>
      </c>
      <c r="G707" s="37">
        <v>100</v>
      </c>
      <c r="H707" s="32">
        <f t="shared" si="16"/>
        <v>3900</v>
      </c>
    </row>
    <row r="708" spans="2:8">
      <c r="B708" s="28">
        <v>10127</v>
      </c>
      <c r="C708" s="34" t="s">
        <v>100</v>
      </c>
      <c r="D708" s="34" t="s">
        <v>119</v>
      </c>
      <c r="E708" s="34" t="s">
        <v>93</v>
      </c>
      <c r="F708" s="35">
        <v>45</v>
      </c>
      <c r="G708" s="37">
        <v>100</v>
      </c>
      <c r="H708" s="32">
        <f t="shared" si="16"/>
        <v>4500</v>
      </c>
    </row>
    <row r="709" spans="2:8">
      <c r="B709" s="28">
        <v>10141</v>
      </c>
      <c r="C709" s="34" t="s">
        <v>208</v>
      </c>
      <c r="D709" s="34" t="s">
        <v>119</v>
      </c>
      <c r="E709" s="34" t="s">
        <v>93</v>
      </c>
      <c r="F709" s="35">
        <v>47</v>
      </c>
      <c r="G709" s="37">
        <v>100</v>
      </c>
      <c r="H709" s="32">
        <f t="shared" ref="H709:H772" si="17">F709*G709</f>
        <v>4700</v>
      </c>
    </row>
    <row r="710" spans="2:8">
      <c r="B710" s="28">
        <v>10151</v>
      </c>
      <c r="C710" s="34" t="s">
        <v>208</v>
      </c>
      <c r="D710" s="34" t="s">
        <v>119</v>
      </c>
      <c r="E710" s="34" t="s">
        <v>93</v>
      </c>
      <c r="F710" s="35">
        <v>49</v>
      </c>
      <c r="G710" s="37">
        <v>100</v>
      </c>
      <c r="H710" s="32">
        <f t="shared" si="17"/>
        <v>4900</v>
      </c>
    </row>
    <row r="711" spans="2:8">
      <c r="B711" s="28">
        <v>10165</v>
      </c>
      <c r="C711" s="34" t="s">
        <v>287</v>
      </c>
      <c r="D711" s="34" t="s">
        <v>119</v>
      </c>
      <c r="E711" s="34" t="s">
        <v>93</v>
      </c>
      <c r="F711" s="35">
        <v>46</v>
      </c>
      <c r="G711" s="37">
        <v>100</v>
      </c>
      <c r="H711" s="32">
        <f t="shared" si="17"/>
        <v>4600</v>
      </c>
    </row>
    <row r="712" spans="2:8">
      <c r="B712" s="28">
        <v>10175</v>
      </c>
      <c r="C712" s="34" t="s">
        <v>252</v>
      </c>
      <c r="D712" s="34" t="s">
        <v>119</v>
      </c>
      <c r="E712" s="34" t="s">
        <v>93</v>
      </c>
      <c r="F712" s="35">
        <v>48</v>
      </c>
      <c r="G712" s="37">
        <v>100</v>
      </c>
      <c r="H712" s="32">
        <f t="shared" si="17"/>
        <v>4800</v>
      </c>
    </row>
    <row r="713" spans="2:8">
      <c r="B713" s="28">
        <v>10184</v>
      </c>
      <c r="C713" s="34" t="s">
        <v>261</v>
      </c>
      <c r="D713" s="34" t="s">
        <v>119</v>
      </c>
      <c r="E713" s="34" t="s">
        <v>93</v>
      </c>
      <c r="F713" s="35">
        <v>46</v>
      </c>
      <c r="G713" s="37">
        <v>100</v>
      </c>
      <c r="H713" s="32">
        <f t="shared" si="17"/>
        <v>4600</v>
      </c>
    </row>
    <row r="714" spans="2:8">
      <c r="B714" s="28">
        <v>10195</v>
      </c>
      <c r="C714" s="34" t="s">
        <v>100</v>
      </c>
      <c r="D714" s="34" t="s">
        <v>119</v>
      </c>
      <c r="E714" s="34" t="s">
        <v>93</v>
      </c>
      <c r="F714" s="35">
        <v>35</v>
      </c>
      <c r="G714" s="37">
        <v>100</v>
      </c>
      <c r="H714" s="32">
        <f t="shared" si="17"/>
        <v>3500</v>
      </c>
    </row>
    <row r="715" spans="2:8">
      <c r="B715" s="28">
        <v>10207</v>
      </c>
      <c r="C715" s="34" t="s">
        <v>100</v>
      </c>
      <c r="D715" s="34" t="s">
        <v>119</v>
      </c>
      <c r="E715" s="34" t="s">
        <v>93</v>
      </c>
      <c r="F715" s="35">
        <v>43</v>
      </c>
      <c r="G715" s="37">
        <v>100</v>
      </c>
      <c r="H715" s="32">
        <f t="shared" si="17"/>
        <v>4300</v>
      </c>
    </row>
    <row r="716" spans="2:8">
      <c r="B716" s="28">
        <v>10229</v>
      </c>
      <c r="C716" s="34" t="s">
        <v>100</v>
      </c>
      <c r="D716" s="34" t="s">
        <v>119</v>
      </c>
      <c r="E716" s="34" t="s">
        <v>93</v>
      </c>
      <c r="F716" s="35">
        <v>26</v>
      </c>
      <c r="G716" s="37">
        <v>100</v>
      </c>
      <c r="H716" s="32">
        <f t="shared" si="17"/>
        <v>2600</v>
      </c>
    </row>
    <row r="717" spans="2:8">
      <c r="B717" s="28">
        <v>10246</v>
      </c>
      <c r="C717" s="34" t="s">
        <v>261</v>
      </c>
      <c r="D717" s="34" t="s">
        <v>104</v>
      </c>
      <c r="E717" s="34" t="s">
        <v>93</v>
      </c>
      <c r="F717" s="35">
        <v>22</v>
      </c>
      <c r="G717" s="37">
        <v>98.18</v>
      </c>
      <c r="H717" s="32">
        <f t="shared" si="17"/>
        <v>2159.96</v>
      </c>
    </row>
    <row r="718" spans="2:8">
      <c r="B718" s="28">
        <v>10259</v>
      </c>
      <c r="C718" s="34" t="s">
        <v>287</v>
      </c>
      <c r="D718" s="34" t="s">
        <v>119</v>
      </c>
      <c r="E718" s="34" t="s">
        <v>93</v>
      </c>
      <c r="F718" s="35">
        <v>34</v>
      </c>
      <c r="G718" s="37">
        <v>99.41</v>
      </c>
      <c r="H718" s="32">
        <f t="shared" si="17"/>
        <v>3379.94</v>
      </c>
    </row>
    <row r="719" spans="2:8">
      <c r="B719" s="28">
        <v>10271</v>
      </c>
      <c r="C719" s="34" t="s">
        <v>100</v>
      </c>
      <c r="D719" s="34" t="s">
        <v>119</v>
      </c>
      <c r="E719" s="34" t="s">
        <v>93</v>
      </c>
      <c r="F719" s="35">
        <v>50</v>
      </c>
      <c r="G719" s="37">
        <v>100</v>
      </c>
      <c r="H719" s="32">
        <f t="shared" si="17"/>
        <v>5000</v>
      </c>
    </row>
    <row r="720" spans="2:8">
      <c r="B720" s="28">
        <v>10281</v>
      </c>
      <c r="C720" s="34" t="s">
        <v>100</v>
      </c>
      <c r="D720" s="34" t="s">
        <v>119</v>
      </c>
      <c r="E720" s="34" t="s">
        <v>93</v>
      </c>
      <c r="F720" s="35">
        <v>48</v>
      </c>
      <c r="G720" s="37">
        <v>100</v>
      </c>
      <c r="H720" s="32">
        <f t="shared" si="17"/>
        <v>4800</v>
      </c>
    </row>
    <row r="721" spans="2:8">
      <c r="B721" s="28">
        <v>10292</v>
      </c>
      <c r="C721" s="34" t="s">
        <v>100</v>
      </c>
      <c r="D721" s="34" t="s">
        <v>119</v>
      </c>
      <c r="E721" s="34" t="s">
        <v>93</v>
      </c>
      <c r="F721" s="35">
        <v>41</v>
      </c>
      <c r="G721" s="37">
        <v>100</v>
      </c>
      <c r="H721" s="32">
        <f t="shared" si="17"/>
        <v>4100</v>
      </c>
    </row>
    <row r="722" spans="2:8">
      <c r="B722" s="28">
        <v>10305</v>
      </c>
      <c r="C722" s="34" t="s">
        <v>100</v>
      </c>
      <c r="D722" s="34" t="s">
        <v>119</v>
      </c>
      <c r="E722" s="34" t="s">
        <v>93</v>
      </c>
      <c r="F722" s="35">
        <v>36</v>
      </c>
      <c r="G722" s="37">
        <v>100</v>
      </c>
      <c r="H722" s="32">
        <f t="shared" si="17"/>
        <v>3600</v>
      </c>
    </row>
    <row r="723" spans="2:8">
      <c r="B723" s="28">
        <v>10313</v>
      </c>
      <c r="C723" s="34" t="s">
        <v>322</v>
      </c>
      <c r="D723" s="34" t="s">
        <v>119</v>
      </c>
      <c r="E723" s="34" t="s">
        <v>93</v>
      </c>
      <c r="F723" s="35">
        <v>29</v>
      </c>
      <c r="G723" s="37">
        <v>100</v>
      </c>
      <c r="H723" s="32">
        <f t="shared" si="17"/>
        <v>2900</v>
      </c>
    </row>
    <row r="724" spans="2:8">
      <c r="B724" s="28">
        <v>10324</v>
      </c>
      <c r="C724" s="34" t="s">
        <v>100</v>
      </c>
      <c r="D724" s="34" t="s">
        <v>104</v>
      </c>
      <c r="E724" s="34" t="s">
        <v>93</v>
      </c>
      <c r="F724" s="35">
        <v>33</v>
      </c>
      <c r="G724" s="37">
        <v>37.479999999999997</v>
      </c>
      <c r="H724" s="32">
        <f t="shared" si="17"/>
        <v>1236.8399999999999</v>
      </c>
    </row>
    <row r="725" spans="2:8">
      <c r="B725" s="28">
        <v>10334</v>
      </c>
      <c r="C725" s="34" t="s">
        <v>273</v>
      </c>
      <c r="D725" s="34" t="s">
        <v>119</v>
      </c>
      <c r="E725" s="34" t="s">
        <v>518</v>
      </c>
      <c r="F725" s="35">
        <v>46</v>
      </c>
      <c r="G725" s="37">
        <v>100</v>
      </c>
      <c r="H725" s="32">
        <f t="shared" si="17"/>
        <v>4600</v>
      </c>
    </row>
    <row r="726" spans="2:8">
      <c r="B726" s="28">
        <v>10349</v>
      </c>
      <c r="C726" s="34" t="s">
        <v>100</v>
      </c>
      <c r="D726" s="34" t="s">
        <v>119</v>
      </c>
      <c r="E726" s="34" t="s">
        <v>93</v>
      </c>
      <c r="F726" s="35">
        <v>38</v>
      </c>
      <c r="G726" s="37">
        <v>100</v>
      </c>
      <c r="H726" s="32">
        <f t="shared" si="17"/>
        <v>3800</v>
      </c>
    </row>
    <row r="727" spans="2:8">
      <c r="B727" s="28">
        <v>10358</v>
      </c>
      <c r="C727" s="34" t="s">
        <v>261</v>
      </c>
      <c r="D727" s="34" t="s">
        <v>104</v>
      </c>
      <c r="E727" s="34" t="s">
        <v>93</v>
      </c>
      <c r="F727" s="35">
        <v>20</v>
      </c>
      <c r="G727" s="37">
        <v>36.42</v>
      </c>
      <c r="H727" s="32">
        <f t="shared" si="17"/>
        <v>728.40000000000009</v>
      </c>
    </row>
    <row r="728" spans="2:8">
      <c r="B728" s="28">
        <v>10370</v>
      </c>
      <c r="C728" s="34" t="s">
        <v>168</v>
      </c>
      <c r="D728" s="34" t="s">
        <v>119</v>
      </c>
      <c r="E728" s="34" t="s">
        <v>93</v>
      </c>
      <c r="F728" s="35">
        <v>22</v>
      </c>
      <c r="G728" s="37">
        <v>100</v>
      </c>
      <c r="H728" s="32">
        <f t="shared" si="17"/>
        <v>2200</v>
      </c>
    </row>
    <row r="729" spans="2:8">
      <c r="B729" s="28">
        <v>10383</v>
      </c>
      <c r="C729" s="34" t="s">
        <v>261</v>
      </c>
      <c r="D729" s="34" t="s">
        <v>119</v>
      </c>
      <c r="E729" s="34" t="s">
        <v>93</v>
      </c>
      <c r="F729" s="35">
        <v>27</v>
      </c>
      <c r="G729" s="37">
        <v>100</v>
      </c>
      <c r="H729" s="32">
        <f t="shared" si="17"/>
        <v>2700</v>
      </c>
    </row>
    <row r="730" spans="2:8">
      <c r="B730" s="28">
        <v>10412</v>
      </c>
      <c r="C730" s="34" t="s">
        <v>261</v>
      </c>
      <c r="D730" s="34" t="s">
        <v>119</v>
      </c>
      <c r="E730" s="34" t="s">
        <v>93</v>
      </c>
      <c r="F730" s="35">
        <v>56</v>
      </c>
      <c r="G730" s="37">
        <v>98.18</v>
      </c>
      <c r="H730" s="32">
        <f t="shared" si="17"/>
        <v>5498.08</v>
      </c>
    </row>
    <row r="731" spans="2:8">
      <c r="B731" s="28">
        <v>10425</v>
      </c>
      <c r="C731" s="34" t="s">
        <v>109</v>
      </c>
      <c r="D731" s="34" t="s">
        <v>119</v>
      </c>
      <c r="E731" s="34" t="s">
        <v>400</v>
      </c>
      <c r="F731" s="35">
        <v>38</v>
      </c>
      <c r="G731" s="37">
        <v>99.41</v>
      </c>
      <c r="H731" s="32">
        <f t="shared" si="17"/>
        <v>3777.58</v>
      </c>
    </row>
    <row r="732" spans="2:8">
      <c r="B732" s="28">
        <v>10101</v>
      </c>
      <c r="C732" s="34" t="s">
        <v>566</v>
      </c>
      <c r="D732" s="34" t="s">
        <v>119</v>
      </c>
      <c r="E732" s="34" t="s">
        <v>93</v>
      </c>
      <c r="F732" s="35">
        <v>25</v>
      </c>
      <c r="G732" s="37">
        <v>100</v>
      </c>
      <c r="H732" s="32">
        <f t="shared" si="17"/>
        <v>2500</v>
      </c>
    </row>
    <row r="733" spans="2:8">
      <c r="B733" s="28">
        <v>10110</v>
      </c>
      <c r="C733" s="34" t="s">
        <v>252</v>
      </c>
      <c r="D733" s="34" t="s">
        <v>119</v>
      </c>
      <c r="E733" s="34" t="s">
        <v>93</v>
      </c>
      <c r="F733" s="35">
        <v>33</v>
      </c>
      <c r="G733" s="37">
        <v>100</v>
      </c>
      <c r="H733" s="32">
        <f t="shared" si="17"/>
        <v>3300</v>
      </c>
    </row>
    <row r="734" spans="2:8">
      <c r="B734" s="28">
        <v>10124</v>
      </c>
      <c r="C734" s="34" t="s">
        <v>100</v>
      </c>
      <c r="D734" s="34" t="s">
        <v>119</v>
      </c>
      <c r="E734" s="34" t="s">
        <v>93</v>
      </c>
      <c r="F734" s="35">
        <v>42</v>
      </c>
      <c r="G734" s="37">
        <v>100</v>
      </c>
      <c r="H734" s="32">
        <f t="shared" si="17"/>
        <v>4200</v>
      </c>
    </row>
    <row r="735" spans="2:8">
      <c r="B735" s="28">
        <v>10149</v>
      </c>
      <c r="C735" s="34" t="s">
        <v>100</v>
      </c>
      <c r="D735" s="34" t="s">
        <v>119</v>
      </c>
      <c r="E735" s="34" t="s">
        <v>93</v>
      </c>
      <c r="F735" s="35">
        <v>33</v>
      </c>
      <c r="G735" s="37">
        <v>100</v>
      </c>
      <c r="H735" s="32">
        <f t="shared" si="17"/>
        <v>3300</v>
      </c>
    </row>
    <row r="736" spans="2:8">
      <c r="B736" s="28">
        <v>10162</v>
      </c>
      <c r="C736" s="34" t="s">
        <v>100</v>
      </c>
      <c r="D736" s="34" t="s">
        <v>119</v>
      </c>
      <c r="E736" s="34" t="s">
        <v>93</v>
      </c>
      <c r="F736" s="35">
        <v>38</v>
      </c>
      <c r="G736" s="37">
        <v>100</v>
      </c>
      <c r="H736" s="32">
        <f t="shared" si="17"/>
        <v>3800</v>
      </c>
    </row>
    <row r="737" spans="2:8">
      <c r="B737" s="28">
        <v>10173</v>
      </c>
      <c r="C737" s="34" t="s">
        <v>352</v>
      </c>
      <c r="D737" s="34" t="s">
        <v>119</v>
      </c>
      <c r="E737" s="34" t="s">
        <v>93</v>
      </c>
      <c r="F737" s="35">
        <v>31</v>
      </c>
      <c r="G737" s="37">
        <v>100</v>
      </c>
      <c r="H737" s="32">
        <f t="shared" si="17"/>
        <v>3100</v>
      </c>
    </row>
    <row r="738" spans="2:8">
      <c r="B738" s="28">
        <v>10182</v>
      </c>
      <c r="C738" s="34" t="s">
        <v>100</v>
      </c>
      <c r="D738" s="34" t="s">
        <v>104</v>
      </c>
      <c r="E738" s="34" t="s">
        <v>93</v>
      </c>
      <c r="F738" s="35">
        <v>20</v>
      </c>
      <c r="G738" s="37">
        <v>100</v>
      </c>
      <c r="H738" s="32">
        <f t="shared" si="17"/>
        <v>2000</v>
      </c>
    </row>
    <row r="739" spans="2:8">
      <c r="B739" s="28">
        <v>10193</v>
      </c>
      <c r="C739" s="34" t="s">
        <v>168</v>
      </c>
      <c r="D739" s="34" t="s">
        <v>119</v>
      </c>
      <c r="E739" s="34" t="s">
        <v>93</v>
      </c>
      <c r="F739" s="35">
        <v>44</v>
      </c>
      <c r="G739" s="37">
        <v>100</v>
      </c>
      <c r="H739" s="32">
        <f t="shared" si="17"/>
        <v>4400</v>
      </c>
    </row>
    <row r="740" spans="2:8">
      <c r="B740" s="28">
        <v>10204</v>
      </c>
      <c r="C740" s="34" t="s">
        <v>100</v>
      </c>
      <c r="D740" s="34" t="s">
        <v>119</v>
      </c>
      <c r="E740" s="34" t="s">
        <v>93</v>
      </c>
      <c r="F740" s="35">
        <v>26</v>
      </c>
      <c r="G740" s="37">
        <v>100</v>
      </c>
      <c r="H740" s="32">
        <f t="shared" si="17"/>
        <v>2600</v>
      </c>
    </row>
    <row r="741" spans="2:8">
      <c r="B741" s="28">
        <v>10214</v>
      </c>
      <c r="C741" s="34" t="s">
        <v>261</v>
      </c>
      <c r="D741" s="34" t="s">
        <v>119</v>
      </c>
      <c r="E741" s="34" t="s">
        <v>93</v>
      </c>
      <c r="F741" s="35">
        <v>27</v>
      </c>
      <c r="G741" s="37">
        <v>100</v>
      </c>
      <c r="H741" s="32">
        <f t="shared" si="17"/>
        <v>2700</v>
      </c>
    </row>
    <row r="742" spans="2:8">
      <c r="B742" s="28">
        <v>10227</v>
      </c>
      <c r="C742" s="34" t="s">
        <v>109</v>
      </c>
      <c r="D742" s="34" t="s">
        <v>232</v>
      </c>
      <c r="E742" s="34" t="s">
        <v>93</v>
      </c>
      <c r="F742" s="35">
        <v>46</v>
      </c>
      <c r="G742" s="37">
        <v>100</v>
      </c>
      <c r="H742" s="32">
        <f t="shared" si="17"/>
        <v>4600</v>
      </c>
    </row>
    <row r="743" spans="2:8">
      <c r="B743" s="28">
        <v>10243</v>
      </c>
      <c r="C743" s="34" t="s">
        <v>100</v>
      </c>
      <c r="D743" s="34" t="s">
        <v>119</v>
      </c>
      <c r="E743" s="34" t="s">
        <v>93</v>
      </c>
      <c r="F743" s="35">
        <v>47</v>
      </c>
      <c r="G743" s="37">
        <v>100</v>
      </c>
      <c r="H743" s="32">
        <f t="shared" si="17"/>
        <v>4700</v>
      </c>
    </row>
    <row r="744" spans="2:8">
      <c r="B744" s="28">
        <v>10280</v>
      </c>
      <c r="C744" s="34" t="s">
        <v>352</v>
      </c>
      <c r="D744" s="34" t="s">
        <v>119</v>
      </c>
      <c r="E744" s="34" t="s">
        <v>93</v>
      </c>
      <c r="F744" s="35">
        <v>37</v>
      </c>
      <c r="G744" s="37">
        <v>100</v>
      </c>
      <c r="H744" s="32">
        <f t="shared" si="17"/>
        <v>3700</v>
      </c>
    </row>
    <row r="745" spans="2:8">
      <c r="B745" s="28">
        <v>10288</v>
      </c>
      <c r="C745" s="34" t="s">
        <v>287</v>
      </c>
      <c r="D745" s="34" t="s">
        <v>119</v>
      </c>
      <c r="E745" s="34" t="s">
        <v>93</v>
      </c>
      <c r="F745" s="35">
        <v>31</v>
      </c>
      <c r="G745" s="37">
        <v>100</v>
      </c>
      <c r="H745" s="32">
        <f t="shared" si="17"/>
        <v>3100</v>
      </c>
    </row>
    <row r="746" spans="2:8">
      <c r="B746" s="28">
        <v>10304</v>
      </c>
      <c r="C746" s="34" t="s">
        <v>109</v>
      </c>
      <c r="D746" s="34" t="s">
        <v>104</v>
      </c>
      <c r="E746" s="34" t="s">
        <v>93</v>
      </c>
      <c r="F746" s="35">
        <v>24</v>
      </c>
      <c r="G746" s="37">
        <v>100</v>
      </c>
      <c r="H746" s="32">
        <f t="shared" si="17"/>
        <v>2400</v>
      </c>
    </row>
    <row r="747" spans="2:8">
      <c r="B747" s="28">
        <v>10312</v>
      </c>
      <c r="C747" s="34" t="s">
        <v>100</v>
      </c>
      <c r="D747" s="34" t="s">
        <v>119</v>
      </c>
      <c r="E747" s="34" t="s">
        <v>93</v>
      </c>
      <c r="F747" s="35">
        <v>31</v>
      </c>
      <c r="G747" s="37">
        <v>100</v>
      </c>
      <c r="H747" s="32">
        <f t="shared" si="17"/>
        <v>3100</v>
      </c>
    </row>
    <row r="748" spans="2:8">
      <c r="B748" s="28">
        <v>10322</v>
      </c>
      <c r="C748" s="34" t="s">
        <v>100</v>
      </c>
      <c r="D748" s="34" t="s">
        <v>232</v>
      </c>
      <c r="E748" s="34" t="s">
        <v>93</v>
      </c>
      <c r="F748" s="35">
        <v>50</v>
      </c>
      <c r="G748" s="37">
        <v>100</v>
      </c>
      <c r="H748" s="32">
        <f t="shared" si="17"/>
        <v>5000</v>
      </c>
    </row>
    <row r="749" spans="2:8">
      <c r="B749" s="28">
        <v>10332</v>
      </c>
      <c r="C749" s="34" t="s">
        <v>252</v>
      </c>
      <c r="D749" s="34" t="s">
        <v>104</v>
      </c>
      <c r="E749" s="34" t="s">
        <v>93</v>
      </c>
      <c r="F749" s="35">
        <v>35</v>
      </c>
      <c r="G749" s="37">
        <v>64.69</v>
      </c>
      <c r="H749" s="32">
        <f t="shared" si="17"/>
        <v>2264.15</v>
      </c>
    </row>
    <row r="750" spans="2:8">
      <c r="B750" s="28">
        <v>10344</v>
      </c>
      <c r="C750" s="34" t="s">
        <v>109</v>
      </c>
      <c r="D750" s="34" t="s">
        <v>119</v>
      </c>
      <c r="E750" s="34" t="s">
        <v>93</v>
      </c>
      <c r="F750" s="35">
        <v>30</v>
      </c>
      <c r="G750" s="37">
        <v>100</v>
      </c>
      <c r="H750" s="32">
        <f t="shared" si="17"/>
        <v>3000</v>
      </c>
    </row>
    <row r="751" spans="2:8">
      <c r="B751" s="28">
        <v>10356</v>
      </c>
      <c r="C751" s="34" t="s">
        <v>109</v>
      </c>
      <c r="D751" s="34" t="s">
        <v>119</v>
      </c>
      <c r="E751" s="34" t="s">
        <v>93</v>
      </c>
      <c r="F751" s="35">
        <v>29</v>
      </c>
      <c r="G751" s="37">
        <v>100</v>
      </c>
      <c r="H751" s="32">
        <f t="shared" si="17"/>
        <v>2900</v>
      </c>
    </row>
    <row r="752" spans="2:8">
      <c r="B752" s="28">
        <v>10367</v>
      </c>
      <c r="C752" s="34" t="s">
        <v>100</v>
      </c>
      <c r="D752" s="34" t="s">
        <v>119</v>
      </c>
      <c r="E752" s="34" t="s">
        <v>526</v>
      </c>
      <c r="F752" s="35">
        <v>27</v>
      </c>
      <c r="G752" s="37">
        <v>100</v>
      </c>
      <c r="H752" s="32">
        <f t="shared" si="17"/>
        <v>2700</v>
      </c>
    </row>
    <row r="753" spans="2:8">
      <c r="B753" s="28">
        <v>10380</v>
      </c>
      <c r="C753" s="34" t="s">
        <v>261</v>
      </c>
      <c r="D753" s="34" t="s">
        <v>119</v>
      </c>
      <c r="E753" s="34" t="s">
        <v>93</v>
      </c>
      <c r="F753" s="35">
        <v>40</v>
      </c>
      <c r="G753" s="37">
        <v>100</v>
      </c>
      <c r="H753" s="32">
        <f t="shared" si="17"/>
        <v>4000</v>
      </c>
    </row>
    <row r="754" spans="2:8">
      <c r="B754" s="28">
        <v>10390</v>
      </c>
      <c r="C754" s="34" t="s">
        <v>100</v>
      </c>
      <c r="D754" s="34" t="s">
        <v>119</v>
      </c>
      <c r="E754" s="34" t="s">
        <v>93</v>
      </c>
      <c r="F754" s="35">
        <v>31</v>
      </c>
      <c r="G754" s="37">
        <v>98.99</v>
      </c>
      <c r="H754" s="32">
        <f t="shared" si="17"/>
        <v>3068.69</v>
      </c>
    </row>
    <row r="755" spans="2:8">
      <c r="B755" s="28">
        <v>10409</v>
      </c>
      <c r="C755" s="34" t="s">
        <v>287</v>
      </c>
      <c r="D755" s="34" t="s">
        <v>104</v>
      </c>
      <c r="E755" s="34" t="s">
        <v>93</v>
      </c>
      <c r="F755" s="35">
        <v>6</v>
      </c>
      <c r="G755" s="37">
        <v>100</v>
      </c>
      <c r="H755" s="32">
        <f t="shared" si="17"/>
        <v>600</v>
      </c>
    </row>
    <row r="756" spans="2:8">
      <c r="B756" s="28">
        <v>10420</v>
      </c>
      <c r="C756" s="34" t="s">
        <v>168</v>
      </c>
      <c r="D756" s="34" t="s">
        <v>119</v>
      </c>
      <c r="E756" s="34" t="s">
        <v>400</v>
      </c>
      <c r="F756" s="35">
        <v>45</v>
      </c>
      <c r="G756" s="37">
        <v>100</v>
      </c>
      <c r="H756" s="32">
        <f t="shared" si="17"/>
        <v>4500</v>
      </c>
    </row>
    <row r="757" spans="2:8">
      <c r="B757" s="28">
        <v>10103</v>
      </c>
      <c r="C757" s="34" t="s">
        <v>149</v>
      </c>
      <c r="D757" s="34" t="s">
        <v>104</v>
      </c>
      <c r="E757" s="34" t="s">
        <v>93</v>
      </c>
      <c r="F757" s="35">
        <v>22</v>
      </c>
      <c r="G757" s="37">
        <v>54.09</v>
      </c>
      <c r="H757" s="32">
        <f t="shared" si="17"/>
        <v>1189.98</v>
      </c>
    </row>
    <row r="758" spans="2:8">
      <c r="B758" s="28">
        <v>10114</v>
      </c>
      <c r="C758" s="34" t="s">
        <v>109</v>
      </c>
      <c r="D758" s="34" t="s">
        <v>119</v>
      </c>
      <c r="E758" s="34" t="s">
        <v>93</v>
      </c>
      <c r="F758" s="35">
        <v>45</v>
      </c>
      <c r="G758" s="37">
        <v>68.67</v>
      </c>
      <c r="H758" s="32">
        <f t="shared" si="17"/>
        <v>3090.15</v>
      </c>
    </row>
    <row r="759" spans="2:8">
      <c r="B759" s="28">
        <v>10126</v>
      </c>
      <c r="C759" s="34" t="s">
        <v>261</v>
      </c>
      <c r="D759" s="34" t="s">
        <v>104</v>
      </c>
      <c r="E759" s="34" t="s">
        <v>93</v>
      </c>
      <c r="F759" s="35">
        <v>43</v>
      </c>
      <c r="G759" s="37">
        <v>65.02</v>
      </c>
      <c r="H759" s="32">
        <f t="shared" si="17"/>
        <v>2795.8599999999997</v>
      </c>
    </row>
    <row r="760" spans="2:8">
      <c r="B760" s="28">
        <v>10140</v>
      </c>
      <c r="C760" s="34" t="s">
        <v>100</v>
      </c>
      <c r="D760" s="34" t="s">
        <v>104</v>
      </c>
      <c r="E760" s="34" t="s">
        <v>93</v>
      </c>
      <c r="F760" s="35">
        <v>46</v>
      </c>
      <c r="G760" s="37">
        <v>61.99</v>
      </c>
      <c r="H760" s="32">
        <f t="shared" si="17"/>
        <v>2851.54</v>
      </c>
    </row>
    <row r="761" spans="2:8">
      <c r="B761" s="28">
        <v>10151</v>
      </c>
      <c r="C761" s="34" t="s">
        <v>208</v>
      </c>
      <c r="D761" s="34" t="s">
        <v>104</v>
      </c>
      <c r="E761" s="34" t="s">
        <v>93</v>
      </c>
      <c r="F761" s="35">
        <v>39</v>
      </c>
      <c r="G761" s="37">
        <v>69.28</v>
      </c>
      <c r="H761" s="32">
        <f t="shared" si="17"/>
        <v>2701.92</v>
      </c>
    </row>
    <row r="762" spans="2:8">
      <c r="B762" s="28">
        <v>10165</v>
      </c>
      <c r="C762" s="34" t="s">
        <v>287</v>
      </c>
      <c r="D762" s="34" t="s">
        <v>104</v>
      </c>
      <c r="E762" s="34" t="s">
        <v>93</v>
      </c>
      <c r="F762" s="35">
        <v>31</v>
      </c>
      <c r="G762" s="37">
        <v>71.099999999999994</v>
      </c>
      <c r="H762" s="32">
        <f t="shared" si="17"/>
        <v>2204.1</v>
      </c>
    </row>
    <row r="763" spans="2:8">
      <c r="B763" s="28">
        <v>10175</v>
      </c>
      <c r="C763" s="34" t="s">
        <v>252</v>
      </c>
      <c r="D763" s="34" t="s">
        <v>104</v>
      </c>
      <c r="E763" s="34" t="s">
        <v>93</v>
      </c>
      <c r="F763" s="35">
        <v>41</v>
      </c>
      <c r="G763" s="37">
        <v>69.28</v>
      </c>
      <c r="H763" s="32">
        <f t="shared" si="17"/>
        <v>2840.48</v>
      </c>
    </row>
    <row r="764" spans="2:8">
      <c r="B764" s="28">
        <v>10184</v>
      </c>
      <c r="C764" s="34" t="s">
        <v>261</v>
      </c>
      <c r="D764" s="34" t="s">
        <v>104</v>
      </c>
      <c r="E764" s="34" t="s">
        <v>93</v>
      </c>
      <c r="F764" s="35">
        <v>44</v>
      </c>
      <c r="G764" s="37">
        <v>60.16</v>
      </c>
      <c r="H764" s="32">
        <f t="shared" si="17"/>
        <v>2647.04</v>
      </c>
    </row>
    <row r="765" spans="2:8">
      <c r="B765" s="28">
        <v>10194</v>
      </c>
      <c r="C765" s="34" t="s">
        <v>109</v>
      </c>
      <c r="D765" s="34" t="s">
        <v>119</v>
      </c>
      <c r="E765" s="34" t="s">
        <v>93</v>
      </c>
      <c r="F765" s="35">
        <v>45</v>
      </c>
      <c r="G765" s="37">
        <v>70.489999999999995</v>
      </c>
      <c r="H765" s="32">
        <f t="shared" si="17"/>
        <v>3172.0499999999997</v>
      </c>
    </row>
    <row r="766" spans="2:8">
      <c r="B766" s="28">
        <v>10207</v>
      </c>
      <c r="C766" s="34" t="s">
        <v>100</v>
      </c>
      <c r="D766" s="34" t="s">
        <v>104</v>
      </c>
      <c r="E766" s="34" t="s">
        <v>93</v>
      </c>
      <c r="F766" s="35">
        <v>37</v>
      </c>
      <c r="G766" s="37">
        <v>69.89</v>
      </c>
      <c r="H766" s="32">
        <f t="shared" si="17"/>
        <v>2585.9299999999998</v>
      </c>
    </row>
    <row r="767" spans="2:8">
      <c r="B767" s="28">
        <v>10217</v>
      </c>
      <c r="C767" s="34" t="s">
        <v>287</v>
      </c>
      <c r="D767" s="34" t="s">
        <v>104</v>
      </c>
      <c r="E767" s="34" t="s">
        <v>93</v>
      </c>
      <c r="F767" s="35">
        <v>35</v>
      </c>
      <c r="G767" s="37">
        <v>61.38</v>
      </c>
      <c r="H767" s="32">
        <f t="shared" si="17"/>
        <v>2148.3000000000002</v>
      </c>
    </row>
    <row r="768" spans="2:8">
      <c r="B768" s="28">
        <v>10229</v>
      </c>
      <c r="C768" s="34" t="s">
        <v>100</v>
      </c>
      <c r="D768" s="34" t="s">
        <v>104</v>
      </c>
      <c r="E768" s="34" t="s">
        <v>93</v>
      </c>
      <c r="F768" s="35">
        <v>28</v>
      </c>
      <c r="G768" s="37">
        <v>59.55</v>
      </c>
      <c r="H768" s="32">
        <f t="shared" si="17"/>
        <v>1667.3999999999999</v>
      </c>
    </row>
    <row r="769" spans="2:8">
      <c r="B769" s="28">
        <v>10246</v>
      </c>
      <c r="C769" s="34" t="s">
        <v>261</v>
      </c>
      <c r="D769" s="34" t="s">
        <v>104</v>
      </c>
      <c r="E769" s="34" t="s">
        <v>93</v>
      </c>
      <c r="F769" s="35">
        <v>30</v>
      </c>
      <c r="G769" s="37">
        <v>61.99</v>
      </c>
      <c r="H769" s="32">
        <f t="shared" si="17"/>
        <v>1859.7</v>
      </c>
    </row>
    <row r="770" spans="2:8">
      <c r="B770" s="28">
        <v>10259</v>
      </c>
      <c r="C770" s="34" t="s">
        <v>287</v>
      </c>
      <c r="D770" s="34" t="s">
        <v>104</v>
      </c>
      <c r="E770" s="34" t="s">
        <v>93</v>
      </c>
      <c r="F770" s="35">
        <v>30</v>
      </c>
      <c r="G770" s="37">
        <v>49.22</v>
      </c>
      <c r="H770" s="32">
        <f t="shared" si="17"/>
        <v>1476.6</v>
      </c>
    </row>
    <row r="771" spans="2:8">
      <c r="B771" s="28">
        <v>10271</v>
      </c>
      <c r="C771" s="34" t="s">
        <v>100</v>
      </c>
      <c r="D771" s="34" t="s">
        <v>104</v>
      </c>
      <c r="E771" s="34" t="s">
        <v>93</v>
      </c>
      <c r="F771" s="35">
        <v>25</v>
      </c>
      <c r="G771" s="37">
        <v>69.28</v>
      </c>
      <c r="H771" s="32">
        <f t="shared" si="17"/>
        <v>1732</v>
      </c>
    </row>
    <row r="772" spans="2:8">
      <c r="B772" s="28">
        <v>10281</v>
      </c>
      <c r="C772" s="34" t="s">
        <v>100</v>
      </c>
      <c r="D772" s="34" t="s">
        <v>104</v>
      </c>
      <c r="E772" s="34" t="s">
        <v>93</v>
      </c>
      <c r="F772" s="35">
        <v>29</v>
      </c>
      <c r="G772" s="37">
        <v>57.73</v>
      </c>
      <c r="H772" s="32">
        <f t="shared" si="17"/>
        <v>1674.1699999999998</v>
      </c>
    </row>
    <row r="773" spans="2:8">
      <c r="B773" s="28">
        <v>10291</v>
      </c>
      <c r="C773" s="34" t="s">
        <v>273</v>
      </c>
      <c r="D773" s="34" t="s">
        <v>104</v>
      </c>
      <c r="E773" s="34" t="s">
        <v>93</v>
      </c>
      <c r="F773" s="35">
        <v>26</v>
      </c>
      <c r="G773" s="37">
        <v>57.73</v>
      </c>
      <c r="H773" s="32">
        <f t="shared" ref="H773:H836" si="18">F773*G773</f>
        <v>1500.98</v>
      </c>
    </row>
    <row r="774" spans="2:8">
      <c r="B774" s="28">
        <v>10305</v>
      </c>
      <c r="C774" s="34" t="s">
        <v>100</v>
      </c>
      <c r="D774" s="34" t="s">
        <v>104</v>
      </c>
      <c r="E774" s="34" t="s">
        <v>93</v>
      </c>
      <c r="F774" s="35">
        <v>41</v>
      </c>
      <c r="G774" s="37">
        <v>53.48</v>
      </c>
      <c r="H774" s="32">
        <f t="shared" si="18"/>
        <v>2192.6799999999998</v>
      </c>
    </row>
    <row r="775" spans="2:8">
      <c r="B775" s="28">
        <v>10313</v>
      </c>
      <c r="C775" s="34" t="s">
        <v>322</v>
      </c>
      <c r="D775" s="34" t="s">
        <v>104</v>
      </c>
      <c r="E775" s="34" t="s">
        <v>93</v>
      </c>
      <c r="F775" s="35">
        <v>34</v>
      </c>
      <c r="G775" s="37">
        <v>52.87</v>
      </c>
      <c r="H775" s="32">
        <f t="shared" si="18"/>
        <v>1797.58</v>
      </c>
    </row>
    <row r="776" spans="2:8">
      <c r="B776" s="28">
        <v>10322</v>
      </c>
      <c r="C776" s="34" t="s">
        <v>100</v>
      </c>
      <c r="D776" s="34" t="s">
        <v>104</v>
      </c>
      <c r="E776" s="34" t="s">
        <v>93</v>
      </c>
      <c r="F776" s="35">
        <v>35</v>
      </c>
      <c r="G776" s="37">
        <v>61.21</v>
      </c>
      <c r="H776" s="32">
        <f t="shared" si="18"/>
        <v>2142.35</v>
      </c>
    </row>
    <row r="777" spans="2:8">
      <c r="B777" s="28">
        <v>10334</v>
      </c>
      <c r="C777" s="34" t="s">
        <v>273</v>
      </c>
      <c r="D777" s="34" t="s">
        <v>104</v>
      </c>
      <c r="E777" s="34" t="s">
        <v>518</v>
      </c>
      <c r="F777" s="35">
        <v>34</v>
      </c>
      <c r="G777" s="37">
        <v>61.38</v>
      </c>
      <c r="H777" s="32">
        <f t="shared" si="18"/>
        <v>2086.92</v>
      </c>
    </row>
    <row r="778" spans="2:8">
      <c r="B778" s="28">
        <v>10347</v>
      </c>
      <c r="C778" s="34" t="s">
        <v>168</v>
      </c>
      <c r="D778" s="34" t="s">
        <v>119</v>
      </c>
      <c r="E778" s="34" t="s">
        <v>93</v>
      </c>
      <c r="F778" s="35">
        <v>50</v>
      </c>
      <c r="G778" s="37">
        <v>100</v>
      </c>
      <c r="H778" s="32">
        <f t="shared" si="18"/>
        <v>5000</v>
      </c>
    </row>
    <row r="779" spans="2:8">
      <c r="B779" s="28">
        <v>10357</v>
      </c>
      <c r="C779" s="34" t="s">
        <v>100</v>
      </c>
      <c r="D779" s="34" t="s">
        <v>104</v>
      </c>
      <c r="E779" s="34" t="s">
        <v>93</v>
      </c>
      <c r="F779" s="35">
        <v>41</v>
      </c>
      <c r="G779" s="37">
        <v>61.99</v>
      </c>
      <c r="H779" s="32">
        <f t="shared" si="18"/>
        <v>2541.59</v>
      </c>
    </row>
    <row r="780" spans="2:8">
      <c r="B780" s="28">
        <v>10370</v>
      </c>
      <c r="C780" s="34" t="s">
        <v>168</v>
      </c>
      <c r="D780" s="34" t="s">
        <v>104</v>
      </c>
      <c r="E780" s="34" t="s">
        <v>93</v>
      </c>
      <c r="F780" s="35">
        <v>22</v>
      </c>
      <c r="G780" s="37">
        <v>96.86</v>
      </c>
      <c r="H780" s="32">
        <f t="shared" si="18"/>
        <v>2130.92</v>
      </c>
    </row>
    <row r="781" spans="2:8">
      <c r="B781" s="28">
        <v>10381</v>
      </c>
      <c r="C781" s="34" t="s">
        <v>100</v>
      </c>
      <c r="D781" s="34" t="s">
        <v>104</v>
      </c>
      <c r="E781" s="34" t="s">
        <v>93</v>
      </c>
      <c r="F781" s="35">
        <v>35</v>
      </c>
      <c r="G781" s="37">
        <v>48.62</v>
      </c>
      <c r="H781" s="32">
        <f t="shared" si="18"/>
        <v>1701.6999999999998</v>
      </c>
    </row>
    <row r="782" spans="2:8">
      <c r="B782" s="28">
        <v>10391</v>
      </c>
      <c r="C782" s="34" t="s">
        <v>168</v>
      </c>
      <c r="D782" s="34" t="s">
        <v>104</v>
      </c>
      <c r="E782" s="34" t="s">
        <v>93</v>
      </c>
      <c r="F782" s="35">
        <v>44</v>
      </c>
      <c r="G782" s="37">
        <v>38.5</v>
      </c>
      <c r="H782" s="32">
        <f t="shared" si="18"/>
        <v>1694</v>
      </c>
    </row>
    <row r="783" spans="2:8">
      <c r="B783" s="28">
        <v>10412</v>
      </c>
      <c r="C783" s="34" t="s">
        <v>261</v>
      </c>
      <c r="D783" s="34" t="s">
        <v>104</v>
      </c>
      <c r="E783" s="34" t="s">
        <v>93</v>
      </c>
      <c r="F783" s="35">
        <v>47</v>
      </c>
      <c r="G783" s="37">
        <v>61.99</v>
      </c>
      <c r="H783" s="32">
        <f t="shared" si="18"/>
        <v>2913.53</v>
      </c>
    </row>
    <row r="784" spans="2:8">
      <c r="B784" s="28">
        <v>10425</v>
      </c>
      <c r="C784" s="34" t="s">
        <v>109</v>
      </c>
      <c r="D784" s="34" t="s">
        <v>104</v>
      </c>
      <c r="E784" s="34" t="s">
        <v>400</v>
      </c>
      <c r="F784" s="35">
        <v>19</v>
      </c>
      <c r="G784" s="37">
        <v>49.22</v>
      </c>
      <c r="H784" s="32">
        <f t="shared" si="18"/>
        <v>935.18</v>
      </c>
    </row>
    <row r="785" spans="2:8">
      <c r="B785" s="28">
        <v>10106</v>
      </c>
      <c r="C785" s="34" t="s">
        <v>352</v>
      </c>
      <c r="D785" s="34" t="s">
        <v>119</v>
      </c>
      <c r="E785" s="34" t="s">
        <v>93</v>
      </c>
      <c r="F785" s="35">
        <v>34</v>
      </c>
      <c r="G785" s="37">
        <v>90.39</v>
      </c>
      <c r="H785" s="32">
        <f t="shared" si="18"/>
        <v>3073.26</v>
      </c>
    </row>
    <row r="786" spans="2:8">
      <c r="B786" s="28">
        <v>10120</v>
      </c>
      <c r="C786" s="34" t="s">
        <v>168</v>
      </c>
      <c r="D786" s="34" t="s">
        <v>104</v>
      </c>
      <c r="E786" s="34" t="s">
        <v>93</v>
      </c>
      <c r="F786" s="35">
        <v>29</v>
      </c>
      <c r="G786" s="37">
        <v>71.81</v>
      </c>
      <c r="H786" s="32">
        <f t="shared" si="18"/>
        <v>2082.4900000000002</v>
      </c>
    </row>
    <row r="787" spans="2:8">
      <c r="B787" s="28">
        <v>10133</v>
      </c>
      <c r="C787" s="34" t="s">
        <v>261</v>
      </c>
      <c r="D787" s="34" t="s">
        <v>119</v>
      </c>
      <c r="E787" s="34" t="s">
        <v>93</v>
      </c>
      <c r="F787" s="35">
        <v>49</v>
      </c>
      <c r="G787" s="37">
        <v>69.27</v>
      </c>
      <c r="H787" s="32">
        <f t="shared" si="18"/>
        <v>3394.23</v>
      </c>
    </row>
    <row r="788" spans="2:8">
      <c r="B788" s="28">
        <v>10145</v>
      </c>
      <c r="C788" s="34" t="s">
        <v>100</v>
      </c>
      <c r="D788" s="34" t="s">
        <v>104</v>
      </c>
      <c r="E788" s="34" t="s">
        <v>93</v>
      </c>
      <c r="F788" s="35">
        <v>30</v>
      </c>
      <c r="G788" s="37">
        <v>85.32</v>
      </c>
      <c r="H788" s="32">
        <f t="shared" si="18"/>
        <v>2559.6</v>
      </c>
    </row>
    <row r="789" spans="2:8">
      <c r="B789" s="28">
        <v>10168</v>
      </c>
      <c r="C789" s="34" t="s">
        <v>100</v>
      </c>
      <c r="D789" s="34" t="s">
        <v>104</v>
      </c>
      <c r="E789" s="34" t="s">
        <v>93</v>
      </c>
      <c r="F789" s="35">
        <v>21</v>
      </c>
      <c r="G789" s="37">
        <v>70.959999999999994</v>
      </c>
      <c r="H789" s="32">
        <f t="shared" si="18"/>
        <v>1490.1599999999999</v>
      </c>
    </row>
    <row r="790" spans="2:8">
      <c r="B790" s="28">
        <v>10210</v>
      </c>
      <c r="C790" s="34" t="s">
        <v>288</v>
      </c>
      <c r="D790" s="34" t="s">
        <v>119</v>
      </c>
      <c r="E790" s="34" t="s">
        <v>93</v>
      </c>
      <c r="F790" s="35">
        <v>50</v>
      </c>
      <c r="G790" s="37">
        <v>76.88</v>
      </c>
      <c r="H790" s="32">
        <f t="shared" si="18"/>
        <v>3844</v>
      </c>
    </row>
    <row r="791" spans="2:8">
      <c r="B791" s="28">
        <v>10223</v>
      </c>
      <c r="C791" s="34" t="s">
        <v>168</v>
      </c>
      <c r="D791" s="34" t="s">
        <v>119</v>
      </c>
      <c r="E791" s="34" t="s">
        <v>93</v>
      </c>
      <c r="F791" s="35">
        <v>47</v>
      </c>
      <c r="G791" s="37">
        <v>100</v>
      </c>
      <c r="H791" s="32">
        <f t="shared" si="18"/>
        <v>4700</v>
      </c>
    </row>
    <row r="792" spans="2:8">
      <c r="B792" s="28">
        <v>10235</v>
      </c>
      <c r="C792" s="34" t="s">
        <v>322</v>
      </c>
      <c r="D792" s="34" t="s">
        <v>104</v>
      </c>
      <c r="E792" s="34" t="s">
        <v>93</v>
      </c>
      <c r="F792" s="35">
        <v>24</v>
      </c>
      <c r="G792" s="37">
        <v>76.03</v>
      </c>
      <c r="H792" s="32">
        <f t="shared" si="18"/>
        <v>1824.72</v>
      </c>
    </row>
    <row r="793" spans="2:8">
      <c r="B793" s="28">
        <v>10250</v>
      </c>
      <c r="C793" s="34" t="s">
        <v>100</v>
      </c>
      <c r="D793" s="34" t="s">
        <v>104</v>
      </c>
      <c r="E793" s="34" t="s">
        <v>93</v>
      </c>
      <c r="F793" s="35">
        <v>27</v>
      </c>
      <c r="G793" s="37">
        <v>98.84</v>
      </c>
      <c r="H793" s="32">
        <f t="shared" si="18"/>
        <v>2668.6800000000003</v>
      </c>
    </row>
    <row r="794" spans="2:8">
      <c r="B794" s="28">
        <v>10263</v>
      </c>
      <c r="C794" s="34" t="s">
        <v>100</v>
      </c>
      <c r="D794" s="34" t="s">
        <v>104</v>
      </c>
      <c r="E794" s="34" t="s">
        <v>93</v>
      </c>
      <c r="F794" s="35">
        <v>33</v>
      </c>
      <c r="G794" s="37">
        <v>86.17</v>
      </c>
      <c r="H794" s="32">
        <f t="shared" si="18"/>
        <v>2843.61</v>
      </c>
    </row>
    <row r="795" spans="2:8">
      <c r="B795" s="28">
        <v>10275</v>
      </c>
      <c r="C795" s="34" t="s">
        <v>109</v>
      </c>
      <c r="D795" s="34" t="s">
        <v>119</v>
      </c>
      <c r="E795" s="34" t="s">
        <v>93</v>
      </c>
      <c r="F795" s="35">
        <v>35</v>
      </c>
      <c r="G795" s="37">
        <v>90.39</v>
      </c>
      <c r="H795" s="32">
        <f t="shared" si="18"/>
        <v>3163.65</v>
      </c>
    </row>
    <row r="796" spans="2:8">
      <c r="B796" s="28">
        <v>10284</v>
      </c>
      <c r="C796" s="34" t="s">
        <v>149</v>
      </c>
      <c r="D796" s="34" t="s">
        <v>104</v>
      </c>
      <c r="E796" s="34" t="s">
        <v>93</v>
      </c>
      <c r="F796" s="35">
        <v>31</v>
      </c>
      <c r="G796" s="37">
        <v>71.81</v>
      </c>
      <c r="H796" s="32">
        <f t="shared" si="18"/>
        <v>2226.11</v>
      </c>
    </row>
    <row r="797" spans="2:8">
      <c r="B797" s="28">
        <v>10297</v>
      </c>
      <c r="C797" s="34" t="s">
        <v>614</v>
      </c>
      <c r="D797" s="34" t="s">
        <v>104</v>
      </c>
      <c r="E797" s="34" t="s">
        <v>93</v>
      </c>
      <c r="F797" s="35">
        <v>25</v>
      </c>
      <c r="G797" s="37">
        <v>82.79</v>
      </c>
      <c r="H797" s="32">
        <f t="shared" si="18"/>
        <v>2069.75</v>
      </c>
    </row>
    <row r="798" spans="2:8">
      <c r="B798" s="28">
        <v>10308</v>
      </c>
      <c r="C798" s="34" t="s">
        <v>100</v>
      </c>
      <c r="D798" s="34" t="s">
        <v>104</v>
      </c>
      <c r="E798" s="34" t="s">
        <v>93</v>
      </c>
      <c r="F798" s="35">
        <v>27</v>
      </c>
      <c r="G798" s="37">
        <v>82.79</v>
      </c>
      <c r="H798" s="32">
        <f t="shared" si="18"/>
        <v>2235.3300000000004</v>
      </c>
    </row>
    <row r="799" spans="2:8">
      <c r="B799" s="28">
        <v>10318</v>
      </c>
      <c r="C799" s="34" t="s">
        <v>100</v>
      </c>
      <c r="D799" s="34" t="s">
        <v>119</v>
      </c>
      <c r="E799" s="34" t="s">
        <v>93</v>
      </c>
      <c r="F799" s="35">
        <v>31</v>
      </c>
      <c r="G799" s="37">
        <v>100</v>
      </c>
      <c r="H799" s="32">
        <f t="shared" si="18"/>
        <v>3100</v>
      </c>
    </row>
    <row r="800" spans="2:8">
      <c r="B800" s="28">
        <v>10327</v>
      </c>
      <c r="C800" s="34" t="s">
        <v>429</v>
      </c>
      <c r="D800" s="34" t="s">
        <v>119</v>
      </c>
      <c r="E800" s="34" t="s">
        <v>526</v>
      </c>
      <c r="F800" s="35">
        <v>45</v>
      </c>
      <c r="G800" s="37">
        <v>100</v>
      </c>
      <c r="H800" s="32">
        <f t="shared" si="18"/>
        <v>4500</v>
      </c>
    </row>
    <row r="801" spans="2:8">
      <c r="B801" s="28">
        <v>10339</v>
      </c>
      <c r="C801" s="34" t="s">
        <v>288</v>
      </c>
      <c r="D801" s="34" t="s">
        <v>104</v>
      </c>
      <c r="E801" s="34" t="s">
        <v>93</v>
      </c>
      <c r="F801" s="35">
        <v>27</v>
      </c>
      <c r="G801" s="37">
        <v>100</v>
      </c>
      <c r="H801" s="32">
        <f t="shared" si="18"/>
        <v>2700</v>
      </c>
    </row>
    <row r="802" spans="2:8">
      <c r="B802" s="28">
        <v>10353</v>
      </c>
      <c r="C802" s="34" t="s">
        <v>100</v>
      </c>
      <c r="D802" s="34" t="s">
        <v>119</v>
      </c>
      <c r="E802" s="34" t="s">
        <v>93</v>
      </c>
      <c r="F802" s="35">
        <v>27</v>
      </c>
      <c r="G802" s="37">
        <v>100</v>
      </c>
      <c r="H802" s="32">
        <f t="shared" si="18"/>
        <v>2700</v>
      </c>
    </row>
    <row r="803" spans="2:8">
      <c r="B803" s="28">
        <v>10374</v>
      </c>
      <c r="C803" s="34" t="s">
        <v>168</v>
      </c>
      <c r="D803" s="34" t="s">
        <v>104</v>
      </c>
      <c r="E803" s="34" t="s">
        <v>93</v>
      </c>
      <c r="F803" s="35">
        <v>42</v>
      </c>
      <c r="G803" s="37">
        <v>69.27</v>
      </c>
      <c r="H803" s="32">
        <f t="shared" si="18"/>
        <v>2909.3399999999997</v>
      </c>
    </row>
    <row r="804" spans="2:8">
      <c r="B804" s="28">
        <v>10386</v>
      </c>
      <c r="C804" s="34" t="s">
        <v>261</v>
      </c>
      <c r="D804" s="34" t="s">
        <v>104</v>
      </c>
      <c r="E804" s="34" t="s">
        <v>526</v>
      </c>
      <c r="F804" s="35">
        <v>21</v>
      </c>
      <c r="G804" s="37">
        <v>74.77</v>
      </c>
      <c r="H804" s="32">
        <f t="shared" si="18"/>
        <v>1570.1699999999998</v>
      </c>
    </row>
    <row r="805" spans="2:8">
      <c r="B805" s="28">
        <v>10398</v>
      </c>
      <c r="C805" s="34" t="s">
        <v>109</v>
      </c>
      <c r="D805" s="34" t="s">
        <v>104</v>
      </c>
      <c r="E805" s="34" t="s">
        <v>93</v>
      </c>
      <c r="F805" s="35">
        <v>34</v>
      </c>
      <c r="G805" s="37">
        <v>76.88</v>
      </c>
      <c r="H805" s="32">
        <f t="shared" si="18"/>
        <v>2613.92</v>
      </c>
    </row>
    <row r="806" spans="2:8">
      <c r="B806" s="28">
        <v>10401</v>
      </c>
      <c r="C806" s="34" t="s">
        <v>100</v>
      </c>
      <c r="D806" s="34" t="s">
        <v>119</v>
      </c>
      <c r="E806" s="34" t="s">
        <v>518</v>
      </c>
      <c r="F806" s="35">
        <v>42</v>
      </c>
      <c r="G806" s="37">
        <v>76.03</v>
      </c>
      <c r="H806" s="32">
        <f t="shared" si="18"/>
        <v>3193.26</v>
      </c>
    </row>
    <row r="807" spans="2:8">
      <c r="B807" s="28">
        <v>10416</v>
      </c>
      <c r="C807" s="34" t="s">
        <v>352</v>
      </c>
      <c r="D807" s="34" t="s">
        <v>104</v>
      </c>
      <c r="E807" s="34" t="s">
        <v>93</v>
      </c>
      <c r="F807" s="35">
        <v>15</v>
      </c>
      <c r="G807" s="37">
        <v>98.84</v>
      </c>
      <c r="H807" s="32">
        <f t="shared" si="18"/>
        <v>1482.6000000000001</v>
      </c>
    </row>
    <row r="808" spans="2:8">
      <c r="B808" s="28">
        <v>10107</v>
      </c>
      <c r="C808" s="34" t="s">
        <v>100</v>
      </c>
      <c r="D808" s="34" t="s">
        <v>104</v>
      </c>
      <c r="E808" s="34" t="s">
        <v>93</v>
      </c>
      <c r="F808" s="35">
        <v>29</v>
      </c>
      <c r="G808" s="37">
        <v>70.87</v>
      </c>
      <c r="H808" s="32">
        <f t="shared" si="18"/>
        <v>2055.23</v>
      </c>
    </row>
    <row r="809" spans="2:8">
      <c r="B809" s="28">
        <v>10120</v>
      </c>
      <c r="C809" s="34" t="s">
        <v>168</v>
      </c>
      <c r="D809" s="34" t="s">
        <v>104</v>
      </c>
      <c r="E809" s="34" t="s">
        <v>93</v>
      </c>
      <c r="F809" s="35">
        <v>46</v>
      </c>
      <c r="G809" s="37">
        <v>58.15</v>
      </c>
      <c r="H809" s="32">
        <f t="shared" si="18"/>
        <v>2674.9</v>
      </c>
    </row>
    <row r="810" spans="2:8">
      <c r="B810" s="28">
        <v>10134</v>
      </c>
      <c r="C810" s="34" t="s">
        <v>109</v>
      </c>
      <c r="D810" s="34" t="s">
        <v>104</v>
      </c>
      <c r="E810" s="34" t="s">
        <v>93</v>
      </c>
      <c r="F810" s="35">
        <v>30</v>
      </c>
      <c r="G810" s="37">
        <v>61.78</v>
      </c>
      <c r="H810" s="32">
        <f t="shared" si="18"/>
        <v>1853.4</v>
      </c>
    </row>
    <row r="811" spans="2:8">
      <c r="B811" s="28">
        <v>10145</v>
      </c>
      <c r="C811" s="34" t="s">
        <v>100</v>
      </c>
      <c r="D811" s="34" t="s">
        <v>104</v>
      </c>
      <c r="E811" s="34" t="s">
        <v>93</v>
      </c>
      <c r="F811" s="35">
        <v>30</v>
      </c>
      <c r="G811" s="37">
        <v>49.67</v>
      </c>
      <c r="H811" s="32">
        <f t="shared" si="18"/>
        <v>1490.1000000000001</v>
      </c>
    </row>
    <row r="812" spans="2:8">
      <c r="B812" s="28">
        <v>10159</v>
      </c>
      <c r="C812" s="34" t="s">
        <v>100</v>
      </c>
      <c r="D812" s="34" t="s">
        <v>104</v>
      </c>
      <c r="E812" s="34" t="s">
        <v>93</v>
      </c>
      <c r="F812" s="35">
        <v>42</v>
      </c>
      <c r="G812" s="37">
        <v>51.48</v>
      </c>
      <c r="H812" s="32">
        <f t="shared" si="18"/>
        <v>2162.16</v>
      </c>
    </row>
    <row r="813" spans="2:8">
      <c r="B813" s="28">
        <v>10168</v>
      </c>
      <c r="C813" s="34" t="s">
        <v>100</v>
      </c>
      <c r="D813" s="34" t="s">
        <v>104</v>
      </c>
      <c r="E813" s="34" t="s">
        <v>93</v>
      </c>
      <c r="F813" s="35">
        <v>46</v>
      </c>
      <c r="G813" s="37">
        <v>61.18</v>
      </c>
      <c r="H813" s="32">
        <f t="shared" si="18"/>
        <v>2814.28</v>
      </c>
    </row>
    <row r="814" spans="2:8">
      <c r="B814" s="28">
        <v>10180</v>
      </c>
      <c r="C814" s="34" t="s">
        <v>109</v>
      </c>
      <c r="D814" s="34" t="s">
        <v>104</v>
      </c>
      <c r="E814" s="34" t="s">
        <v>93</v>
      </c>
      <c r="F814" s="35">
        <v>25</v>
      </c>
      <c r="G814" s="37">
        <v>64.2</v>
      </c>
      <c r="H814" s="32">
        <f t="shared" si="18"/>
        <v>1605</v>
      </c>
    </row>
    <row r="815" spans="2:8">
      <c r="B815" s="28">
        <v>10188</v>
      </c>
      <c r="C815" s="34" t="s">
        <v>149</v>
      </c>
      <c r="D815" s="34" t="s">
        <v>104</v>
      </c>
      <c r="E815" s="34" t="s">
        <v>93</v>
      </c>
      <c r="F815" s="35">
        <v>32</v>
      </c>
      <c r="G815" s="37">
        <v>65.42</v>
      </c>
      <c r="H815" s="32">
        <f t="shared" si="18"/>
        <v>2093.44</v>
      </c>
    </row>
    <row r="816" spans="2:8">
      <c r="B816" s="28">
        <v>10201</v>
      </c>
      <c r="C816" s="34" t="s">
        <v>100</v>
      </c>
      <c r="D816" s="34" t="s">
        <v>104</v>
      </c>
      <c r="E816" s="34" t="s">
        <v>93</v>
      </c>
      <c r="F816" s="35">
        <v>30</v>
      </c>
      <c r="G816" s="37">
        <v>64.81</v>
      </c>
      <c r="H816" s="32">
        <f t="shared" si="18"/>
        <v>1944.3000000000002</v>
      </c>
    </row>
    <row r="817" spans="2:8">
      <c r="B817" s="28">
        <v>10210</v>
      </c>
      <c r="C817" s="34" t="s">
        <v>288</v>
      </c>
      <c r="D817" s="34" t="s">
        <v>104</v>
      </c>
      <c r="E817" s="34" t="s">
        <v>93</v>
      </c>
      <c r="F817" s="35">
        <v>40</v>
      </c>
      <c r="G817" s="37">
        <v>49.67</v>
      </c>
      <c r="H817" s="32">
        <f t="shared" si="18"/>
        <v>1986.8000000000002</v>
      </c>
    </row>
    <row r="818" spans="2:8">
      <c r="B818" s="28">
        <v>10223</v>
      </c>
      <c r="C818" s="34" t="s">
        <v>168</v>
      </c>
      <c r="D818" s="34" t="s">
        <v>104</v>
      </c>
      <c r="E818" s="34" t="s">
        <v>93</v>
      </c>
      <c r="F818" s="35">
        <v>28</v>
      </c>
      <c r="G818" s="37">
        <v>60.57</v>
      </c>
      <c r="H818" s="32">
        <f t="shared" si="18"/>
        <v>1695.96</v>
      </c>
    </row>
    <row r="819" spans="2:8">
      <c r="B819" s="28">
        <v>10236</v>
      </c>
      <c r="C819" s="34" t="s">
        <v>100</v>
      </c>
      <c r="D819" s="34" t="s">
        <v>104</v>
      </c>
      <c r="E819" s="34" t="s">
        <v>93</v>
      </c>
      <c r="F819" s="35">
        <v>23</v>
      </c>
      <c r="G819" s="37">
        <v>55.72</v>
      </c>
      <c r="H819" s="32">
        <f t="shared" si="18"/>
        <v>1281.56</v>
      </c>
    </row>
    <row r="820" spans="2:8">
      <c r="B820" s="28">
        <v>10251</v>
      </c>
      <c r="C820" s="34" t="s">
        <v>100</v>
      </c>
      <c r="D820" s="34" t="s">
        <v>104</v>
      </c>
      <c r="E820" s="34" t="s">
        <v>93</v>
      </c>
      <c r="F820" s="35">
        <v>29</v>
      </c>
      <c r="G820" s="37">
        <v>61.18</v>
      </c>
      <c r="H820" s="32">
        <f t="shared" si="18"/>
        <v>1774.22</v>
      </c>
    </row>
    <row r="821" spans="2:8">
      <c r="B821" s="28">
        <v>10263</v>
      </c>
      <c r="C821" s="34" t="s">
        <v>100</v>
      </c>
      <c r="D821" s="34" t="s">
        <v>104</v>
      </c>
      <c r="E821" s="34" t="s">
        <v>93</v>
      </c>
      <c r="F821" s="35">
        <v>34</v>
      </c>
      <c r="G821" s="37">
        <v>58.75</v>
      </c>
      <c r="H821" s="32">
        <f t="shared" si="18"/>
        <v>1997.5</v>
      </c>
    </row>
    <row r="822" spans="2:8">
      <c r="B822" s="28">
        <v>10275</v>
      </c>
      <c r="C822" s="34" t="s">
        <v>109</v>
      </c>
      <c r="D822" s="34" t="s">
        <v>104</v>
      </c>
      <c r="E822" s="34" t="s">
        <v>93</v>
      </c>
      <c r="F822" s="35">
        <v>37</v>
      </c>
      <c r="G822" s="37">
        <v>63.6</v>
      </c>
      <c r="H822" s="32">
        <f t="shared" si="18"/>
        <v>2353.2000000000003</v>
      </c>
    </row>
    <row r="823" spans="2:8">
      <c r="B823" s="28">
        <v>10285</v>
      </c>
      <c r="C823" s="34" t="s">
        <v>100</v>
      </c>
      <c r="D823" s="34" t="s">
        <v>104</v>
      </c>
      <c r="E823" s="34" t="s">
        <v>93</v>
      </c>
      <c r="F823" s="35">
        <v>20</v>
      </c>
      <c r="G823" s="37">
        <v>49.06</v>
      </c>
      <c r="H823" s="32">
        <f t="shared" si="18"/>
        <v>981.2</v>
      </c>
    </row>
    <row r="824" spans="2:8">
      <c r="B824" s="28">
        <v>10298</v>
      </c>
      <c r="C824" s="34" t="s">
        <v>109</v>
      </c>
      <c r="D824" s="34" t="s">
        <v>104</v>
      </c>
      <c r="E824" s="34" t="s">
        <v>93</v>
      </c>
      <c r="F824" s="35">
        <v>32</v>
      </c>
      <c r="G824" s="37">
        <v>48.46</v>
      </c>
      <c r="H824" s="32">
        <f t="shared" si="18"/>
        <v>1550.72</v>
      </c>
    </row>
    <row r="825" spans="2:8">
      <c r="B825" s="28">
        <v>10308</v>
      </c>
      <c r="C825" s="34" t="s">
        <v>100</v>
      </c>
      <c r="D825" s="34" t="s">
        <v>104</v>
      </c>
      <c r="E825" s="34" t="s">
        <v>93</v>
      </c>
      <c r="F825" s="35">
        <v>34</v>
      </c>
      <c r="G825" s="37">
        <v>52.09</v>
      </c>
      <c r="H825" s="32">
        <f t="shared" si="18"/>
        <v>1771.0600000000002</v>
      </c>
    </row>
    <row r="826" spans="2:8">
      <c r="B826" s="28">
        <v>10318</v>
      </c>
      <c r="C826" s="34" t="s">
        <v>100</v>
      </c>
      <c r="D826" s="34" t="s">
        <v>104</v>
      </c>
      <c r="E826" s="34" t="s">
        <v>93</v>
      </c>
      <c r="F826" s="35">
        <v>42</v>
      </c>
      <c r="G826" s="37">
        <v>52.7</v>
      </c>
      <c r="H826" s="32">
        <f t="shared" si="18"/>
        <v>2213.4</v>
      </c>
    </row>
    <row r="827" spans="2:8">
      <c r="B827" s="28">
        <v>10329</v>
      </c>
      <c r="C827" s="34" t="s">
        <v>100</v>
      </c>
      <c r="D827" s="34" t="s">
        <v>119</v>
      </c>
      <c r="E827" s="34" t="s">
        <v>93</v>
      </c>
      <c r="F827" s="35">
        <v>38</v>
      </c>
      <c r="G827" s="37">
        <v>100</v>
      </c>
      <c r="H827" s="32">
        <f t="shared" si="18"/>
        <v>3800</v>
      </c>
    </row>
    <row r="828" spans="2:8">
      <c r="B828" s="28">
        <v>10339</v>
      </c>
      <c r="C828" s="34" t="s">
        <v>288</v>
      </c>
      <c r="D828" s="34" t="s">
        <v>104</v>
      </c>
      <c r="E828" s="34" t="s">
        <v>93</v>
      </c>
      <c r="F828" s="35">
        <v>30</v>
      </c>
      <c r="G828" s="37">
        <v>62.16</v>
      </c>
      <c r="H828" s="32">
        <f t="shared" si="18"/>
        <v>1864.8</v>
      </c>
    </row>
    <row r="829" spans="2:8">
      <c r="B829" s="28">
        <v>10362</v>
      </c>
      <c r="C829" s="34" t="s">
        <v>100</v>
      </c>
      <c r="D829" s="34" t="s">
        <v>104</v>
      </c>
      <c r="E829" s="34" t="s">
        <v>93</v>
      </c>
      <c r="F829" s="35">
        <v>23</v>
      </c>
      <c r="G829" s="37">
        <v>49.67</v>
      </c>
      <c r="H829" s="32">
        <f t="shared" si="18"/>
        <v>1142.4100000000001</v>
      </c>
    </row>
    <row r="830" spans="2:8">
      <c r="B830" s="28">
        <v>10374</v>
      </c>
      <c r="C830" s="34" t="s">
        <v>168</v>
      </c>
      <c r="D830" s="34" t="s">
        <v>104</v>
      </c>
      <c r="E830" s="34" t="s">
        <v>93</v>
      </c>
      <c r="F830" s="35">
        <v>22</v>
      </c>
      <c r="G830" s="37">
        <v>53.3</v>
      </c>
      <c r="H830" s="32">
        <f t="shared" si="18"/>
        <v>1172.5999999999999</v>
      </c>
    </row>
    <row r="831" spans="2:8">
      <c r="B831" s="28">
        <v>10389</v>
      </c>
      <c r="C831" s="34" t="s">
        <v>273</v>
      </c>
      <c r="D831" s="34" t="s">
        <v>119</v>
      </c>
      <c r="E831" s="34" t="s">
        <v>93</v>
      </c>
      <c r="F831" s="35">
        <v>39</v>
      </c>
      <c r="G831" s="37">
        <v>100</v>
      </c>
      <c r="H831" s="32">
        <f t="shared" si="18"/>
        <v>3900</v>
      </c>
    </row>
    <row r="832" spans="2:8">
      <c r="B832" s="28">
        <v>10402</v>
      </c>
      <c r="C832" s="34" t="s">
        <v>109</v>
      </c>
      <c r="D832" s="34" t="s">
        <v>119</v>
      </c>
      <c r="E832" s="34" t="s">
        <v>93</v>
      </c>
      <c r="F832" s="35">
        <v>55</v>
      </c>
      <c r="G832" s="37">
        <v>55.72</v>
      </c>
      <c r="H832" s="32">
        <f t="shared" si="18"/>
        <v>3064.6</v>
      </c>
    </row>
    <row r="833" spans="2:8">
      <c r="B833" s="28">
        <v>10417</v>
      </c>
      <c r="C833" s="34" t="s">
        <v>261</v>
      </c>
      <c r="D833" s="34" t="s">
        <v>104</v>
      </c>
      <c r="E833" s="34" t="s">
        <v>256</v>
      </c>
      <c r="F833" s="35">
        <v>36</v>
      </c>
      <c r="G833" s="37">
        <v>61.18</v>
      </c>
      <c r="H833" s="32">
        <f t="shared" si="18"/>
        <v>2202.48</v>
      </c>
    </row>
    <row r="834" spans="2:8">
      <c r="B834" s="28">
        <v>10101</v>
      </c>
      <c r="C834" s="34" t="s">
        <v>566</v>
      </c>
      <c r="D834" s="34" t="s">
        <v>119</v>
      </c>
      <c r="E834" s="34" t="s">
        <v>93</v>
      </c>
      <c r="F834" s="35">
        <v>26</v>
      </c>
      <c r="G834" s="37">
        <v>100</v>
      </c>
      <c r="H834" s="32">
        <f t="shared" si="18"/>
        <v>2600</v>
      </c>
    </row>
    <row r="835" spans="2:8">
      <c r="B835" s="28">
        <v>10110</v>
      </c>
      <c r="C835" s="34" t="s">
        <v>252</v>
      </c>
      <c r="D835" s="34" t="s">
        <v>119</v>
      </c>
      <c r="E835" s="34" t="s">
        <v>93</v>
      </c>
      <c r="F835" s="35">
        <v>31</v>
      </c>
      <c r="G835" s="37">
        <v>100</v>
      </c>
      <c r="H835" s="32">
        <f t="shared" si="18"/>
        <v>3100</v>
      </c>
    </row>
    <row r="836" spans="2:8">
      <c r="B836" s="28">
        <v>10125</v>
      </c>
      <c r="C836" s="34" t="s">
        <v>168</v>
      </c>
      <c r="D836" s="34" t="s">
        <v>119</v>
      </c>
      <c r="E836" s="34" t="s">
        <v>93</v>
      </c>
      <c r="F836" s="35">
        <v>34</v>
      </c>
      <c r="G836" s="37">
        <v>100</v>
      </c>
      <c r="H836" s="32">
        <f t="shared" si="18"/>
        <v>3400</v>
      </c>
    </row>
    <row r="837" spans="2:8">
      <c r="B837" s="28">
        <v>10139</v>
      </c>
      <c r="C837" s="34" t="s">
        <v>168</v>
      </c>
      <c r="D837" s="34" t="s">
        <v>232</v>
      </c>
      <c r="E837" s="34" t="s">
        <v>93</v>
      </c>
      <c r="F837" s="35">
        <v>41</v>
      </c>
      <c r="G837" s="37">
        <v>100</v>
      </c>
      <c r="H837" s="32">
        <f t="shared" ref="H837:H900" si="19">F837*G837</f>
        <v>4100</v>
      </c>
    </row>
    <row r="838" spans="2:8">
      <c r="B838" s="28">
        <v>10149</v>
      </c>
      <c r="C838" s="34" t="s">
        <v>100</v>
      </c>
      <c r="D838" s="34" t="s">
        <v>119</v>
      </c>
      <c r="E838" s="34" t="s">
        <v>93</v>
      </c>
      <c r="F838" s="35">
        <v>23</v>
      </c>
      <c r="G838" s="37">
        <v>100</v>
      </c>
      <c r="H838" s="32">
        <f t="shared" si="19"/>
        <v>2300</v>
      </c>
    </row>
    <row r="839" spans="2:8">
      <c r="B839" s="28">
        <v>10162</v>
      </c>
      <c r="C839" s="34" t="s">
        <v>100</v>
      </c>
      <c r="D839" s="34" t="s">
        <v>232</v>
      </c>
      <c r="E839" s="34" t="s">
        <v>93</v>
      </c>
      <c r="F839" s="35">
        <v>48</v>
      </c>
      <c r="G839" s="37">
        <v>100</v>
      </c>
      <c r="H839" s="32">
        <f t="shared" si="19"/>
        <v>4800</v>
      </c>
    </row>
    <row r="840" spans="2:8">
      <c r="B840" s="28">
        <v>10173</v>
      </c>
      <c r="C840" s="34" t="s">
        <v>352</v>
      </c>
      <c r="D840" s="34" t="s">
        <v>119</v>
      </c>
      <c r="E840" s="34" t="s">
        <v>93</v>
      </c>
      <c r="F840" s="35">
        <v>22</v>
      </c>
      <c r="G840" s="37">
        <v>100</v>
      </c>
      <c r="H840" s="32">
        <f t="shared" si="19"/>
        <v>2200</v>
      </c>
    </row>
    <row r="841" spans="2:8">
      <c r="B841" s="28">
        <v>10182</v>
      </c>
      <c r="C841" s="34" t="s">
        <v>100</v>
      </c>
      <c r="D841" s="34" t="s">
        <v>119</v>
      </c>
      <c r="E841" s="34" t="s">
        <v>93</v>
      </c>
      <c r="F841" s="35">
        <v>21</v>
      </c>
      <c r="G841" s="37">
        <v>100</v>
      </c>
      <c r="H841" s="32">
        <f t="shared" si="19"/>
        <v>2100</v>
      </c>
    </row>
    <row r="842" spans="2:8">
      <c r="B842" s="28">
        <v>10193</v>
      </c>
      <c r="C842" s="34" t="s">
        <v>168</v>
      </c>
      <c r="D842" s="34" t="s">
        <v>119</v>
      </c>
      <c r="E842" s="34" t="s">
        <v>93</v>
      </c>
      <c r="F842" s="35">
        <v>22</v>
      </c>
      <c r="G842" s="37">
        <v>100</v>
      </c>
      <c r="H842" s="32">
        <f t="shared" si="19"/>
        <v>2200</v>
      </c>
    </row>
    <row r="843" spans="2:8">
      <c r="B843" s="28">
        <v>10205</v>
      </c>
      <c r="C843" s="34" t="s">
        <v>261</v>
      </c>
      <c r="D843" s="34" t="s">
        <v>232</v>
      </c>
      <c r="E843" s="34" t="s">
        <v>93</v>
      </c>
      <c r="F843" s="35">
        <v>40</v>
      </c>
      <c r="G843" s="37">
        <v>100</v>
      </c>
      <c r="H843" s="32">
        <f t="shared" si="19"/>
        <v>4000</v>
      </c>
    </row>
    <row r="844" spans="2:8">
      <c r="B844" s="28">
        <v>10214</v>
      </c>
      <c r="C844" s="34" t="s">
        <v>261</v>
      </c>
      <c r="D844" s="34" t="s">
        <v>232</v>
      </c>
      <c r="E844" s="34" t="s">
        <v>93</v>
      </c>
      <c r="F844" s="35">
        <v>50</v>
      </c>
      <c r="G844" s="37">
        <v>100</v>
      </c>
      <c r="H844" s="32">
        <f t="shared" si="19"/>
        <v>5000</v>
      </c>
    </row>
    <row r="845" spans="2:8">
      <c r="B845" s="28">
        <v>10227</v>
      </c>
      <c r="C845" s="34" t="s">
        <v>109</v>
      </c>
      <c r="D845" s="34" t="s">
        <v>119</v>
      </c>
      <c r="E845" s="34" t="s">
        <v>93</v>
      </c>
      <c r="F845" s="35">
        <v>29</v>
      </c>
      <c r="G845" s="37">
        <v>100</v>
      </c>
      <c r="H845" s="32">
        <f t="shared" si="19"/>
        <v>2900</v>
      </c>
    </row>
    <row r="846" spans="2:8">
      <c r="B846" s="28">
        <v>10244</v>
      </c>
      <c r="C846" s="34" t="s">
        <v>261</v>
      </c>
      <c r="D846" s="34" t="s">
        <v>119</v>
      </c>
      <c r="E846" s="34" t="s">
        <v>93</v>
      </c>
      <c r="F846" s="35">
        <v>43</v>
      </c>
      <c r="G846" s="37">
        <v>100</v>
      </c>
      <c r="H846" s="32">
        <f t="shared" si="19"/>
        <v>4300</v>
      </c>
    </row>
    <row r="847" spans="2:8">
      <c r="B847" s="28">
        <v>10255</v>
      </c>
      <c r="C847" s="34" t="s">
        <v>109</v>
      </c>
      <c r="D847" s="34" t="s">
        <v>119</v>
      </c>
      <c r="E847" s="34" t="s">
        <v>93</v>
      </c>
      <c r="F847" s="35">
        <v>24</v>
      </c>
      <c r="G847" s="37">
        <v>100</v>
      </c>
      <c r="H847" s="32">
        <f t="shared" si="19"/>
        <v>2400</v>
      </c>
    </row>
    <row r="848" spans="2:8">
      <c r="B848" s="28">
        <v>10280</v>
      </c>
      <c r="C848" s="34" t="s">
        <v>352</v>
      </c>
      <c r="D848" s="34" t="s">
        <v>119</v>
      </c>
      <c r="E848" s="34" t="s">
        <v>93</v>
      </c>
      <c r="F848" s="35">
        <v>22</v>
      </c>
      <c r="G848" s="37">
        <v>100</v>
      </c>
      <c r="H848" s="32">
        <f t="shared" si="19"/>
        <v>2200</v>
      </c>
    </row>
    <row r="849" spans="2:8">
      <c r="B849" s="28">
        <v>10289</v>
      </c>
      <c r="C849" s="34" t="s">
        <v>149</v>
      </c>
      <c r="D849" s="34" t="s">
        <v>232</v>
      </c>
      <c r="E849" s="34" t="s">
        <v>93</v>
      </c>
      <c r="F849" s="35">
        <v>43</v>
      </c>
      <c r="G849" s="37">
        <v>100</v>
      </c>
      <c r="H849" s="32">
        <f t="shared" si="19"/>
        <v>4300</v>
      </c>
    </row>
    <row r="850" spans="2:8">
      <c r="B850" s="28">
        <v>10304</v>
      </c>
      <c r="C850" s="34" t="s">
        <v>109</v>
      </c>
      <c r="D850" s="34" t="s">
        <v>119</v>
      </c>
      <c r="E850" s="34" t="s">
        <v>93</v>
      </c>
      <c r="F850" s="35">
        <v>20</v>
      </c>
      <c r="G850" s="37">
        <v>100</v>
      </c>
      <c r="H850" s="32">
        <f t="shared" si="19"/>
        <v>2000</v>
      </c>
    </row>
    <row r="851" spans="2:8">
      <c r="B851" s="28">
        <v>10312</v>
      </c>
      <c r="C851" s="34" t="s">
        <v>100</v>
      </c>
      <c r="D851" s="34" t="s">
        <v>119</v>
      </c>
      <c r="E851" s="34" t="s">
        <v>93</v>
      </c>
      <c r="F851" s="35">
        <v>25</v>
      </c>
      <c r="G851" s="37">
        <v>100</v>
      </c>
      <c r="H851" s="32">
        <f t="shared" si="19"/>
        <v>2500</v>
      </c>
    </row>
    <row r="852" spans="2:8">
      <c r="B852" s="28">
        <v>10322</v>
      </c>
      <c r="C852" s="34" t="s">
        <v>100</v>
      </c>
      <c r="D852" s="34" t="s">
        <v>119</v>
      </c>
      <c r="E852" s="34" t="s">
        <v>93</v>
      </c>
      <c r="F852" s="35">
        <v>36</v>
      </c>
      <c r="G852" s="37">
        <v>100</v>
      </c>
      <c r="H852" s="32">
        <f t="shared" si="19"/>
        <v>3600</v>
      </c>
    </row>
    <row r="853" spans="2:8">
      <c r="B853" s="28">
        <v>10332</v>
      </c>
      <c r="C853" s="34" t="s">
        <v>252</v>
      </c>
      <c r="D853" s="34" t="s">
        <v>104</v>
      </c>
      <c r="E853" s="34" t="s">
        <v>93</v>
      </c>
      <c r="F853" s="35">
        <v>24</v>
      </c>
      <c r="G853" s="37">
        <v>52.67</v>
      </c>
      <c r="H853" s="32">
        <f t="shared" si="19"/>
        <v>1264.08</v>
      </c>
    </row>
    <row r="854" spans="2:8">
      <c r="B854" s="28">
        <v>10347</v>
      </c>
      <c r="C854" s="34" t="s">
        <v>168</v>
      </c>
      <c r="D854" s="34" t="s">
        <v>119</v>
      </c>
      <c r="E854" s="34" t="s">
        <v>93</v>
      </c>
      <c r="F854" s="35">
        <v>21</v>
      </c>
      <c r="G854" s="37">
        <v>100</v>
      </c>
      <c r="H854" s="32">
        <f t="shared" si="19"/>
        <v>2100</v>
      </c>
    </row>
    <row r="855" spans="2:8">
      <c r="B855" s="28">
        <v>10356</v>
      </c>
      <c r="C855" s="34" t="s">
        <v>109</v>
      </c>
      <c r="D855" s="34" t="s">
        <v>119</v>
      </c>
      <c r="E855" s="34" t="s">
        <v>93</v>
      </c>
      <c r="F855" s="35">
        <v>30</v>
      </c>
      <c r="G855" s="37">
        <v>100</v>
      </c>
      <c r="H855" s="32">
        <f t="shared" si="19"/>
        <v>3000</v>
      </c>
    </row>
    <row r="856" spans="2:8">
      <c r="B856" s="28">
        <v>10367</v>
      </c>
      <c r="C856" s="34" t="s">
        <v>100</v>
      </c>
      <c r="D856" s="34" t="s">
        <v>119</v>
      </c>
      <c r="E856" s="34" t="s">
        <v>526</v>
      </c>
      <c r="F856" s="35">
        <v>32</v>
      </c>
      <c r="G856" s="37">
        <v>94.79</v>
      </c>
      <c r="H856" s="32">
        <f t="shared" si="19"/>
        <v>3033.28</v>
      </c>
    </row>
    <row r="857" spans="2:8">
      <c r="B857" s="28">
        <v>10380</v>
      </c>
      <c r="C857" s="34" t="s">
        <v>261</v>
      </c>
      <c r="D857" s="34" t="s">
        <v>104</v>
      </c>
      <c r="E857" s="34" t="s">
        <v>93</v>
      </c>
      <c r="F857" s="35">
        <v>21</v>
      </c>
      <c r="G857" s="37">
        <v>47.18</v>
      </c>
      <c r="H857" s="32">
        <f t="shared" si="19"/>
        <v>990.78</v>
      </c>
    </row>
    <row r="858" spans="2:8">
      <c r="B858" s="28">
        <v>10390</v>
      </c>
      <c r="C858" s="34" t="s">
        <v>100</v>
      </c>
      <c r="D858" s="34" t="s">
        <v>104</v>
      </c>
      <c r="E858" s="34" t="s">
        <v>93</v>
      </c>
      <c r="F858" s="35">
        <v>26</v>
      </c>
      <c r="G858" s="37">
        <v>78.11</v>
      </c>
      <c r="H858" s="32">
        <f t="shared" si="19"/>
        <v>2030.86</v>
      </c>
    </row>
    <row r="859" spans="2:8">
      <c r="B859" s="28">
        <v>10421</v>
      </c>
      <c r="C859" s="34" t="s">
        <v>100</v>
      </c>
      <c r="D859" s="34" t="s">
        <v>119</v>
      </c>
      <c r="E859" s="34" t="s">
        <v>400</v>
      </c>
      <c r="F859" s="35">
        <v>35</v>
      </c>
      <c r="G859" s="37">
        <v>100</v>
      </c>
      <c r="H859" s="32">
        <f t="shared" si="19"/>
        <v>3500</v>
      </c>
    </row>
    <row r="860" spans="2:8">
      <c r="B860" s="28">
        <v>10109</v>
      </c>
      <c r="C860" s="34" t="s">
        <v>100</v>
      </c>
      <c r="D860" s="34" t="s">
        <v>119</v>
      </c>
      <c r="E860" s="34" t="s">
        <v>93</v>
      </c>
      <c r="F860" s="35">
        <v>26</v>
      </c>
      <c r="G860" s="37">
        <v>100</v>
      </c>
      <c r="H860" s="32">
        <f t="shared" si="19"/>
        <v>2600</v>
      </c>
    </row>
    <row r="861" spans="2:8">
      <c r="B861" s="28">
        <v>10123</v>
      </c>
      <c r="C861" s="34" t="s">
        <v>109</v>
      </c>
      <c r="D861" s="34" t="s">
        <v>119</v>
      </c>
      <c r="E861" s="34" t="s">
        <v>93</v>
      </c>
      <c r="F861" s="35">
        <v>46</v>
      </c>
      <c r="G861" s="37">
        <v>100</v>
      </c>
      <c r="H861" s="32">
        <f t="shared" si="19"/>
        <v>4600</v>
      </c>
    </row>
    <row r="862" spans="2:8">
      <c r="B862" s="28">
        <v>10137</v>
      </c>
      <c r="C862" s="34" t="s">
        <v>109</v>
      </c>
      <c r="D862" s="34" t="s">
        <v>119</v>
      </c>
      <c r="E862" s="34" t="s">
        <v>93</v>
      </c>
      <c r="F862" s="35">
        <v>37</v>
      </c>
      <c r="G862" s="37">
        <v>100</v>
      </c>
      <c r="H862" s="32">
        <f t="shared" si="19"/>
        <v>3700</v>
      </c>
    </row>
    <row r="863" spans="2:8">
      <c r="B863" s="28">
        <v>10148</v>
      </c>
      <c r="C863" s="34" t="s">
        <v>168</v>
      </c>
      <c r="D863" s="34" t="s">
        <v>119</v>
      </c>
      <c r="E863" s="34" t="s">
        <v>93</v>
      </c>
      <c r="F863" s="35">
        <v>27</v>
      </c>
      <c r="G863" s="37">
        <v>100</v>
      </c>
      <c r="H863" s="32">
        <f t="shared" si="19"/>
        <v>2700</v>
      </c>
    </row>
    <row r="864" spans="2:8">
      <c r="B864" s="28">
        <v>10161</v>
      </c>
      <c r="C864" s="34" t="s">
        <v>429</v>
      </c>
      <c r="D864" s="34" t="s">
        <v>119</v>
      </c>
      <c r="E864" s="34" t="s">
        <v>93</v>
      </c>
      <c r="F864" s="35">
        <v>23</v>
      </c>
      <c r="G864" s="37">
        <v>100</v>
      </c>
      <c r="H864" s="32">
        <f t="shared" si="19"/>
        <v>2300</v>
      </c>
    </row>
    <row r="865" spans="2:8">
      <c r="B865" s="28">
        <v>10172</v>
      </c>
      <c r="C865" s="34" t="s">
        <v>100</v>
      </c>
      <c r="D865" s="34" t="s">
        <v>119</v>
      </c>
      <c r="E865" s="34" t="s">
        <v>93</v>
      </c>
      <c r="F865" s="35">
        <v>39</v>
      </c>
      <c r="G865" s="37">
        <v>100</v>
      </c>
      <c r="H865" s="32">
        <f t="shared" si="19"/>
        <v>3900</v>
      </c>
    </row>
    <row r="866" spans="2:8">
      <c r="B866" s="28">
        <v>10181</v>
      </c>
      <c r="C866" s="34" t="s">
        <v>149</v>
      </c>
      <c r="D866" s="34" t="s">
        <v>119</v>
      </c>
      <c r="E866" s="34" t="s">
        <v>93</v>
      </c>
      <c r="F866" s="35">
        <v>27</v>
      </c>
      <c r="G866" s="37">
        <v>100</v>
      </c>
      <c r="H866" s="32">
        <f t="shared" si="19"/>
        <v>2700</v>
      </c>
    </row>
    <row r="867" spans="2:8">
      <c r="B867" s="28">
        <v>10192</v>
      </c>
      <c r="C867" s="34" t="s">
        <v>100</v>
      </c>
      <c r="D867" s="34" t="s">
        <v>119</v>
      </c>
      <c r="E867" s="34" t="s">
        <v>93</v>
      </c>
      <c r="F867" s="35">
        <v>38</v>
      </c>
      <c r="G867" s="37">
        <v>100</v>
      </c>
      <c r="H867" s="32">
        <f t="shared" si="19"/>
        <v>3800</v>
      </c>
    </row>
    <row r="868" spans="2:8">
      <c r="B868" s="28">
        <v>10204</v>
      </c>
      <c r="C868" s="34" t="s">
        <v>100</v>
      </c>
      <c r="D868" s="34" t="s">
        <v>119</v>
      </c>
      <c r="E868" s="34" t="s">
        <v>93</v>
      </c>
      <c r="F868" s="35">
        <v>27</v>
      </c>
      <c r="G868" s="37">
        <v>100</v>
      </c>
      <c r="H868" s="32">
        <f t="shared" si="19"/>
        <v>2700</v>
      </c>
    </row>
    <row r="869" spans="2:8">
      <c r="B869" s="28">
        <v>10212</v>
      </c>
      <c r="C869" s="34" t="s">
        <v>261</v>
      </c>
      <c r="D869" s="34" t="s">
        <v>119</v>
      </c>
      <c r="E869" s="34" t="s">
        <v>93</v>
      </c>
      <c r="F869" s="35">
        <v>40</v>
      </c>
      <c r="G869" s="37">
        <v>100</v>
      </c>
      <c r="H869" s="32">
        <f t="shared" si="19"/>
        <v>4000</v>
      </c>
    </row>
    <row r="870" spans="2:8">
      <c r="B870" s="28">
        <v>10226</v>
      </c>
      <c r="C870" s="34" t="s">
        <v>100</v>
      </c>
      <c r="D870" s="34" t="s">
        <v>119</v>
      </c>
      <c r="E870" s="34" t="s">
        <v>93</v>
      </c>
      <c r="F870" s="35">
        <v>24</v>
      </c>
      <c r="G870" s="37">
        <v>100</v>
      </c>
      <c r="H870" s="32">
        <f t="shared" si="19"/>
        <v>2400</v>
      </c>
    </row>
    <row r="871" spans="2:8">
      <c r="B871" s="28">
        <v>10241</v>
      </c>
      <c r="C871" s="34" t="s">
        <v>109</v>
      </c>
      <c r="D871" s="34" t="s">
        <v>119</v>
      </c>
      <c r="E871" s="34" t="s">
        <v>93</v>
      </c>
      <c r="F871" s="35">
        <v>44</v>
      </c>
      <c r="G871" s="37">
        <v>100</v>
      </c>
      <c r="H871" s="32">
        <f t="shared" si="19"/>
        <v>4400</v>
      </c>
    </row>
    <row r="872" spans="2:8">
      <c r="B872" s="28">
        <v>10253</v>
      </c>
      <c r="C872" s="34" t="s">
        <v>252</v>
      </c>
      <c r="D872" s="34" t="s">
        <v>119</v>
      </c>
      <c r="E872" s="34" t="s">
        <v>444</v>
      </c>
      <c r="F872" s="35">
        <v>37</v>
      </c>
      <c r="G872" s="37">
        <v>100</v>
      </c>
      <c r="H872" s="32">
        <f t="shared" si="19"/>
        <v>3700</v>
      </c>
    </row>
    <row r="873" spans="2:8">
      <c r="B873" s="28">
        <v>10266</v>
      </c>
      <c r="C873" s="34" t="s">
        <v>352</v>
      </c>
      <c r="D873" s="34" t="s">
        <v>104</v>
      </c>
      <c r="E873" s="34" t="s">
        <v>93</v>
      </c>
      <c r="F873" s="35">
        <v>20</v>
      </c>
      <c r="G873" s="37">
        <v>100</v>
      </c>
      <c r="H873" s="32">
        <f t="shared" si="19"/>
        <v>2000</v>
      </c>
    </row>
    <row r="874" spans="2:8">
      <c r="B874" s="28">
        <v>10278</v>
      </c>
      <c r="C874" s="34" t="s">
        <v>100</v>
      </c>
      <c r="D874" s="34" t="s">
        <v>119</v>
      </c>
      <c r="E874" s="34" t="s">
        <v>93</v>
      </c>
      <c r="F874" s="35">
        <v>39</v>
      </c>
      <c r="G874" s="37">
        <v>100</v>
      </c>
      <c r="H874" s="32">
        <f t="shared" si="19"/>
        <v>3900</v>
      </c>
    </row>
    <row r="875" spans="2:8">
      <c r="B875" s="28">
        <v>10287</v>
      </c>
      <c r="C875" s="34" t="s">
        <v>574</v>
      </c>
      <c r="D875" s="34" t="s">
        <v>119</v>
      </c>
      <c r="E875" s="34" t="s">
        <v>93</v>
      </c>
      <c r="F875" s="35">
        <v>44</v>
      </c>
      <c r="G875" s="37">
        <v>100</v>
      </c>
      <c r="H875" s="32">
        <f t="shared" si="19"/>
        <v>4400</v>
      </c>
    </row>
    <row r="876" spans="2:8">
      <c r="B876" s="28">
        <v>10301</v>
      </c>
      <c r="C876" s="34" t="s">
        <v>149</v>
      </c>
      <c r="D876" s="34" t="s">
        <v>119</v>
      </c>
      <c r="E876" s="34" t="s">
        <v>93</v>
      </c>
      <c r="F876" s="35">
        <v>22</v>
      </c>
      <c r="G876" s="37">
        <v>100</v>
      </c>
      <c r="H876" s="32">
        <f t="shared" si="19"/>
        <v>2200</v>
      </c>
    </row>
    <row r="877" spans="2:8">
      <c r="B877" s="28">
        <v>10311</v>
      </c>
      <c r="C877" s="34" t="s">
        <v>261</v>
      </c>
      <c r="D877" s="34" t="s">
        <v>119</v>
      </c>
      <c r="E877" s="34" t="s">
        <v>93</v>
      </c>
      <c r="F877" s="35">
        <v>43</v>
      </c>
      <c r="G877" s="37">
        <v>100</v>
      </c>
      <c r="H877" s="32">
        <f t="shared" si="19"/>
        <v>4300</v>
      </c>
    </row>
    <row r="878" spans="2:8">
      <c r="B878" s="28">
        <v>10321</v>
      </c>
      <c r="C878" s="34" t="s">
        <v>100</v>
      </c>
      <c r="D878" s="34" t="s">
        <v>104</v>
      </c>
      <c r="E878" s="34" t="s">
        <v>93</v>
      </c>
      <c r="F878" s="35">
        <v>27</v>
      </c>
      <c r="G878" s="37">
        <v>100</v>
      </c>
      <c r="H878" s="32">
        <f t="shared" si="19"/>
        <v>2700</v>
      </c>
    </row>
    <row r="879" spans="2:8">
      <c r="B879" s="28">
        <v>10331</v>
      </c>
      <c r="C879" s="34" t="s">
        <v>100</v>
      </c>
      <c r="D879" s="34" t="s">
        <v>104</v>
      </c>
      <c r="E879" s="34" t="s">
        <v>93</v>
      </c>
      <c r="F879" s="35">
        <v>26</v>
      </c>
      <c r="G879" s="37">
        <v>64.900000000000006</v>
      </c>
      <c r="H879" s="32">
        <f t="shared" si="19"/>
        <v>1687.4</v>
      </c>
    </row>
    <row r="880" spans="2:8">
      <c r="B880" s="28">
        <v>10343</v>
      </c>
      <c r="C880" s="34" t="s">
        <v>109</v>
      </c>
      <c r="D880" s="34" t="s">
        <v>104</v>
      </c>
      <c r="E880" s="34" t="s">
        <v>93</v>
      </c>
      <c r="F880" s="35">
        <v>25</v>
      </c>
      <c r="G880" s="37">
        <v>52.32</v>
      </c>
      <c r="H880" s="32">
        <f t="shared" si="19"/>
        <v>1308</v>
      </c>
    </row>
    <row r="881" spans="2:8">
      <c r="B881" s="28">
        <v>10366</v>
      </c>
      <c r="C881" s="34" t="s">
        <v>480</v>
      </c>
      <c r="D881" s="34" t="s">
        <v>119</v>
      </c>
      <c r="E881" s="34" t="s">
        <v>93</v>
      </c>
      <c r="F881" s="35">
        <v>49</v>
      </c>
      <c r="G881" s="37">
        <v>100</v>
      </c>
      <c r="H881" s="32">
        <f t="shared" si="19"/>
        <v>4900</v>
      </c>
    </row>
    <row r="882" spans="2:8">
      <c r="B882" s="28">
        <v>10379</v>
      </c>
      <c r="C882" s="34" t="s">
        <v>261</v>
      </c>
      <c r="D882" s="34" t="s">
        <v>119</v>
      </c>
      <c r="E882" s="34" t="s">
        <v>93</v>
      </c>
      <c r="F882" s="35">
        <v>29</v>
      </c>
      <c r="G882" s="37">
        <v>100</v>
      </c>
      <c r="H882" s="32">
        <f t="shared" si="19"/>
        <v>2900</v>
      </c>
    </row>
    <row r="883" spans="2:8">
      <c r="B883" s="28">
        <v>10407</v>
      </c>
      <c r="C883" s="34" t="s">
        <v>100</v>
      </c>
      <c r="D883" s="34" t="s">
        <v>119</v>
      </c>
      <c r="E883" s="34" t="s">
        <v>518</v>
      </c>
      <c r="F883" s="35">
        <v>41</v>
      </c>
      <c r="G883" s="37">
        <v>100</v>
      </c>
      <c r="H883" s="32">
        <f t="shared" si="19"/>
        <v>4100</v>
      </c>
    </row>
    <row r="884" spans="2:8">
      <c r="B884" s="28">
        <v>10419</v>
      </c>
      <c r="C884" s="34" t="s">
        <v>229</v>
      </c>
      <c r="D884" s="34" t="s">
        <v>232</v>
      </c>
      <c r="E884" s="34" t="s">
        <v>93</v>
      </c>
      <c r="F884" s="35">
        <v>55</v>
      </c>
      <c r="G884" s="37">
        <v>100</v>
      </c>
      <c r="H884" s="32">
        <f t="shared" si="19"/>
        <v>5500</v>
      </c>
    </row>
    <row r="885" spans="2:8">
      <c r="B885" s="28">
        <v>10103</v>
      </c>
      <c r="C885" s="34" t="s">
        <v>149</v>
      </c>
      <c r="D885" s="34" t="s">
        <v>104</v>
      </c>
      <c r="E885" s="34" t="s">
        <v>93</v>
      </c>
      <c r="F885" s="35">
        <v>27</v>
      </c>
      <c r="G885" s="37">
        <v>83.07</v>
      </c>
      <c r="H885" s="32">
        <f t="shared" si="19"/>
        <v>2242.89</v>
      </c>
    </row>
    <row r="886" spans="2:8">
      <c r="B886" s="28">
        <v>10112</v>
      </c>
      <c r="C886" s="34" t="s">
        <v>273</v>
      </c>
      <c r="D886" s="34" t="s">
        <v>104</v>
      </c>
      <c r="E886" s="34" t="s">
        <v>93</v>
      </c>
      <c r="F886" s="35">
        <v>23</v>
      </c>
      <c r="G886" s="37">
        <v>100</v>
      </c>
      <c r="H886" s="32">
        <f t="shared" si="19"/>
        <v>2300</v>
      </c>
    </row>
    <row r="887" spans="2:8">
      <c r="B887" s="28">
        <v>10126</v>
      </c>
      <c r="C887" s="34" t="s">
        <v>261</v>
      </c>
      <c r="D887" s="34" t="s">
        <v>104</v>
      </c>
      <c r="E887" s="34" t="s">
        <v>93</v>
      </c>
      <c r="F887" s="35">
        <v>31</v>
      </c>
      <c r="G887" s="37">
        <v>90.17</v>
      </c>
      <c r="H887" s="32">
        <f t="shared" si="19"/>
        <v>2795.27</v>
      </c>
    </row>
    <row r="888" spans="2:8">
      <c r="B888" s="28">
        <v>10139</v>
      </c>
      <c r="C888" s="34" t="s">
        <v>168</v>
      </c>
      <c r="D888" s="34" t="s">
        <v>119</v>
      </c>
      <c r="E888" s="34" t="s">
        <v>93</v>
      </c>
      <c r="F888" s="35">
        <v>46</v>
      </c>
      <c r="G888" s="37">
        <v>100</v>
      </c>
      <c r="H888" s="32">
        <f t="shared" si="19"/>
        <v>4600</v>
      </c>
    </row>
    <row r="889" spans="2:8">
      <c r="B889" s="28">
        <v>10150</v>
      </c>
      <c r="C889" s="34" t="s">
        <v>287</v>
      </c>
      <c r="D889" s="34" t="s">
        <v>119</v>
      </c>
      <c r="E889" s="34" t="s">
        <v>93</v>
      </c>
      <c r="F889" s="35">
        <v>47</v>
      </c>
      <c r="G889" s="37">
        <v>91.18</v>
      </c>
      <c r="H889" s="32">
        <f t="shared" si="19"/>
        <v>4285.46</v>
      </c>
    </row>
    <row r="890" spans="2:8">
      <c r="B890" s="28">
        <v>10163</v>
      </c>
      <c r="C890" s="34" t="s">
        <v>100</v>
      </c>
      <c r="D890" s="34" t="s">
        <v>119</v>
      </c>
      <c r="E890" s="34" t="s">
        <v>93</v>
      </c>
      <c r="F890" s="35">
        <v>31</v>
      </c>
      <c r="G890" s="37">
        <v>100</v>
      </c>
      <c r="H890" s="32">
        <f t="shared" si="19"/>
        <v>3100</v>
      </c>
    </row>
    <row r="891" spans="2:8">
      <c r="B891" s="28">
        <v>10174</v>
      </c>
      <c r="C891" s="34" t="s">
        <v>168</v>
      </c>
      <c r="D891" s="34" t="s">
        <v>119</v>
      </c>
      <c r="E891" s="34" t="s">
        <v>93</v>
      </c>
      <c r="F891" s="35">
        <v>46</v>
      </c>
      <c r="G891" s="37">
        <v>100</v>
      </c>
      <c r="H891" s="32">
        <f t="shared" si="19"/>
        <v>4600</v>
      </c>
    </row>
    <row r="892" spans="2:8">
      <c r="B892" s="28">
        <v>10183</v>
      </c>
      <c r="C892" s="34" t="s">
        <v>100</v>
      </c>
      <c r="D892" s="34" t="s">
        <v>119</v>
      </c>
      <c r="E892" s="34" t="s">
        <v>93</v>
      </c>
      <c r="F892" s="35">
        <v>37</v>
      </c>
      <c r="G892" s="37">
        <v>89.15</v>
      </c>
      <c r="H892" s="32">
        <f t="shared" si="19"/>
        <v>3298.55</v>
      </c>
    </row>
    <row r="893" spans="2:8">
      <c r="B893" s="28">
        <v>10193</v>
      </c>
      <c r="C893" s="34" t="s">
        <v>168</v>
      </c>
      <c r="D893" s="34" t="s">
        <v>104</v>
      </c>
      <c r="E893" s="34" t="s">
        <v>93</v>
      </c>
      <c r="F893" s="35">
        <v>28</v>
      </c>
      <c r="G893" s="37">
        <v>93.21</v>
      </c>
      <c r="H893" s="32">
        <f t="shared" si="19"/>
        <v>2609.8799999999997</v>
      </c>
    </row>
    <row r="894" spans="2:8">
      <c r="B894" s="28">
        <v>10206</v>
      </c>
      <c r="C894" s="34" t="s">
        <v>322</v>
      </c>
      <c r="D894" s="34" t="s">
        <v>119</v>
      </c>
      <c r="E894" s="34" t="s">
        <v>93</v>
      </c>
      <c r="F894" s="35">
        <v>37</v>
      </c>
      <c r="G894" s="37">
        <v>90.17</v>
      </c>
      <c r="H894" s="32">
        <f t="shared" si="19"/>
        <v>3336.29</v>
      </c>
    </row>
    <row r="895" spans="2:8">
      <c r="B895" s="28">
        <v>10215</v>
      </c>
      <c r="C895" s="34" t="s">
        <v>100</v>
      </c>
      <c r="D895" s="34" t="s">
        <v>119</v>
      </c>
      <c r="E895" s="34" t="s">
        <v>93</v>
      </c>
      <c r="F895" s="35">
        <v>49</v>
      </c>
      <c r="G895" s="37">
        <v>100</v>
      </c>
      <c r="H895" s="32">
        <f t="shared" si="19"/>
        <v>4900</v>
      </c>
    </row>
    <row r="896" spans="2:8">
      <c r="B896" s="28">
        <v>10228</v>
      </c>
      <c r="C896" s="34" t="s">
        <v>100</v>
      </c>
      <c r="D896" s="34" t="s">
        <v>104</v>
      </c>
      <c r="E896" s="34" t="s">
        <v>93</v>
      </c>
      <c r="F896" s="35">
        <v>24</v>
      </c>
      <c r="G896" s="37">
        <v>100</v>
      </c>
      <c r="H896" s="32">
        <f t="shared" si="19"/>
        <v>2400</v>
      </c>
    </row>
    <row r="897" spans="2:8">
      <c r="B897" s="28">
        <v>10244</v>
      </c>
      <c r="C897" s="34" t="s">
        <v>261</v>
      </c>
      <c r="D897" s="34" t="s">
        <v>119</v>
      </c>
      <c r="E897" s="34" t="s">
        <v>93</v>
      </c>
      <c r="F897" s="35">
        <v>30</v>
      </c>
      <c r="G897" s="37">
        <v>100</v>
      </c>
      <c r="H897" s="32">
        <f t="shared" si="19"/>
        <v>3000</v>
      </c>
    </row>
    <row r="898" spans="2:8">
      <c r="B898" s="28">
        <v>10257</v>
      </c>
      <c r="C898" s="34" t="s">
        <v>100</v>
      </c>
      <c r="D898" s="34" t="s">
        <v>119</v>
      </c>
      <c r="E898" s="34" t="s">
        <v>93</v>
      </c>
      <c r="F898" s="35">
        <v>50</v>
      </c>
      <c r="G898" s="37">
        <v>88.14</v>
      </c>
      <c r="H898" s="32">
        <f t="shared" si="19"/>
        <v>4407</v>
      </c>
    </row>
    <row r="899" spans="2:8">
      <c r="B899" s="28">
        <v>10270</v>
      </c>
      <c r="C899" s="34" t="s">
        <v>168</v>
      </c>
      <c r="D899" s="34" t="s">
        <v>104</v>
      </c>
      <c r="E899" s="34" t="s">
        <v>93</v>
      </c>
      <c r="F899" s="35">
        <v>31</v>
      </c>
      <c r="G899" s="37">
        <v>96.24</v>
      </c>
      <c r="H899" s="32">
        <f t="shared" si="19"/>
        <v>2983.44</v>
      </c>
    </row>
    <row r="900" spans="2:8">
      <c r="B900" s="28">
        <v>10280</v>
      </c>
      <c r="C900" s="34" t="s">
        <v>352</v>
      </c>
      <c r="D900" s="34" t="s">
        <v>119</v>
      </c>
      <c r="E900" s="34" t="s">
        <v>93</v>
      </c>
      <c r="F900" s="35">
        <v>46</v>
      </c>
      <c r="G900" s="37">
        <v>100</v>
      </c>
      <c r="H900" s="32">
        <f t="shared" si="19"/>
        <v>4600</v>
      </c>
    </row>
    <row r="901" spans="2:8">
      <c r="B901" s="28">
        <v>10291</v>
      </c>
      <c r="C901" s="34" t="s">
        <v>273</v>
      </c>
      <c r="D901" s="34" t="s">
        <v>119</v>
      </c>
      <c r="E901" s="34" t="s">
        <v>93</v>
      </c>
      <c r="F901" s="35">
        <v>47</v>
      </c>
      <c r="G901" s="37">
        <v>100</v>
      </c>
      <c r="H901" s="32">
        <f t="shared" ref="H901:H964" si="20">F901*G901</f>
        <v>4700</v>
      </c>
    </row>
    <row r="902" spans="2:8">
      <c r="B902" s="28">
        <v>10304</v>
      </c>
      <c r="C902" s="34" t="s">
        <v>109</v>
      </c>
      <c r="D902" s="34" t="s">
        <v>119</v>
      </c>
      <c r="E902" s="34" t="s">
        <v>93</v>
      </c>
      <c r="F902" s="35">
        <v>46</v>
      </c>
      <c r="G902" s="37">
        <v>100</v>
      </c>
      <c r="H902" s="32">
        <f t="shared" si="20"/>
        <v>4600</v>
      </c>
    </row>
    <row r="903" spans="2:8">
      <c r="B903" s="28">
        <v>10312</v>
      </c>
      <c r="C903" s="34" t="s">
        <v>100</v>
      </c>
      <c r="D903" s="34" t="s">
        <v>119</v>
      </c>
      <c r="E903" s="34" t="s">
        <v>93</v>
      </c>
      <c r="F903" s="35">
        <v>37</v>
      </c>
      <c r="G903" s="37">
        <v>100</v>
      </c>
      <c r="H903" s="32">
        <f t="shared" si="20"/>
        <v>3700</v>
      </c>
    </row>
    <row r="904" spans="2:8">
      <c r="B904" s="28">
        <v>10322</v>
      </c>
      <c r="C904" s="34" t="s">
        <v>100</v>
      </c>
      <c r="D904" s="34" t="s">
        <v>119</v>
      </c>
      <c r="E904" s="34" t="s">
        <v>93</v>
      </c>
      <c r="F904" s="35">
        <v>33</v>
      </c>
      <c r="G904" s="37">
        <v>100</v>
      </c>
      <c r="H904" s="32">
        <f t="shared" si="20"/>
        <v>3300</v>
      </c>
    </row>
    <row r="905" spans="2:8">
      <c r="B905" s="28">
        <v>10333</v>
      </c>
      <c r="C905" s="34" t="s">
        <v>100</v>
      </c>
      <c r="D905" s="34" t="s">
        <v>104</v>
      </c>
      <c r="E905" s="34" t="s">
        <v>93</v>
      </c>
      <c r="F905" s="35">
        <v>31</v>
      </c>
      <c r="G905" s="37">
        <v>90.17</v>
      </c>
      <c r="H905" s="32">
        <f t="shared" si="20"/>
        <v>2795.27</v>
      </c>
    </row>
    <row r="906" spans="2:8">
      <c r="B906" s="28">
        <v>10347</v>
      </c>
      <c r="C906" s="34" t="s">
        <v>168</v>
      </c>
      <c r="D906" s="34" t="s">
        <v>119</v>
      </c>
      <c r="E906" s="34" t="s">
        <v>93</v>
      </c>
      <c r="F906" s="35">
        <v>48</v>
      </c>
      <c r="G906" s="37">
        <v>100</v>
      </c>
      <c r="H906" s="32">
        <f t="shared" si="20"/>
        <v>4800</v>
      </c>
    </row>
    <row r="907" spans="2:8">
      <c r="B907" s="28">
        <v>10357</v>
      </c>
      <c r="C907" s="34" t="s">
        <v>100</v>
      </c>
      <c r="D907" s="34" t="s">
        <v>119</v>
      </c>
      <c r="E907" s="34" t="s">
        <v>93</v>
      </c>
      <c r="F907" s="35">
        <v>41</v>
      </c>
      <c r="G907" s="37">
        <v>87.13</v>
      </c>
      <c r="H907" s="32">
        <f t="shared" si="20"/>
        <v>3572.33</v>
      </c>
    </row>
    <row r="908" spans="2:8">
      <c r="B908" s="28">
        <v>10369</v>
      </c>
      <c r="C908" s="34" t="s">
        <v>100</v>
      </c>
      <c r="D908" s="34" t="s">
        <v>119</v>
      </c>
      <c r="E908" s="34" t="s">
        <v>93</v>
      </c>
      <c r="F908" s="35">
        <v>42</v>
      </c>
      <c r="G908" s="37">
        <v>100</v>
      </c>
      <c r="H908" s="32">
        <f t="shared" si="20"/>
        <v>4200</v>
      </c>
    </row>
    <row r="909" spans="2:8">
      <c r="B909" s="28">
        <v>10381</v>
      </c>
      <c r="C909" s="34" t="s">
        <v>100</v>
      </c>
      <c r="D909" s="34" t="s">
        <v>119</v>
      </c>
      <c r="E909" s="34" t="s">
        <v>93</v>
      </c>
      <c r="F909" s="35">
        <v>41</v>
      </c>
      <c r="G909" s="37">
        <v>100</v>
      </c>
      <c r="H909" s="32">
        <f t="shared" si="20"/>
        <v>4100</v>
      </c>
    </row>
    <row r="910" spans="2:8">
      <c r="B910" s="28">
        <v>10391</v>
      </c>
      <c r="C910" s="34" t="s">
        <v>168</v>
      </c>
      <c r="D910" s="34" t="s">
        <v>104</v>
      </c>
      <c r="E910" s="34" t="s">
        <v>93</v>
      </c>
      <c r="F910" s="35">
        <v>32</v>
      </c>
      <c r="G910" s="37">
        <v>45.25</v>
      </c>
      <c r="H910" s="32">
        <f t="shared" si="20"/>
        <v>1448</v>
      </c>
    </row>
    <row r="911" spans="2:8">
      <c r="B911" s="28">
        <v>10423</v>
      </c>
      <c r="C911" s="34" t="s">
        <v>480</v>
      </c>
      <c r="D911" s="34" t="s">
        <v>104</v>
      </c>
      <c r="E911" s="34" t="s">
        <v>400</v>
      </c>
      <c r="F911" s="35">
        <v>10</v>
      </c>
      <c r="G911" s="37">
        <v>88.14</v>
      </c>
      <c r="H911" s="32">
        <f t="shared" si="20"/>
        <v>881.4</v>
      </c>
    </row>
    <row r="912" spans="2:8">
      <c r="B912" s="28">
        <v>10103</v>
      </c>
      <c r="C912" s="34" t="s">
        <v>149</v>
      </c>
      <c r="D912" s="34" t="s">
        <v>104</v>
      </c>
      <c r="E912" s="34" t="s">
        <v>93</v>
      </c>
      <c r="F912" s="35">
        <v>35</v>
      </c>
      <c r="G912" s="37">
        <v>57.46</v>
      </c>
      <c r="H912" s="32">
        <f t="shared" si="20"/>
        <v>2011.1000000000001</v>
      </c>
    </row>
    <row r="913" spans="2:8">
      <c r="B913" s="28">
        <v>10111</v>
      </c>
      <c r="C913" s="34" t="s">
        <v>100</v>
      </c>
      <c r="D913" s="34" t="s">
        <v>104</v>
      </c>
      <c r="E913" s="34" t="s">
        <v>93</v>
      </c>
      <c r="F913" s="35">
        <v>28</v>
      </c>
      <c r="G913" s="37">
        <v>64.33</v>
      </c>
      <c r="H913" s="32">
        <f t="shared" si="20"/>
        <v>1801.24</v>
      </c>
    </row>
    <row r="914" spans="2:8">
      <c r="B914" s="28">
        <v>10126</v>
      </c>
      <c r="C914" s="34" t="s">
        <v>261</v>
      </c>
      <c r="D914" s="34" t="s">
        <v>119</v>
      </c>
      <c r="E914" s="34" t="s">
        <v>93</v>
      </c>
      <c r="F914" s="35">
        <v>46</v>
      </c>
      <c r="G914" s="37">
        <v>73.7</v>
      </c>
      <c r="H914" s="32">
        <f t="shared" si="20"/>
        <v>3390.2000000000003</v>
      </c>
    </row>
    <row r="915" spans="2:8">
      <c r="B915" s="28">
        <v>10139</v>
      </c>
      <c r="C915" s="34" t="s">
        <v>168</v>
      </c>
      <c r="D915" s="34" t="s">
        <v>104</v>
      </c>
      <c r="E915" s="34" t="s">
        <v>93</v>
      </c>
      <c r="F915" s="35">
        <v>20</v>
      </c>
      <c r="G915" s="37">
        <v>71.2</v>
      </c>
      <c r="H915" s="32">
        <f t="shared" si="20"/>
        <v>1424</v>
      </c>
    </row>
    <row r="916" spans="2:8">
      <c r="B916" s="28">
        <v>10150</v>
      </c>
      <c r="C916" s="34" t="s">
        <v>287</v>
      </c>
      <c r="D916" s="34" t="s">
        <v>104</v>
      </c>
      <c r="E916" s="34" t="s">
        <v>93</v>
      </c>
      <c r="F916" s="35">
        <v>30</v>
      </c>
      <c r="G916" s="37">
        <v>49.97</v>
      </c>
      <c r="H916" s="32">
        <f t="shared" si="20"/>
        <v>1499.1</v>
      </c>
    </row>
    <row r="917" spans="2:8">
      <c r="B917" s="28">
        <v>10163</v>
      </c>
      <c r="C917" s="34" t="s">
        <v>100</v>
      </c>
      <c r="D917" s="34" t="s">
        <v>119</v>
      </c>
      <c r="E917" s="34" t="s">
        <v>93</v>
      </c>
      <c r="F917" s="35">
        <v>48</v>
      </c>
      <c r="G917" s="37">
        <v>69.959999999999994</v>
      </c>
      <c r="H917" s="32">
        <f t="shared" si="20"/>
        <v>3358.08</v>
      </c>
    </row>
    <row r="918" spans="2:8">
      <c r="B918" s="28">
        <v>10173</v>
      </c>
      <c r="C918" s="34" t="s">
        <v>352</v>
      </c>
      <c r="D918" s="34" t="s">
        <v>104</v>
      </c>
      <c r="E918" s="34" t="s">
        <v>93</v>
      </c>
      <c r="F918" s="35">
        <v>28</v>
      </c>
      <c r="G918" s="37">
        <v>53.72</v>
      </c>
      <c r="H918" s="32">
        <f t="shared" si="20"/>
        <v>1504.1599999999999</v>
      </c>
    </row>
    <row r="919" spans="2:8">
      <c r="B919" s="28">
        <v>10183</v>
      </c>
      <c r="C919" s="34" t="s">
        <v>100</v>
      </c>
      <c r="D919" s="34" t="s">
        <v>104</v>
      </c>
      <c r="E919" s="34" t="s">
        <v>93</v>
      </c>
      <c r="F919" s="35">
        <v>39</v>
      </c>
      <c r="G919" s="37">
        <v>68.08</v>
      </c>
      <c r="H919" s="32">
        <f t="shared" si="20"/>
        <v>2655.12</v>
      </c>
    </row>
    <row r="920" spans="2:8">
      <c r="B920" s="28">
        <v>10193</v>
      </c>
      <c r="C920" s="34" t="s">
        <v>168</v>
      </c>
      <c r="D920" s="34" t="s">
        <v>104</v>
      </c>
      <c r="E920" s="34" t="s">
        <v>93</v>
      </c>
      <c r="F920" s="35">
        <v>24</v>
      </c>
      <c r="G920" s="37">
        <v>51.84</v>
      </c>
      <c r="H920" s="32">
        <f t="shared" si="20"/>
        <v>1244.1600000000001</v>
      </c>
    </row>
    <row r="921" spans="2:8">
      <c r="B921" s="28">
        <v>10206</v>
      </c>
      <c r="C921" s="34" t="s">
        <v>322</v>
      </c>
      <c r="D921" s="34" t="s">
        <v>104</v>
      </c>
      <c r="E921" s="34" t="s">
        <v>93</v>
      </c>
      <c r="F921" s="35">
        <v>28</v>
      </c>
      <c r="G921" s="37">
        <v>67.459999999999994</v>
      </c>
      <c r="H921" s="32">
        <f t="shared" si="20"/>
        <v>1888.8799999999999</v>
      </c>
    </row>
    <row r="922" spans="2:8">
      <c r="B922" s="28">
        <v>10215</v>
      </c>
      <c r="C922" s="34" t="s">
        <v>100</v>
      </c>
      <c r="D922" s="34" t="s">
        <v>104</v>
      </c>
      <c r="E922" s="34" t="s">
        <v>93</v>
      </c>
      <c r="F922" s="35">
        <v>31</v>
      </c>
      <c r="G922" s="37">
        <v>58.71</v>
      </c>
      <c r="H922" s="32">
        <f t="shared" si="20"/>
        <v>1820.01</v>
      </c>
    </row>
    <row r="923" spans="2:8">
      <c r="B923" s="28">
        <v>10228</v>
      </c>
      <c r="C923" s="34" t="s">
        <v>100</v>
      </c>
      <c r="D923" s="34" t="s">
        <v>104</v>
      </c>
      <c r="E923" s="34" t="s">
        <v>93</v>
      </c>
      <c r="F923" s="35">
        <v>45</v>
      </c>
      <c r="G923" s="37">
        <v>63.71</v>
      </c>
      <c r="H923" s="32">
        <f t="shared" si="20"/>
        <v>2866.95</v>
      </c>
    </row>
    <row r="924" spans="2:8">
      <c r="B924" s="28">
        <v>10244</v>
      </c>
      <c r="C924" s="34" t="s">
        <v>261</v>
      </c>
      <c r="D924" s="34" t="s">
        <v>104</v>
      </c>
      <c r="E924" s="34" t="s">
        <v>93</v>
      </c>
      <c r="F924" s="35">
        <v>24</v>
      </c>
      <c r="G924" s="37">
        <v>58.09</v>
      </c>
      <c r="H924" s="32">
        <f t="shared" si="20"/>
        <v>1394.16</v>
      </c>
    </row>
    <row r="925" spans="2:8">
      <c r="B925" s="28">
        <v>10257</v>
      </c>
      <c r="C925" s="34" t="s">
        <v>100</v>
      </c>
      <c r="D925" s="34" t="s">
        <v>104</v>
      </c>
      <c r="E925" s="34" t="s">
        <v>93</v>
      </c>
      <c r="F925" s="35">
        <v>49</v>
      </c>
      <c r="G925" s="37">
        <v>53.72</v>
      </c>
      <c r="H925" s="32">
        <f t="shared" si="20"/>
        <v>2632.2799999999997</v>
      </c>
    </row>
    <row r="926" spans="2:8">
      <c r="B926" s="28">
        <v>10269</v>
      </c>
      <c r="C926" s="34" t="s">
        <v>229</v>
      </c>
      <c r="D926" s="34" t="s">
        <v>104</v>
      </c>
      <c r="E926" s="34" t="s">
        <v>93</v>
      </c>
      <c r="F926" s="35">
        <v>32</v>
      </c>
      <c r="G926" s="37">
        <v>63.08</v>
      </c>
      <c r="H926" s="32">
        <f t="shared" si="20"/>
        <v>2018.56</v>
      </c>
    </row>
    <row r="927" spans="2:8">
      <c r="B927" s="28">
        <v>10280</v>
      </c>
      <c r="C927" s="34" t="s">
        <v>352</v>
      </c>
      <c r="D927" s="34" t="s">
        <v>104</v>
      </c>
      <c r="E927" s="34" t="s">
        <v>93</v>
      </c>
      <c r="F927" s="35">
        <v>43</v>
      </c>
      <c r="G927" s="37">
        <v>68.709999999999994</v>
      </c>
      <c r="H927" s="32">
        <f t="shared" si="20"/>
        <v>2954.5299999999997</v>
      </c>
    </row>
    <row r="928" spans="2:8">
      <c r="B928" s="28">
        <v>10291</v>
      </c>
      <c r="C928" s="34" t="s">
        <v>273</v>
      </c>
      <c r="D928" s="34" t="s">
        <v>104</v>
      </c>
      <c r="E928" s="34" t="s">
        <v>93</v>
      </c>
      <c r="F928" s="35">
        <v>37</v>
      </c>
      <c r="G928" s="37">
        <v>50.59</v>
      </c>
      <c r="H928" s="32">
        <f t="shared" si="20"/>
        <v>1871.8300000000002</v>
      </c>
    </row>
    <row r="929" spans="2:8">
      <c r="B929" s="28">
        <v>10304</v>
      </c>
      <c r="C929" s="34" t="s">
        <v>109</v>
      </c>
      <c r="D929" s="34" t="s">
        <v>104</v>
      </c>
      <c r="E929" s="34" t="s">
        <v>93</v>
      </c>
      <c r="F929" s="35">
        <v>24</v>
      </c>
      <c r="G929" s="37">
        <v>64.959999999999994</v>
      </c>
      <c r="H929" s="32">
        <f t="shared" si="20"/>
        <v>1559.04</v>
      </c>
    </row>
    <row r="930" spans="2:8">
      <c r="B930" s="28">
        <v>10312</v>
      </c>
      <c r="C930" s="34" t="s">
        <v>100</v>
      </c>
      <c r="D930" s="34" t="s">
        <v>104</v>
      </c>
      <c r="E930" s="34" t="s">
        <v>93</v>
      </c>
      <c r="F930" s="35">
        <v>35</v>
      </c>
      <c r="G930" s="37">
        <v>53.72</v>
      </c>
      <c r="H930" s="32">
        <f t="shared" si="20"/>
        <v>1880.2</v>
      </c>
    </row>
    <row r="931" spans="2:8">
      <c r="B931" s="28">
        <v>10322</v>
      </c>
      <c r="C931" s="34" t="s">
        <v>100</v>
      </c>
      <c r="D931" s="34" t="s">
        <v>104</v>
      </c>
      <c r="E931" s="34" t="s">
        <v>93</v>
      </c>
      <c r="F931" s="35">
        <v>41</v>
      </c>
      <c r="G931" s="37">
        <v>29.87</v>
      </c>
      <c r="H931" s="32">
        <f t="shared" si="20"/>
        <v>1224.67</v>
      </c>
    </row>
    <row r="932" spans="2:8">
      <c r="B932" s="28">
        <v>10332</v>
      </c>
      <c r="C932" s="34" t="s">
        <v>252</v>
      </c>
      <c r="D932" s="34" t="s">
        <v>104</v>
      </c>
      <c r="E932" s="34" t="s">
        <v>93</v>
      </c>
      <c r="F932" s="35">
        <v>26</v>
      </c>
      <c r="G932" s="37">
        <v>100</v>
      </c>
      <c r="H932" s="32">
        <f t="shared" si="20"/>
        <v>2600</v>
      </c>
    </row>
    <row r="933" spans="2:8">
      <c r="B933" s="28">
        <v>10347</v>
      </c>
      <c r="C933" s="34" t="s">
        <v>168</v>
      </c>
      <c r="D933" s="34" t="s">
        <v>104</v>
      </c>
      <c r="E933" s="34" t="s">
        <v>93</v>
      </c>
      <c r="F933" s="35">
        <v>34</v>
      </c>
      <c r="G933" s="37">
        <v>64.959999999999994</v>
      </c>
      <c r="H933" s="32">
        <f t="shared" si="20"/>
        <v>2208.64</v>
      </c>
    </row>
    <row r="934" spans="2:8">
      <c r="B934" s="28">
        <v>10357</v>
      </c>
      <c r="C934" s="34" t="s">
        <v>100</v>
      </c>
      <c r="D934" s="34" t="s">
        <v>119</v>
      </c>
      <c r="E934" s="34" t="s">
        <v>93</v>
      </c>
      <c r="F934" s="35">
        <v>49</v>
      </c>
      <c r="G934" s="37">
        <v>70.58</v>
      </c>
      <c r="H934" s="32">
        <f t="shared" si="20"/>
        <v>3458.42</v>
      </c>
    </row>
    <row r="935" spans="2:8">
      <c r="B935" s="28">
        <v>10369</v>
      </c>
      <c r="C935" s="34" t="s">
        <v>100</v>
      </c>
      <c r="D935" s="34" t="s">
        <v>104</v>
      </c>
      <c r="E935" s="34" t="s">
        <v>93</v>
      </c>
      <c r="F935" s="35">
        <v>28</v>
      </c>
      <c r="G935" s="37">
        <v>44.21</v>
      </c>
      <c r="H935" s="32">
        <f t="shared" si="20"/>
        <v>1237.8800000000001</v>
      </c>
    </row>
    <row r="936" spans="2:8">
      <c r="B936" s="28">
        <v>10381</v>
      </c>
      <c r="C936" s="34" t="s">
        <v>100</v>
      </c>
      <c r="D936" s="34" t="s">
        <v>104</v>
      </c>
      <c r="E936" s="34" t="s">
        <v>93</v>
      </c>
      <c r="F936" s="35">
        <v>40</v>
      </c>
      <c r="G936" s="37">
        <v>68.08</v>
      </c>
      <c r="H936" s="32">
        <f t="shared" si="20"/>
        <v>2723.2</v>
      </c>
    </row>
    <row r="937" spans="2:8">
      <c r="B937" s="28">
        <v>10392</v>
      </c>
      <c r="C937" s="34" t="s">
        <v>229</v>
      </c>
      <c r="D937" s="34" t="s">
        <v>104</v>
      </c>
      <c r="E937" s="34" t="s">
        <v>93</v>
      </c>
      <c r="F937" s="35">
        <v>37</v>
      </c>
      <c r="G937" s="37">
        <v>59.96</v>
      </c>
      <c r="H937" s="32">
        <f t="shared" si="20"/>
        <v>2218.52</v>
      </c>
    </row>
    <row r="938" spans="2:8">
      <c r="B938" s="28">
        <v>10423</v>
      </c>
      <c r="C938" s="34" t="s">
        <v>480</v>
      </c>
      <c r="D938" s="34" t="s">
        <v>104</v>
      </c>
      <c r="E938" s="34" t="s">
        <v>400</v>
      </c>
      <c r="F938" s="35">
        <v>31</v>
      </c>
      <c r="G938" s="37">
        <v>53.72</v>
      </c>
      <c r="H938" s="32">
        <f t="shared" si="20"/>
        <v>1665.32</v>
      </c>
    </row>
    <row r="939" spans="2:8">
      <c r="B939" s="28">
        <v>10106</v>
      </c>
      <c r="C939" s="34" t="s">
        <v>352</v>
      </c>
      <c r="D939" s="34" t="s">
        <v>119</v>
      </c>
      <c r="E939" s="34" t="s">
        <v>93</v>
      </c>
      <c r="F939" s="35">
        <v>41</v>
      </c>
      <c r="G939" s="37">
        <v>83.44</v>
      </c>
      <c r="H939" s="32">
        <f t="shared" si="20"/>
        <v>3421.04</v>
      </c>
    </row>
    <row r="940" spans="2:8">
      <c r="B940" s="28">
        <v>10119</v>
      </c>
      <c r="C940" s="34" t="s">
        <v>229</v>
      </c>
      <c r="D940" s="34" t="s">
        <v>104</v>
      </c>
      <c r="E940" s="34" t="s">
        <v>93</v>
      </c>
      <c r="F940" s="35">
        <v>21</v>
      </c>
      <c r="G940" s="37">
        <v>89.46</v>
      </c>
      <c r="H940" s="32">
        <f t="shared" si="20"/>
        <v>1878.6599999999999</v>
      </c>
    </row>
    <row r="941" spans="2:8">
      <c r="B941" s="28">
        <v>10130</v>
      </c>
      <c r="C941" s="34" t="s">
        <v>100</v>
      </c>
      <c r="D941" s="34" t="s">
        <v>119</v>
      </c>
      <c r="E941" s="34" t="s">
        <v>93</v>
      </c>
      <c r="F941" s="35">
        <v>40</v>
      </c>
      <c r="G941" s="37">
        <v>96.34</v>
      </c>
      <c r="H941" s="32">
        <f t="shared" si="20"/>
        <v>3853.6000000000004</v>
      </c>
    </row>
    <row r="942" spans="2:8">
      <c r="B942" s="28">
        <v>10143</v>
      </c>
      <c r="C942" s="34" t="s">
        <v>100</v>
      </c>
      <c r="D942" s="34" t="s">
        <v>119</v>
      </c>
      <c r="E942" s="34" t="s">
        <v>93</v>
      </c>
      <c r="F942" s="35">
        <v>46</v>
      </c>
      <c r="G942" s="37">
        <v>74.84</v>
      </c>
      <c r="H942" s="32">
        <f t="shared" si="20"/>
        <v>3442.6400000000003</v>
      </c>
    </row>
    <row r="943" spans="2:8">
      <c r="B943" s="28">
        <v>10155</v>
      </c>
      <c r="C943" s="34" t="s">
        <v>208</v>
      </c>
      <c r="D943" s="34" t="s">
        <v>119</v>
      </c>
      <c r="E943" s="34" t="s">
        <v>93</v>
      </c>
      <c r="F943" s="35">
        <v>44</v>
      </c>
      <c r="G943" s="37">
        <v>79.14</v>
      </c>
      <c r="H943" s="32">
        <f t="shared" si="20"/>
        <v>3482.16</v>
      </c>
    </row>
    <row r="944" spans="2:8">
      <c r="B944" s="28">
        <v>10167</v>
      </c>
      <c r="C944" s="34" t="s">
        <v>273</v>
      </c>
      <c r="D944" s="34" t="s">
        <v>119</v>
      </c>
      <c r="E944" s="34" t="s">
        <v>444</v>
      </c>
      <c r="F944" s="35">
        <v>46</v>
      </c>
      <c r="G944" s="37">
        <v>73.12</v>
      </c>
      <c r="H944" s="32">
        <f t="shared" si="20"/>
        <v>3363.5200000000004</v>
      </c>
    </row>
    <row r="945" spans="2:8">
      <c r="B945" s="28">
        <v>10178</v>
      </c>
      <c r="C945" s="34" t="s">
        <v>109</v>
      </c>
      <c r="D945" s="34" t="s">
        <v>119</v>
      </c>
      <c r="E945" s="34" t="s">
        <v>93</v>
      </c>
      <c r="F945" s="35">
        <v>41</v>
      </c>
      <c r="G945" s="37">
        <v>81.72</v>
      </c>
      <c r="H945" s="32">
        <f t="shared" si="20"/>
        <v>3350.52</v>
      </c>
    </row>
    <row r="946" spans="2:8">
      <c r="B946" s="28">
        <v>10186</v>
      </c>
      <c r="C946" s="34" t="s">
        <v>252</v>
      </c>
      <c r="D946" s="34" t="s">
        <v>104</v>
      </c>
      <c r="E946" s="34" t="s">
        <v>93</v>
      </c>
      <c r="F946" s="35">
        <v>32</v>
      </c>
      <c r="G946" s="37">
        <v>89.46</v>
      </c>
      <c r="H946" s="32">
        <f t="shared" si="20"/>
        <v>2862.72</v>
      </c>
    </row>
    <row r="947" spans="2:8">
      <c r="B947" s="28">
        <v>10197</v>
      </c>
      <c r="C947" s="34" t="s">
        <v>261</v>
      </c>
      <c r="D947" s="34" t="s">
        <v>119</v>
      </c>
      <c r="E947" s="34" t="s">
        <v>93</v>
      </c>
      <c r="F947" s="35">
        <v>46</v>
      </c>
      <c r="G947" s="37">
        <v>87.74</v>
      </c>
      <c r="H947" s="32">
        <f t="shared" si="20"/>
        <v>4036.04</v>
      </c>
    </row>
    <row r="948" spans="2:8">
      <c r="B948" s="28">
        <v>10209</v>
      </c>
      <c r="C948" s="34" t="s">
        <v>100</v>
      </c>
      <c r="D948" s="34" t="s">
        <v>104</v>
      </c>
      <c r="E948" s="34" t="s">
        <v>93</v>
      </c>
      <c r="F948" s="35">
        <v>28</v>
      </c>
      <c r="G948" s="37">
        <v>100</v>
      </c>
      <c r="H948" s="32">
        <f t="shared" si="20"/>
        <v>2800</v>
      </c>
    </row>
    <row r="949" spans="2:8">
      <c r="B949" s="28">
        <v>10222</v>
      </c>
      <c r="C949" s="34" t="s">
        <v>100</v>
      </c>
      <c r="D949" s="34" t="s">
        <v>119</v>
      </c>
      <c r="E949" s="34" t="s">
        <v>93</v>
      </c>
      <c r="F949" s="35">
        <v>49</v>
      </c>
      <c r="G949" s="37">
        <v>94.62</v>
      </c>
      <c r="H949" s="32">
        <f t="shared" si="20"/>
        <v>4636.38</v>
      </c>
    </row>
    <row r="950" spans="2:8">
      <c r="B950" s="28">
        <v>10248</v>
      </c>
      <c r="C950" s="34" t="s">
        <v>100</v>
      </c>
      <c r="D950" s="34" t="s">
        <v>104</v>
      </c>
      <c r="E950" s="34" t="s">
        <v>444</v>
      </c>
      <c r="F950" s="35">
        <v>21</v>
      </c>
      <c r="G950" s="37">
        <v>73.98</v>
      </c>
      <c r="H950" s="32">
        <f t="shared" si="20"/>
        <v>1553.5800000000002</v>
      </c>
    </row>
    <row r="951" spans="2:8">
      <c r="B951" s="28">
        <v>10262</v>
      </c>
      <c r="C951" s="34" t="s">
        <v>261</v>
      </c>
      <c r="D951" s="34" t="s">
        <v>104</v>
      </c>
      <c r="E951" s="34" t="s">
        <v>444</v>
      </c>
      <c r="F951" s="35">
        <v>32</v>
      </c>
      <c r="G951" s="37">
        <v>84.3</v>
      </c>
      <c r="H951" s="32">
        <f t="shared" si="20"/>
        <v>2697.6</v>
      </c>
    </row>
    <row r="952" spans="2:8">
      <c r="B952" s="28">
        <v>10273</v>
      </c>
      <c r="C952" s="34" t="s">
        <v>480</v>
      </c>
      <c r="D952" s="34" t="s">
        <v>119</v>
      </c>
      <c r="E952" s="34" t="s">
        <v>93</v>
      </c>
      <c r="F952" s="35">
        <v>34</v>
      </c>
      <c r="G952" s="37">
        <v>98.06</v>
      </c>
      <c r="H952" s="32">
        <f t="shared" si="20"/>
        <v>3334.04</v>
      </c>
    </row>
    <row r="953" spans="2:8">
      <c r="B953" s="28">
        <v>10283</v>
      </c>
      <c r="C953" s="34" t="s">
        <v>322</v>
      </c>
      <c r="D953" s="34" t="s">
        <v>104</v>
      </c>
      <c r="E953" s="34" t="s">
        <v>93</v>
      </c>
      <c r="F953" s="35">
        <v>21</v>
      </c>
      <c r="G953" s="37">
        <v>98.06</v>
      </c>
      <c r="H953" s="32">
        <f t="shared" si="20"/>
        <v>2059.2600000000002</v>
      </c>
    </row>
    <row r="954" spans="2:8">
      <c r="B954" s="28">
        <v>10296</v>
      </c>
      <c r="C954" s="34" t="s">
        <v>566</v>
      </c>
      <c r="D954" s="34" t="s">
        <v>104</v>
      </c>
      <c r="E954" s="34" t="s">
        <v>93</v>
      </c>
      <c r="F954" s="35">
        <v>21</v>
      </c>
      <c r="G954" s="37">
        <v>96.34</v>
      </c>
      <c r="H954" s="32">
        <f t="shared" si="20"/>
        <v>2023.14</v>
      </c>
    </row>
    <row r="955" spans="2:8">
      <c r="B955" s="28">
        <v>10307</v>
      </c>
      <c r="C955" s="34" t="s">
        <v>100</v>
      </c>
      <c r="D955" s="34" t="s">
        <v>104</v>
      </c>
      <c r="E955" s="34" t="s">
        <v>93</v>
      </c>
      <c r="F955" s="35">
        <v>31</v>
      </c>
      <c r="G955" s="37">
        <v>83.44</v>
      </c>
      <c r="H955" s="32">
        <f t="shared" si="20"/>
        <v>2586.64</v>
      </c>
    </row>
    <row r="956" spans="2:8">
      <c r="B956" s="28">
        <v>10316</v>
      </c>
      <c r="C956" s="34" t="s">
        <v>252</v>
      </c>
      <c r="D956" s="34" t="s">
        <v>104</v>
      </c>
      <c r="E956" s="34" t="s">
        <v>93</v>
      </c>
      <c r="F956" s="35">
        <v>21</v>
      </c>
      <c r="G956" s="37">
        <v>94.62</v>
      </c>
      <c r="H956" s="32">
        <f t="shared" si="20"/>
        <v>1987.02</v>
      </c>
    </row>
    <row r="957" spans="2:8">
      <c r="B957" s="28">
        <v>10327</v>
      </c>
      <c r="C957" s="34" t="s">
        <v>429</v>
      </c>
      <c r="D957" s="34" t="s">
        <v>104</v>
      </c>
      <c r="E957" s="34" t="s">
        <v>526</v>
      </c>
      <c r="F957" s="35">
        <v>25</v>
      </c>
      <c r="G957" s="37">
        <v>45.86</v>
      </c>
      <c r="H957" s="32">
        <f t="shared" si="20"/>
        <v>1146.5</v>
      </c>
    </row>
    <row r="958" spans="2:8">
      <c r="B958" s="28">
        <v>10338</v>
      </c>
      <c r="C958" s="34" t="s">
        <v>480</v>
      </c>
      <c r="D958" s="34" t="s">
        <v>104</v>
      </c>
      <c r="E958" s="34" t="s">
        <v>93</v>
      </c>
      <c r="F958" s="35">
        <v>28</v>
      </c>
      <c r="G958" s="37">
        <v>82.58</v>
      </c>
      <c r="H958" s="32">
        <f t="shared" si="20"/>
        <v>2312.2399999999998</v>
      </c>
    </row>
    <row r="959" spans="2:8">
      <c r="B959" s="28">
        <v>10350</v>
      </c>
      <c r="C959" s="34" t="s">
        <v>261</v>
      </c>
      <c r="D959" s="34" t="s">
        <v>104</v>
      </c>
      <c r="E959" s="34" t="s">
        <v>93</v>
      </c>
      <c r="F959" s="35">
        <v>43</v>
      </c>
      <c r="G959" s="37">
        <v>64.97</v>
      </c>
      <c r="H959" s="32">
        <f t="shared" si="20"/>
        <v>2793.71</v>
      </c>
    </row>
    <row r="960" spans="2:8">
      <c r="B960" s="28">
        <v>10373</v>
      </c>
      <c r="C960" s="34" t="s">
        <v>208</v>
      </c>
      <c r="D960" s="34" t="s">
        <v>104</v>
      </c>
      <c r="E960" s="34" t="s">
        <v>93</v>
      </c>
      <c r="F960" s="35">
        <v>22</v>
      </c>
      <c r="G960" s="37">
        <v>86.74</v>
      </c>
      <c r="H960" s="32">
        <f t="shared" si="20"/>
        <v>1908.28</v>
      </c>
    </row>
    <row r="961" spans="2:8">
      <c r="B961" s="28">
        <v>10386</v>
      </c>
      <c r="C961" s="34" t="s">
        <v>261</v>
      </c>
      <c r="D961" s="34" t="s">
        <v>119</v>
      </c>
      <c r="E961" s="34" t="s">
        <v>526</v>
      </c>
      <c r="F961" s="35">
        <v>37</v>
      </c>
      <c r="G961" s="37">
        <v>93.01</v>
      </c>
      <c r="H961" s="32">
        <f t="shared" si="20"/>
        <v>3441.3700000000003</v>
      </c>
    </row>
    <row r="962" spans="2:8">
      <c r="B962" s="28">
        <v>10398</v>
      </c>
      <c r="C962" s="34" t="s">
        <v>109</v>
      </c>
      <c r="D962" s="34" t="s">
        <v>104</v>
      </c>
      <c r="E962" s="34" t="s">
        <v>93</v>
      </c>
      <c r="F962" s="35">
        <v>28</v>
      </c>
      <c r="G962" s="37">
        <v>72.260000000000005</v>
      </c>
      <c r="H962" s="32">
        <f t="shared" si="20"/>
        <v>2023.2800000000002</v>
      </c>
    </row>
    <row r="963" spans="2:8">
      <c r="B963" s="28">
        <v>10400</v>
      </c>
      <c r="C963" s="34" t="s">
        <v>100</v>
      </c>
      <c r="D963" s="34" t="s">
        <v>104</v>
      </c>
      <c r="E963" s="34" t="s">
        <v>93</v>
      </c>
      <c r="F963" s="35">
        <v>30</v>
      </c>
      <c r="G963" s="37">
        <v>74.84</v>
      </c>
      <c r="H963" s="32">
        <f t="shared" si="20"/>
        <v>2245.2000000000003</v>
      </c>
    </row>
    <row r="964" spans="2:8">
      <c r="B964" s="28">
        <v>10414</v>
      </c>
      <c r="C964" s="34" t="s">
        <v>100</v>
      </c>
      <c r="D964" s="34" t="s">
        <v>119</v>
      </c>
      <c r="E964" s="34" t="s">
        <v>518</v>
      </c>
      <c r="F964" s="35">
        <v>44</v>
      </c>
      <c r="G964" s="37">
        <v>73.98</v>
      </c>
      <c r="H964" s="32">
        <f t="shared" si="20"/>
        <v>3255.1200000000003</v>
      </c>
    </row>
    <row r="965" spans="2:8">
      <c r="B965" s="28">
        <v>10103</v>
      </c>
      <c r="C965" s="34" t="s">
        <v>149</v>
      </c>
      <c r="D965" s="34" t="s">
        <v>104</v>
      </c>
      <c r="E965" s="34" t="s">
        <v>93</v>
      </c>
      <c r="F965" s="35">
        <v>25</v>
      </c>
      <c r="G965" s="37">
        <v>100</v>
      </c>
      <c r="H965" s="32">
        <f t="shared" ref="H965:H1028" si="21">F965*G965</f>
        <v>2500</v>
      </c>
    </row>
    <row r="966" spans="2:8">
      <c r="B966" s="28">
        <v>10111</v>
      </c>
      <c r="C966" s="34" t="s">
        <v>100</v>
      </c>
      <c r="D966" s="34" t="s">
        <v>119</v>
      </c>
      <c r="E966" s="34" t="s">
        <v>93</v>
      </c>
      <c r="F966" s="35">
        <v>43</v>
      </c>
      <c r="G966" s="37">
        <v>100</v>
      </c>
      <c r="H966" s="32">
        <f t="shared" si="21"/>
        <v>4300</v>
      </c>
    </row>
    <row r="967" spans="2:8">
      <c r="B967" s="28">
        <v>10126</v>
      </c>
      <c r="C967" s="34" t="s">
        <v>261</v>
      </c>
      <c r="D967" s="34" t="s">
        <v>104</v>
      </c>
      <c r="E967" s="34" t="s">
        <v>93</v>
      </c>
      <c r="F967" s="35">
        <v>30</v>
      </c>
      <c r="G967" s="37">
        <v>97.39</v>
      </c>
      <c r="H967" s="32">
        <f t="shared" si="21"/>
        <v>2921.7</v>
      </c>
    </row>
    <row r="968" spans="2:8">
      <c r="B968" s="28">
        <v>10139</v>
      </c>
      <c r="C968" s="34" t="s">
        <v>168</v>
      </c>
      <c r="D968" s="34" t="s">
        <v>104</v>
      </c>
      <c r="E968" s="34" t="s">
        <v>93</v>
      </c>
      <c r="F968" s="35">
        <v>20</v>
      </c>
      <c r="G968" s="37">
        <v>90.06</v>
      </c>
      <c r="H968" s="32">
        <f t="shared" si="21"/>
        <v>1801.2</v>
      </c>
    </row>
    <row r="969" spans="2:8">
      <c r="B969" s="28">
        <v>10150</v>
      </c>
      <c r="C969" s="34" t="s">
        <v>287</v>
      </c>
      <c r="D969" s="34" t="s">
        <v>104</v>
      </c>
      <c r="E969" s="34" t="s">
        <v>93</v>
      </c>
      <c r="F969" s="35">
        <v>26</v>
      </c>
      <c r="G969" s="37">
        <v>100</v>
      </c>
      <c r="H969" s="32">
        <f t="shared" si="21"/>
        <v>2600</v>
      </c>
    </row>
    <row r="970" spans="2:8">
      <c r="B970" s="28">
        <v>10163</v>
      </c>
      <c r="C970" s="34" t="s">
        <v>100</v>
      </c>
      <c r="D970" s="34" t="s">
        <v>119</v>
      </c>
      <c r="E970" s="34" t="s">
        <v>93</v>
      </c>
      <c r="F970" s="35">
        <v>40</v>
      </c>
      <c r="G970" s="37">
        <v>100</v>
      </c>
      <c r="H970" s="32">
        <f t="shared" si="21"/>
        <v>4000</v>
      </c>
    </row>
    <row r="971" spans="2:8">
      <c r="B971" s="28">
        <v>10173</v>
      </c>
      <c r="C971" s="34" t="s">
        <v>352</v>
      </c>
      <c r="D971" s="34" t="s">
        <v>104</v>
      </c>
      <c r="E971" s="34" t="s">
        <v>93</v>
      </c>
      <c r="F971" s="35">
        <v>31</v>
      </c>
      <c r="G971" s="37">
        <v>89.01</v>
      </c>
      <c r="H971" s="32">
        <f t="shared" si="21"/>
        <v>2759.31</v>
      </c>
    </row>
    <row r="972" spans="2:8">
      <c r="B972" s="28">
        <v>10183</v>
      </c>
      <c r="C972" s="34" t="s">
        <v>100</v>
      </c>
      <c r="D972" s="34" t="s">
        <v>104</v>
      </c>
      <c r="E972" s="34" t="s">
        <v>93</v>
      </c>
      <c r="F972" s="35">
        <v>22</v>
      </c>
      <c r="G972" s="37">
        <v>100</v>
      </c>
      <c r="H972" s="32">
        <f t="shared" si="21"/>
        <v>2200</v>
      </c>
    </row>
    <row r="973" spans="2:8">
      <c r="B973" s="28">
        <v>10193</v>
      </c>
      <c r="C973" s="34" t="s">
        <v>168</v>
      </c>
      <c r="D973" s="34" t="s">
        <v>104</v>
      </c>
      <c r="E973" s="34" t="s">
        <v>93</v>
      </c>
      <c r="F973" s="35">
        <v>23</v>
      </c>
      <c r="G973" s="37">
        <v>100</v>
      </c>
      <c r="H973" s="32">
        <f t="shared" si="21"/>
        <v>2300</v>
      </c>
    </row>
    <row r="974" spans="2:8">
      <c r="B974" s="28">
        <v>10206</v>
      </c>
      <c r="C974" s="34" t="s">
        <v>322</v>
      </c>
      <c r="D974" s="34" t="s">
        <v>119</v>
      </c>
      <c r="E974" s="34" t="s">
        <v>93</v>
      </c>
      <c r="F974" s="35">
        <v>30</v>
      </c>
      <c r="G974" s="37">
        <v>100</v>
      </c>
      <c r="H974" s="32">
        <f t="shared" si="21"/>
        <v>3000</v>
      </c>
    </row>
    <row r="975" spans="2:8">
      <c r="B975" s="28">
        <v>10215</v>
      </c>
      <c r="C975" s="34" t="s">
        <v>100</v>
      </c>
      <c r="D975" s="34" t="s">
        <v>119</v>
      </c>
      <c r="E975" s="34" t="s">
        <v>93</v>
      </c>
      <c r="F975" s="35">
        <v>49</v>
      </c>
      <c r="G975" s="37">
        <v>100</v>
      </c>
      <c r="H975" s="32">
        <f t="shared" si="21"/>
        <v>4900</v>
      </c>
    </row>
    <row r="976" spans="2:8">
      <c r="B976" s="28">
        <v>10228</v>
      </c>
      <c r="C976" s="34" t="s">
        <v>100</v>
      </c>
      <c r="D976" s="34" t="s">
        <v>119</v>
      </c>
      <c r="E976" s="34" t="s">
        <v>93</v>
      </c>
      <c r="F976" s="35">
        <v>31</v>
      </c>
      <c r="G976" s="37">
        <v>100</v>
      </c>
      <c r="H976" s="32">
        <f t="shared" si="21"/>
        <v>3100</v>
      </c>
    </row>
    <row r="977" spans="2:8">
      <c r="B977" s="28">
        <v>10244</v>
      </c>
      <c r="C977" s="34" t="s">
        <v>261</v>
      </c>
      <c r="D977" s="34" t="s">
        <v>119</v>
      </c>
      <c r="E977" s="34" t="s">
        <v>93</v>
      </c>
      <c r="F977" s="35">
        <v>29</v>
      </c>
      <c r="G977" s="37">
        <v>100</v>
      </c>
      <c r="H977" s="32">
        <f t="shared" si="21"/>
        <v>2900</v>
      </c>
    </row>
    <row r="978" spans="2:8">
      <c r="B978" s="28">
        <v>10257</v>
      </c>
      <c r="C978" s="34" t="s">
        <v>100</v>
      </c>
      <c r="D978" s="34" t="s">
        <v>119</v>
      </c>
      <c r="E978" s="34" t="s">
        <v>93</v>
      </c>
      <c r="F978" s="35">
        <v>37</v>
      </c>
      <c r="G978" s="37">
        <v>84.82</v>
      </c>
      <c r="H978" s="32">
        <f t="shared" si="21"/>
        <v>3138.3399999999997</v>
      </c>
    </row>
    <row r="979" spans="2:8">
      <c r="B979" s="28">
        <v>10270</v>
      </c>
      <c r="C979" s="34" t="s">
        <v>168</v>
      </c>
      <c r="D979" s="34" t="s">
        <v>119</v>
      </c>
      <c r="E979" s="34" t="s">
        <v>93</v>
      </c>
      <c r="F979" s="35">
        <v>38</v>
      </c>
      <c r="G979" s="37">
        <v>100</v>
      </c>
      <c r="H979" s="32">
        <f t="shared" si="21"/>
        <v>3800</v>
      </c>
    </row>
    <row r="980" spans="2:8">
      <c r="B980" s="28">
        <v>10280</v>
      </c>
      <c r="C980" s="34" t="s">
        <v>352</v>
      </c>
      <c r="D980" s="34" t="s">
        <v>119</v>
      </c>
      <c r="E980" s="34" t="s">
        <v>93</v>
      </c>
      <c r="F980" s="35">
        <v>29</v>
      </c>
      <c r="G980" s="37">
        <v>100</v>
      </c>
      <c r="H980" s="32">
        <f t="shared" si="21"/>
        <v>2900</v>
      </c>
    </row>
    <row r="981" spans="2:8">
      <c r="B981" s="28">
        <v>10291</v>
      </c>
      <c r="C981" s="34" t="s">
        <v>273</v>
      </c>
      <c r="D981" s="34" t="s">
        <v>104</v>
      </c>
      <c r="E981" s="34" t="s">
        <v>93</v>
      </c>
      <c r="F981" s="35">
        <v>23</v>
      </c>
      <c r="G981" s="37">
        <v>100</v>
      </c>
      <c r="H981" s="32">
        <f t="shared" si="21"/>
        <v>2300</v>
      </c>
    </row>
    <row r="982" spans="2:8">
      <c r="B982" s="28">
        <v>10304</v>
      </c>
      <c r="C982" s="34" t="s">
        <v>109</v>
      </c>
      <c r="D982" s="34" t="s">
        <v>104</v>
      </c>
      <c r="E982" s="34" t="s">
        <v>93</v>
      </c>
      <c r="F982" s="35">
        <v>26</v>
      </c>
      <c r="G982" s="37">
        <v>85.87</v>
      </c>
      <c r="H982" s="32">
        <f t="shared" si="21"/>
        <v>2232.62</v>
      </c>
    </row>
    <row r="983" spans="2:8">
      <c r="B983" s="28">
        <v>10312</v>
      </c>
      <c r="C983" s="34" t="s">
        <v>100</v>
      </c>
      <c r="D983" s="34" t="s">
        <v>119</v>
      </c>
      <c r="E983" s="34" t="s">
        <v>93</v>
      </c>
      <c r="F983" s="35">
        <v>38</v>
      </c>
      <c r="G983" s="37">
        <v>100</v>
      </c>
      <c r="H983" s="32">
        <f t="shared" si="21"/>
        <v>3800</v>
      </c>
    </row>
    <row r="984" spans="2:8">
      <c r="B984" s="28">
        <v>10322</v>
      </c>
      <c r="C984" s="34" t="s">
        <v>100</v>
      </c>
      <c r="D984" s="34" t="s">
        <v>104</v>
      </c>
      <c r="E984" s="34" t="s">
        <v>93</v>
      </c>
      <c r="F984" s="35">
        <v>48</v>
      </c>
      <c r="G984" s="37">
        <v>47.04</v>
      </c>
      <c r="H984" s="32">
        <f t="shared" si="21"/>
        <v>2257.92</v>
      </c>
    </row>
    <row r="985" spans="2:8">
      <c r="B985" s="28">
        <v>10332</v>
      </c>
      <c r="C985" s="34" t="s">
        <v>252</v>
      </c>
      <c r="D985" s="34" t="s">
        <v>104</v>
      </c>
      <c r="E985" s="34" t="s">
        <v>93</v>
      </c>
      <c r="F985" s="35">
        <v>40</v>
      </c>
      <c r="G985" s="37">
        <v>39.799999999999997</v>
      </c>
      <c r="H985" s="32">
        <f t="shared" si="21"/>
        <v>1592</v>
      </c>
    </row>
    <row r="986" spans="2:8">
      <c r="B986" s="28">
        <v>10347</v>
      </c>
      <c r="C986" s="34" t="s">
        <v>168</v>
      </c>
      <c r="D986" s="34" t="s">
        <v>119</v>
      </c>
      <c r="E986" s="34" t="s">
        <v>93</v>
      </c>
      <c r="F986" s="35">
        <v>45</v>
      </c>
      <c r="G986" s="37">
        <v>100</v>
      </c>
      <c r="H986" s="32">
        <f t="shared" si="21"/>
        <v>4500</v>
      </c>
    </row>
    <row r="987" spans="2:8">
      <c r="B987" s="28">
        <v>10357</v>
      </c>
      <c r="C987" s="34" t="s">
        <v>100</v>
      </c>
      <c r="D987" s="34" t="s">
        <v>119</v>
      </c>
      <c r="E987" s="34" t="s">
        <v>93</v>
      </c>
      <c r="F987" s="35">
        <v>44</v>
      </c>
      <c r="G987" s="37">
        <v>100</v>
      </c>
      <c r="H987" s="32">
        <f t="shared" si="21"/>
        <v>4400</v>
      </c>
    </row>
    <row r="988" spans="2:8">
      <c r="B988" s="28">
        <v>10369</v>
      </c>
      <c r="C988" s="34" t="s">
        <v>100</v>
      </c>
      <c r="D988" s="34" t="s">
        <v>104</v>
      </c>
      <c r="E988" s="34" t="s">
        <v>93</v>
      </c>
      <c r="F988" s="35">
        <v>21</v>
      </c>
      <c r="G988" s="37">
        <v>94.22</v>
      </c>
      <c r="H988" s="32">
        <f t="shared" si="21"/>
        <v>1978.62</v>
      </c>
    </row>
    <row r="989" spans="2:8">
      <c r="B989" s="28">
        <v>10381</v>
      </c>
      <c r="C989" s="34" t="s">
        <v>100</v>
      </c>
      <c r="D989" s="34" t="s">
        <v>119</v>
      </c>
      <c r="E989" s="34" t="s">
        <v>93</v>
      </c>
      <c r="F989" s="35">
        <v>35</v>
      </c>
      <c r="G989" s="37">
        <v>100</v>
      </c>
      <c r="H989" s="32">
        <f t="shared" si="21"/>
        <v>3500</v>
      </c>
    </row>
    <row r="990" spans="2:8">
      <c r="B990" s="28">
        <v>10392</v>
      </c>
      <c r="C990" s="34" t="s">
        <v>229</v>
      </c>
      <c r="D990" s="34" t="s">
        <v>104</v>
      </c>
      <c r="E990" s="34" t="s">
        <v>93</v>
      </c>
      <c r="F990" s="35">
        <v>29</v>
      </c>
      <c r="G990" s="37">
        <v>86.92</v>
      </c>
      <c r="H990" s="32">
        <f t="shared" si="21"/>
        <v>2520.6799999999998</v>
      </c>
    </row>
    <row r="991" spans="2:8">
      <c r="B991" s="28">
        <v>10423</v>
      </c>
      <c r="C991" s="34" t="s">
        <v>480</v>
      </c>
      <c r="D991" s="34" t="s">
        <v>104</v>
      </c>
      <c r="E991" s="34" t="s">
        <v>400</v>
      </c>
      <c r="F991" s="35">
        <v>21</v>
      </c>
      <c r="G991" s="37">
        <v>84.82</v>
      </c>
      <c r="H991" s="32">
        <f t="shared" si="21"/>
        <v>1781.2199999999998</v>
      </c>
    </row>
    <row r="992" spans="2:8">
      <c r="B992" s="28">
        <v>10105</v>
      </c>
      <c r="C992" s="34" t="s">
        <v>429</v>
      </c>
      <c r="D992" s="34" t="s">
        <v>119</v>
      </c>
      <c r="E992" s="34" t="s">
        <v>93</v>
      </c>
      <c r="F992" s="35">
        <v>22</v>
      </c>
      <c r="G992" s="37">
        <v>100</v>
      </c>
      <c r="H992" s="32">
        <f t="shared" si="21"/>
        <v>2200</v>
      </c>
    </row>
    <row r="993" spans="2:8">
      <c r="B993" s="28">
        <v>10117</v>
      </c>
      <c r="C993" s="34" t="s">
        <v>287</v>
      </c>
      <c r="D993" s="34" t="s">
        <v>119</v>
      </c>
      <c r="E993" s="34" t="s">
        <v>93</v>
      </c>
      <c r="F993" s="35">
        <v>26</v>
      </c>
      <c r="G993" s="37">
        <v>100</v>
      </c>
      <c r="H993" s="32">
        <f t="shared" si="21"/>
        <v>2600</v>
      </c>
    </row>
    <row r="994" spans="2:8">
      <c r="B994" s="28">
        <v>10128</v>
      </c>
      <c r="C994" s="34" t="s">
        <v>261</v>
      </c>
      <c r="D994" s="34" t="s">
        <v>119</v>
      </c>
      <c r="E994" s="34" t="s">
        <v>93</v>
      </c>
      <c r="F994" s="35">
        <v>41</v>
      </c>
      <c r="G994" s="37">
        <v>100</v>
      </c>
      <c r="H994" s="32">
        <f t="shared" si="21"/>
        <v>4100</v>
      </c>
    </row>
    <row r="995" spans="2:8">
      <c r="B995" s="28">
        <v>10142</v>
      </c>
      <c r="C995" s="34" t="s">
        <v>100</v>
      </c>
      <c r="D995" s="34" t="s">
        <v>119</v>
      </c>
      <c r="E995" s="34" t="s">
        <v>93</v>
      </c>
      <c r="F995" s="35">
        <v>47</v>
      </c>
      <c r="G995" s="37">
        <v>100</v>
      </c>
      <c r="H995" s="32">
        <f t="shared" si="21"/>
        <v>4700</v>
      </c>
    </row>
    <row r="996" spans="2:8">
      <c r="B996" s="28">
        <v>10153</v>
      </c>
      <c r="C996" s="34" t="s">
        <v>261</v>
      </c>
      <c r="D996" s="34" t="s">
        <v>119</v>
      </c>
      <c r="E996" s="34" t="s">
        <v>93</v>
      </c>
      <c r="F996" s="35">
        <v>31</v>
      </c>
      <c r="G996" s="37">
        <v>100</v>
      </c>
      <c r="H996" s="32">
        <f t="shared" si="21"/>
        <v>3100</v>
      </c>
    </row>
    <row r="997" spans="2:8">
      <c r="B997" s="28">
        <v>10166</v>
      </c>
      <c r="C997" s="34" t="s">
        <v>100</v>
      </c>
      <c r="D997" s="34" t="s">
        <v>119</v>
      </c>
      <c r="E997" s="34" t="s">
        <v>93</v>
      </c>
      <c r="F997" s="35">
        <v>43</v>
      </c>
      <c r="G997" s="37">
        <v>100</v>
      </c>
      <c r="H997" s="32">
        <f t="shared" si="21"/>
        <v>4300</v>
      </c>
    </row>
    <row r="998" spans="2:8">
      <c r="B998" s="28">
        <v>10177</v>
      </c>
      <c r="C998" s="34" t="s">
        <v>261</v>
      </c>
      <c r="D998" s="34" t="s">
        <v>119</v>
      </c>
      <c r="E998" s="34" t="s">
        <v>93</v>
      </c>
      <c r="F998" s="35">
        <v>23</v>
      </c>
      <c r="G998" s="37">
        <v>100</v>
      </c>
      <c r="H998" s="32">
        <f t="shared" si="21"/>
        <v>2300</v>
      </c>
    </row>
    <row r="999" spans="2:8">
      <c r="B999" s="28">
        <v>10185</v>
      </c>
      <c r="C999" s="34" t="s">
        <v>100</v>
      </c>
      <c r="D999" s="34" t="s">
        <v>119</v>
      </c>
      <c r="E999" s="34" t="s">
        <v>93</v>
      </c>
      <c r="F999" s="35">
        <v>28</v>
      </c>
      <c r="G999" s="37">
        <v>100</v>
      </c>
      <c r="H999" s="32">
        <f t="shared" si="21"/>
        <v>2800</v>
      </c>
    </row>
    <row r="1000" spans="2:8">
      <c r="B1000" s="28">
        <v>10196</v>
      </c>
      <c r="C1000" s="34" t="s">
        <v>100</v>
      </c>
      <c r="D1000" s="34" t="s">
        <v>119</v>
      </c>
      <c r="E1000" s="34" t="s">
        <v>93</v>
      </c>
      <c r="F1000" s="35">
        <v>49</v>
      </c>
      <c r="G1000" s="37">
        <v>100</v>
      </c>
      <c r="H1000" s="32">
        <f t="shared" si="21"/>
        <v>4900</v>
      </c>
    </row>
    <row r="1001" spans="2:8">
      <c r="B1001" s="28">
        <v>10208</v>
      </c>
      <c r="C1001" s="34" t="s">
        <v>109</v>
      </c>
      <c r="D1001" s="34" t="s">
        <v>104</v>
      </c>
      <c r="E1001" s="34" t="s">
        <v>93</v>
      </c>
      <c r="F1001" s="35">
        <v>24</v>
      </c>
      <c r="G1001" s="37">
        <v>100</v>
      </c>
      <c r="H1001" s="32">
        <f t="shared" si="21"/>
        <v>2400</v>
      </c>
    </row>
    <row r="1002" spans="2:8">
      <c r="B1002" s="28">
        <v>10221</v>
      </c>
      <c r="C1002" s="34" t="s">
        <v>480</v>
      </c>
      <c r="D1002" s="34" t="s">
        <v>119</v>
      </c>
      <c r="E1002" s="34" t="s">
        <v>93</v>
      </c>
      <c r="F1002" s="35">
        <v>33</v>
      </c>
      <c r="G1002" s="37">
        <v>100</v>
      </c>
      <c r="H1002" s="32">
        <f t="shared" si="21"/>
        <v>3300</v>
      </c>
    </row>
    <row r="1003" spans="2:8">
      <c r="B1003" s="28">
        <v>10232</v>
      </c>
      <c r="C1003" s="34" t="s">
        <v>252</v>
      </c>
      <c r="D1003" s="34" t="s">
        <v>119</v>
      </c>
      <c r="E1003" s="34" t="s">
        <v>93</v>
      </c>
      <c r="F1003" s="35">
        <v>22</v>
      </c>
      <c r="G1003" s="37">
        <v>100</v>
      </c>
      <c r="H1003" s="32">
        <f t="shared" si="21"/>
        <v>2200</v>
      </c>
    </row>
    <row r="1004" spans="2:8">
      <c r="B1004" s="28">
        <v>10248</v>
      </c>
      <c r="C1004" s="34" t="s">
        <v>100</v>
      </c>
      <c r="D1004" s="34" t="s">
        <v>119</v>
      </c>
      <c r="E1004" s="34" t="s">
        <v>444</v>
      </c>
      <c r="F1004" s="35">
        <v>32</v>
      </c>
      <c r="G1004" s="37">
        <v>100</v>
      </c>
      <c r="H1004" s="32">
        <f t="shared" si="21"/>
        <v>3200</v>
      </c>
    </row>
    <row r="1005" spans="2:8">
      <c r="B1005" s="28">
        <v>10273</v>
      </c>
      <c r="C1005" s="34" t="s">
        <v>480</v>
      </c>
      <c r="D1005" s="34" t="s">
        <v>119</v>
      </c>
      <c r="E1005" s="34" t="s">
        <v>93</v>
      </c>
      <c r="F1005" s="35">
        <v>40</v>
      </c>
      <c r="G1005" s="37">
        <v>100</v>
      </c>
      <c r="H1005" s="32">
        <f t="shared" si="21"/>
        <v>4000</v>
      </c>
    </row>
    <row r="1006" spans="2:8">
      <c r="B1006" s="28">
        <v>10282</v>
      </c>
      <c r="C1006" s="34" t="s">
        <v>100</v>
      </c>
      <c r="D1006" s="34" t="s">
        <v>119</v>
      </c>
      <c r="E1006" s="34" t="s">
        <v>93</v>
      </c>
      <c r="F1006" s="35">
        <v>43</v>
      </c>
      <c r="G1006" s="37">
        <v>100</v>
      </c>
      <c r="H1006" s="32">
        <f t="shared" si="21"/>
        <v>4300</v>
      </c>
    </row>
    <row r="1007" spans="2:8">
      <c r="B1007" s="28">
        <v>10293</v>
      </c>
      <c r="C1007" s="34" t="s">
        <v>352</v>
      </c>
      <c r="D1007" s="34" t="s">
        <v>104</v>
      </c>
      <c r="E1007" s="34" t="s">
        <v>93</v>
      </c>
      <c r="F1007" s="35">
        <v>24</v>
      </c>
      <c r="G1007" s="37">
        <v>100</v>
      </c>
      <c r="H1007" s="32">
        <f t="shared" si="21"/>
        <v>2400</v>
      </c>
    </row>
    <row r="1008" spans="2:8">
      <c r="B1008" s="28">
        <v>10306</v>
      </c>
      <c r="C1008" s="34" t="s">
        <v>252</v>
      </c>
      <c r="D1008" s="34" t="s">
        <v>119</v>
      </c>
      <c r="E1008" s="34" t="s">
        <v>93</v>
      </c>
      <c r="F1008" s="35">
        <v>32</v>
      </c>
      <c r="G1008" s="37">
        <v>100</v>
      </c>
      <c r="H1008" s="32">
        <f t="shared" si="21"/>
        <v>3200</v>
      </c>
    </row>
    <row r="1009" spans="2:8">
      <c r="B1009" s="28">
        <v>10314</v>
      </c>
      <c r="C1009" s="34" t="s">
        <v>429</v>
      </c>
      <c r="D1009" s="34" t="s">
        <v>104</v>
      </c>
      <c r="E1009" s="34" t="s">
        <v>93</v>
      </c>
      <c r="F1009" s="35">
        <v>20</v>
      </c>
      <c r="G1009" s="37">
        <v>100</v>
      </c>
      <c r="H1009" s="32">
        <f t="shared" si="21"/>
        <v>2000</v>
      </c>
    </row>
    <row r="1010" spans="2:8">
      <c r="B1010" s="28">
        <v>10325</v>
      </c>
      <c r="C1010" s="34" t="s">
        <v>149</v>
      </c>
      <c r="D1010" s="34" t="s">
        <v>104</v>
      </c>
      <c r="E1010" s="34" t="s">
        <v>93</v>
      </c>
      <c r="F1010" s="35">
        <v>24</v>
      </c>
      <c r="G1010" s="37">
        <v>69.12</v>
      </c>
      <c r="H1010" s="32">
        <f t="shared" si="21"/>
        <v>1658.88</v>
      </c>
    </row>
    <row r="1011" spans="2:8">
      <c r="B1011" s="28">
        <v>10336</v>
      </c>
      <c r="C1011" s="34" t="s">
        <v>109</v>
      </c>
      <c r="D1011" s="34" t="s">
        <v>119</v>
      </c>
      <c r="E1011" s="34" t="s">
        <v>93</v>
      </c>
      <c r="F1011" s="35">
        <v>48</v>
      </c>
      <c r="G1011" s="37">
        <v>100</v>
      </c>
      <c r="H1011" s="32">
        <f t="shared" si="21"/>
        <v>4800</v>
      </c>
    </row>
    <row r="1012" spans="2:8">
      <c r="B1012" s="28">
        <v>10350</v>
      </c>
      <c r="C1012" s="34" t="s">
        <v>261</v>
      </c>
      <c r="D1012" s="34" t="s">
        <v>119</v>
      </c>
      <c r="E1012" s="34" t="s">
        <v>93</v>
      </c>
      <c r="F1012" s="35">
        <v>44</v>
      </c>
      <c r="G1012" s="37">
        <v>100</v>
      </c>
      <c r="H1012" s="32">
        <f t="shared" si="21"/>
        <v>4400</v>
      </c>
    </row>
    <row r="1013" spans="2:8">
      <c r="B1013" s="28">
        <v>10372</v>
      </c>
      <c r="C1013" s="34" t="s">
        <v>288</v>
      </c>
      <c r="D1013" s="34" t="s">
        <v>119</v>
      </c>
      <c r="E1013" s="34" t="s">
        <v>93</v>
      </c>
      <c r="F1013" s="35">
        <v>28</v>
      </c>
      <c r="G1013" s="37">
        <v>100</v>
      </c>
      <c r="H1013" s="32">
        <f t="shared" si="21"/>
        <v>2800</v>
      </c>
    </row>
    <row r="1014" spans="2:8">
      <c r="B1014" s="28">
        <v>10383</v>
      </c>
      <c r="C1014" s="34" t="s">
        <v>261</v>
      </c>
      <c r="D1014" s="34" t="s">
        <v>104</v>
      </c>
      <c r="E1014" s="34" t="s">
        <v>93</v>
      </c>
      <c r="F1014" s="35">
        <v>24</v>
      </c>
      <c r="G1014" s="37">
        <v>61.52</v>
      </c>
      <c r="H1014" s="32">
        <f t="shared" si="21"/>
        <v>1476.48</v>
      </c>
    </row>
    <row r="1015" spans="2:8">
      <c r="B1015" s="28">
        <v>10396</v>
      </c>
      <c r="C1015" s="34" t="s">
        <v>100</v>
      </c>
      <c r="D1015" s="34" t="s">
        <v>119</v>
      </c>
      <c r="E1015" s="34" t="s">
        <v>93</v>
      </c>
      <c r="F1015" s="35">
        <v>33</v>
      </c>
      <c r="G1015" s="37">
        <v>100</v>
      </c>
      <c r="H1015" s="32">
        <f t="shared" si="21"/>
        <v>3300</v>
      </c>
    </row>
    <row r="1016" spans="2:8">
      <c r="B1016" s="28">
        <v>10414</v>
      </c>
      <c r="C1016" s="34" t="s">
        <v>100</v>
      </c>
      <c r="D1016" s="34" t="s">
        <v>119</v>
      </c>
      <c r="E1016" s="34" t="s">
        <v>518</v>
      </c>
      <c r="F1016" s="35">
        <v>41</v>
      </c>
      <c r="G1016" s="37">
        <v>100</v>
      </c>
      <c r="H1016" s="32">
        <f t="shared" si="21"/>
        <v>4100</v>
      </c>
    </row>
    <row r="1017" spans="2:8">
      <c r="B1017" s="28">
        <v>10104</v>
      </c>
      <c r="C1017" s="34" t="s">
        <v>261</v>
      </c>
      <c r="D1017" s="34" t="s">
        <v>119</v>
      </c>
      <c r="E1017" s="34" t="s">
        <v>93</v>
      </c>
      <c r="F1017" s="35">
        <v>23</v>
      </c>
      <c r="G1017" s="37">
        <v>100</v>
      </c>
      <c r="H1017" s="32">
        <f t="shared" si="21"/>
        <v>2300</v>
      </c>
    </row>
    <row r="1018" spans="2:8">
      <c r="B1018" s="28">
        <v>10109</v>
      </c>
      <c r="C1018" s="34" t="s">
        <v>100</v>
      </c>
      <c r="D1018" s="34" t="s">
        <v>232</v>
      </c>
      <c r="E1018" s="34" t="s">
        <v>93</v>
      </c>
      <c r="F1018" s="35">
        <v>46</v>
      </c>
      <c r="G1018" s="37">
        <v>100</v>
      </c>
      <c r="H1018" s="32">
        <f t="shared" si="21"/>
        <v>4600</v>
      </c>
    </row>
    <row r="1019" spans="2:8">
      <c r="B1019" s="28">
        <v>10114</v>
      </c>
      <c r="C1019" s="34" t="s">
        <v>109</v>
      </c>
      <c r="D1019" s="34" t="s">
        <v>232</v>
      </c>
      <c r="E1019" s="34" t="s">
        <v>93</v>
      </c>
      <c r="F1019" s="35">
        <v>48</v>
      </c>
      <c r="G1019" s="37">
        <v>100</v>
      </c>
      <c r="H1019" s="32">
        <f t="shared" si="21"/>
        <v>4800</v>
      </c>
    </row>
    <row r="1020" spans="2:8">
      <c r="B1020" s="28">
        <v>10122</v>
      </c>
      <c r="C1020" s="34" t="s">
        <v>109</v>
      </c>
      <c r="D1020" s="34" t="s">
        <v>119</v>
      </c>
      <c r="E1020" s="34" t="s">
        <v>93</v>
      </c>
      <c r="F1020" s="35">
        <v>25</v>
      </c>
      <c r="G1020" s="37">
        <v>100</v>
      </c>
      <c r="H1020" s="32">
        <f t="shared" si="21"/>
        <v>2500</v>
      </c>
    </row>
    <row r="1021" spans="2:8">
      <c r="B1021" s="28">
        <v>10127</v>
      </c>
      <c r="C1021" s="34" t="s">
        <v>100</v>
      </c>
      <c r="D1021" s="34" t="s">
        <v>119</v>
      </c>
      <c r="E1021" s="34" t="s">
        <v>93</v>
      </c>
      <c r="F1021" s="35">
        <v>22</v>
      </c>
      <c r="G1021" s="37">
        <v>100</v>
      </c>
      <c r="H1021" s="32">
        <f t="shared" si="21"/>
        <v>2200</v>
      </c>
    </row>
    <row r="1022" spans="2:8">
      <c r="B1022" s="28">
        <v>10136</v>
      </c>
      <c r="C1022" s="34" t="s">
        <v>109</v>
      </c>
      <c r="D1022" s="34" t="s">
        <v>232</v>
      </c>
      <c r="E1022" s="34" t="s">
        <v>93</v>
      </c>
      <c r="F1022" s="35">
        <v>41</v>
      </c>
      <c r="G1022" s="37">
        <v>100</v>
      </c>
      <c r="H1022" s="32">
        <f t="shared" si="21"/>
        <v>4100</v>
      </c>
    </row>
    <row r="1023" spans="2:8">
      <c r="B1023" s="28">
        <v>10141</v>
      </c>
      <c r="C1023" s="34" t="s">
        <v>208</v>
      </c>
      <c r="D1023" s="34" t="s">
        <v>119</v>
      </c>
      <c r="E1023" s="34" t="s">
        <v>93</v>
      </c>
      <c r="F1023" s="35">
        <v>34</v>
      </c>
      <c r="G1023" s="37">
        <v>100</v>
      </c>
      <c r="H1023" s="32">
        <f t="shared" si="21"/>
        <v>3400</v>
      </c>
    </row>
    <row r="1024" spans="2:8">
      <c r="B1024" s="28">
        <v>10148</v>
      </c>
      <c r="C1024" s="34" t="s">
        <v>168</v>
      </c>
      <c r="D1024" s="34" t="s">
        <v>119</v>
      </c>
      <c r="E1024" s="34" t="s">
        <v>93</v>
      </c>
      <c r="F1024" s="35">
        <v>32</v>
      </c>
      <c r="G1024" s="37">
        <v>100</v>
      </c>
      <c r="H1024" s="32">
        <f t="shared" si="21"/>
        <v>3200</v>
      </c>
    </row>
    <row r="1025" spans="2:8">
      <c r="B1025" s="28">
        <v>10151</v>
      </c>
      <c r="C1025" s="34" t="s">
        <v>208</v>
      </c>
      <c r="D1025" s="34" t="s">
        <v>119</v>
      </c>
      <c r="E1025" s="34" t="s">
        <v>93</v>
      </c>
      <c r="F1025" s="35">
        <v>21</v>
      </c>
      <c r="G1025" s="37">
        <v>100</v>
      </c>
      <c r="H1025" s="32">
        <f t="shared" si="21"/>
        <v>2100</v>
      </c>
    </row>
    <row r="1026" spans="2:8">
      <c r="B1026" s="28">
        <v>10160</v>
      </c>
      <c r="C1026" s="34" t="s">
        <v>100</v>
      </c>
      <c r="D1026" s="34" t="s">
        <v>119</v>
      </c>
      <c r="E1026" s="34" t="s">
        <v>93</v>
      </c>
      <c r="F1026" s="35">
        <v>20</v>
      </c>
      <c r="G1026" s="37">
        <v>100</v>
      </c>
      <c r="H1026" s="32">
        <f t="shared" si="21"/>
        <v>2000</v>
      </c>
    </row>
    <row r="1027" spans="2:8">
      <c r="B1027" s="28">
        <v>10165</v>
      </c>
      <c r="C1027" s="34" t="s">
        <v>287</v>
      </c>
      <c r="D1027" s="34" t="s">
        <v>232</v>
      </c>
      <c r="E1027" s="34" t="s">
        <v>93</v>
      </c>
      <c r="F1027" s="35">
        <v>47</v>
      </c>
      <c r="G1027" s="37">
        <v>100</v>
      </c>
      <c r="H1027" s="32">
        <f t="shared" si="21"/>
        <v>4700</v>
      </c>
    </row>
    <row r="1028" spans="2:8">
      <c r="B1028" s="28">
        <v>10171</v>
      </c>
      <c r="C1028" s="34" t="s">
        <v>322</v>
      </c>
      <c r="D1028" s="34" t="s">
        <v>119</v>
      </c>
      <c r="E1028" s="34" t="s">
        <v>93</v>
      </c>
      <c r="F1028" s="35">
        <v>39</v>
      </c>
      <c r="G1028" s="37">
        <v>100</v>
      </c>
      <c r="H1028" s="32">
        <f t="shared" si="21"/>
        <v>3900</v>
      </c>
    </row>
    <row r="1029" spans="2:8">
      <c r="B1029" s="28">
        <v>10175</v>
      </c>
      <c r="C1029" s="34" t="s">
        <v>252</v>
      </c>
      <c r="D1029" s="34" t="s">
        <v>119</v>
      </c>
      <c r="E1029" s="34" t="s">
        <v>93</v>
      </c>
      <c r="F1029" s="35">
        <v>29</v>
      </c>
      <c r="G1029" s="37">
        <v>100</v>
      </c>
      <c r="H1029" s="32">
        <f t="shared" ref="H1029:H1092" si="22">F1029*G1029</f>
        <v>2900</v>
      </c>
    </row>
    <row r="1030" spans="2:8">
      <c r="B1030" s="28">
        <v>10181</v>
      </c>
      <c r="C1030" s="34" t="s">
        <v>149</v>
      </c>
      <c r="D1030" s="34" t="s">
        <v>119</v>
      </c>
      <c r="E1030" s="34" t="s">
        <v>93</v>
      </c>
      <c r="F1030" s="35">
        <v>45</v>
      </c>
      <c r="G1030" s="37">
        <v>100</v>
      </c>
      <c r="H1030" s="32">
        <f t="shared" si="22"/>
        <v>4500</v>
      </c>
    </row>
    <row r="1031" spans="2:8">
      <c r="B1031" s="28">
        <v>10184</v>
      </c>
      <c r="C1031" s="34" t="s">
        <v>261</v>
      </c>
      <c r="D1031" s="34" t="s">
        <v>119</v>
      </c>
      <c r="E1031" s="34" t="s">
        <v>93</v>
      </c>
      <c r="F1031" s="35">
        <v>28</v>
      </c>
      <c r="G1031" s="37">
        <v>100</v>
      </c>
      <c r="H1031" s="32">
        <f t="shared" si="22"/>
        <v>2800</v>
      </c>
    </row>
    <row r="1032" spans="2:8">
      <c r="B1032" s="28">
        <v>10192</v>
      </c>
      <c r="C1032" s="34" t="s">
        <v>100</v>
      </c>
      <c r="D1032" s="34" t="s">
        <v>119</v>
      </c>
      <c r="E1032" s="34" t="s">
        <v>93</v>
      </c>
      <c r="F1032" s="35">
        <v>26</v>
      </c>
      <c r="G1032" s="37">
        <v>100</v>
      </c>
      <c r="H1032" s="32">
        <f t="shared" si="22"/>
        <v>2600</v>
      </c>
    </row>
    <row r="1033" spans="2:8">
      <c r="B1033" s="28">
        <v>10195</v>
      </c>
      <c r="C1033" s="34" t="s">
        <v>100</v>
      </c>
      <c r="D1033" s="34" t="s">
        <v>232</v>
      </c>
      <c r="E1033" s="34" t="s">
        <v>93</v>
      </c>
      <c r="F1033" s="35">
        <v>50</v>
      </c>
      <c r="G1033" s="37">
        <v>100</v>
      </c>
      <c r="H1033" s="32">
        <f t="shared" si="22"/>
        <v>5000</v>
      </c>
    </row>
    <row r="1034" spans="2:8">
      <c r="B1034" s="28">
        <v>10203</v>
      </c>
      <c r="C1034" s="34" t="s">
        <v>261</v>
      </c>
      <c r="D1034" s="34" t="s">
        <v>232</v>
      </c>
      <c r="E1034" s="34" t="s">
        <v>93</v>
      </c>
      <c r="F1034" s="35">
        <v>48</v>
      </c>
      <c r="G1034" s="37">
        <v>100</v>
      </c>
      <c r="H1034" s="32">
        <f t="shared" si="22"/>
        <v>4800</v>
      </c>
    </row>
    <row r="1035" spans="2:8">
      <c r="B1035" s="28">
        <v>10207</v>
      </c>
      <c r="C1035" s="34" t="s">
        <v>100</v>
      </c>
      <c r="D1035" s="34" t="s">
        <v>119</v>
      </c>
      <c r="E1035" s="34" t="s">
        <v>93</v>
      </c>
      <c r="F1035" s="35">
        <v>25</v>
      </c>
      <c r="G1035" s="37">
        <v>100</v>
      </c>
      <c r="H1035" s="32">
        <f t="shared" si="22"/>
        <v>2500</v>
      </c>
    </row>
    <row r="1036" spans="2:8">
      <c r="B1036" s="28">
        <v>10212</v>
      </c>
      <c r="C1036" s="34" t="s">
        <v>261</v>
      </c>
      <c r="D1036" s="34" t="s">
        <v>119</v>
      </c>
      <c r="E1036" s="34" t="s">
        <v>93</v>
      </c>
      <c r="F1036" s="35">
        <v>40</v>
      </c>
      <c r="G1036" s="37">
        <v>100</v>
      </c>
      <c r="H1036" s="32">
        <f t="shared" si="22"/>
        <v>4000</v>
      </c>
    </row>
    <row r="1037" spans="2:8">
      <c r="B1037" s="28">
        <v>10225</v>
      </c>
      <c r="C1037" s="34" t="s">
        <v>574</v>
      </c>
      <c r="D1037" s="34" t="s">
        <v>119</v>
      </c>
      <c r="E1037" s="34" t="s">
        <v>93</v>
      </c>
      <c r="F1037" s="35">
        <v>43</v>
      </c>
      <c r="G1037" s="37">
        <v>100</v>
      </c>
      <c r="H1037" s="32">
        <f t="shared" si="22"/>
        <v>4300</v>
      </c>
    </row>
    <row r="1038" spans="2:8">
      <c r="B1038" s="28">
        <v>10229</v>
      </c>
      <c r="C1038" s="34" t="s">
        <v>100</v>
      </c>
      <c r="D1038" s="34" t="s">
        <v>119</v>
      </c>
      <c r="E1038" s="34" t="s">
        <v>93</v>
      </c>
      <c r="F1038" s="35">
        <v>22</v>
      </c>
      <c r="G1038" s="37">
        <v>100</v>
      </c>
      <c r="H1038" s="32">
        <f t="shared" si="22"/>
        <v>2200</v>
      </c>
    </row>
    <row r="1039" spans="2:8">
      <c r="B1039" s="28">
        <v>10239</v>
      </c>
      <c r="C1039" s="34" t="s">
        <v>208</v>
      </c>
      <c r="D1039" s="34" t="s">
        <v>232</v>
      </c>
      <c r="E1039" s="34" t="s">
        <v>93</v>
      </c>
      <c r="F1039" s="35">
        <v>47</v>
      </c>
      <c r="G1039" s="37">
        <v>100</v>
      </c>
      <c r="H1039" s="32">
        <f t="shared" si="22"/>
        <v>4700</v>
      </c>
    </row>
    <row r="1040" spans="2:8">
      <c r="B1040" s="28">
        <v>10246</v>
      </c>
      <c r="C1040" s="34" t="s">
        <v>261</v>
      </c>
      <c r="D1040" s="34" t="s">
        <v>232</v>
      </c>
      <c r="E1040" s="34" t="s">
        <v>93</v>
      </c>
      <c r="F1040" s="35">
        <v>36</v>
      </c>
      <c r="G1040" s="37">
        <v>100</v>
      </c>
      <c r="H1040" s="32">
        <f t="shared" si="22"/>
        <v>3600</v>
      </c>
    </row>
    <row r="1041" spans="2:8">
      <c r="B1041" s="28">
        <v>10253</v>
      </c>
      <c r="C1041" s="34" t="s">
        <v>252</v>
      </c>
      <c r="D1041" s="34" t="s">
        <v>119</v>
      </c>
      <c r="E1041" s="34" t="s">
        <v>444</v>
      </c>
      <c r="F1041" s="35">
        <v>40</v>
      </c>
      <c r="G1041" s="37">
        <v>100</v>
      </c>
      <c r="H1041" s="32">
        <f t="shared" si="22"/>
        <v>4000</v>
      </c>
    </row>
    <row r="1042" spans="2:8">
      <c r="B1042" s="28">
        <v>10259</v>
      </c>
      <c r="C1042" s="34" t="s">
        <v>287</v>
      </c>
      <c r="D1042" s="34" t="s">
        <v>119</v>
      </c>
      <c r="E1042" s="34" t="s">
        <v>93</v>
      </c>
      <c r="F1042" s="35">
        <v>27</v>
      </c>
      <c r="G1042" s="37">
        <v>100</v>
      </c>
      <c r="H1042" s="32">
        <f t="shared" si="22"/>
        <v>2700</v>
      </c>
    </row>
    <row r="1043" spans="2:8">
      <c r="B1043" s="28">
        <v>10266</v>
      </c>
      <c r="C1043" s="34" t="s">
        <v>352</v>
      </c>
      <c r="D1043" s="34" t="s">
        <v>119</v>
      </c>
      <c r="E1043" s="34" t="s">
        <v>93</v>
      </c>
      <c r="F1043" s="35">
        <v>29</v>
      </c>
      <c r="G1043" s="37">
        <v>100</v>
      </c>
      <c r="H1043" s="32">
        <f t="shared" si="22"/>
        <v>2900</v>
      </c>
    </row>
    <row r="1044" spans="2:8">
      <c r="B1044" s="28">
        <v>10271</v>
      </c>
      <c r="C1044" s="34" t="s">
        <v>100</v>
      </c>
      <c r="D1044" s="34" t="s">
        <v>119</v>
      </c>
      <c r="E1044" s="34" t="s">
        <v>93</v>
      </c>
      <c r="F1044" s="35">
        <v>20</v>
      </c>
      <c r="G1044" s="37">
        <v>100</v>
      </c>
      <c r="H1044" s="32">
        <f t="shared" si="22"/>
        <v>2000</v>
      </c>
    </row>
    <row r="1045" spans="2:8">
      <c r="B1045" s="28">
        <v>10278</v>
      </c>
      <c r="C1045" s="34" t="s">
        <v>100</v>
      </c>
      <c r="D1045" s="34" t="s">
        <v>119</v>
      </c>
      <c r="E1045" s="34" t="s">
        <v>93</v>
      </c>
      <c r="F1045" s="35">
        <v>42</v>
      </c>
      <c r="G1045" s="37">
        <v>100</v>
      </c>
      <c r="H1045" s="32">
        <f t="shared" si="22"/>
        <v>4200</v>
      </c>
    </row>
    <row r="1046" spans="2:8">
      <c r="B1046" s="28">
        <v>10281</v>
      </c>
      <c r="C1046" s="34" t="s">
        <v>100</v>
      </c>
      <c r="D1046" s="34" t="s">
        <v>119</v>
      </c>
      <c r="E1046" s="34" t="s">
        <v>93</v>
      </c>
      <c r="F1046" s="35">
        <v>25</v>
      </c>
      <c r="G1046" s="37">
        <v>100</v>
      </c>
      <c r="H1046" s="32">
        <f t="shared" si="22"/>
        <v>2500</v>
      </c>
    </row>
    <row r="1047" spans="2:8">
      <c r="B1047" s="28">
        <v>10287</v>
      </c>
      <c r="C1047" s="34" t="s">
        <v>574</v>
      </c>
      <c r="D1047" s="34" t="s">
        <v>119</v>
      </c>
      <c r="E1047" s="34" t="s">
        <v>93</v>
      </c>
      <c r="F1047" s="35">
        <v>36</v>
      </c>
      <c r="G1047" s="37">
        <v>100</v>
      </c>
      <c r="H1047" s="32">
        <f t="shared" si="22"/>
        <v>3600</v>
      </c>
    </row>
    <row r="1048" spans="2:8">
      <c r="B1048" s="28">
        <v>10292</v>
      </c>
      <c r="C1048" s="34" t="s">
        <v>100</v>
      </c>
      <c r="D1048" s="34" t="s">
        <v>104</v>
      </c>
      <c r="E1048" s="34" t="s">
        <v>93</v>
      </c>
      <c r="F1048" s="35">
        <v>21</v>
      </c>
      <c r="G1048" s="37">
        <v>100</v>
      </c>
      <c r="H1048" s="32">
        <f t="shared" si="22"/>
        <v>2100</v>
      </c>
    </row>
    <row r="1049" spans="2:8">
      <c r="B1049" s="28">
        <v>10301</v>
      </c>
      <c r="C1049" s="34" t="s">
        <v>149</v>
      </c>
      <c r="D1049" s="34" t="s">
        <v>119</v>
      </c>
      <c r="E1049" s="34" t="s">
        <v>93</v>
      </c>
      <c r="F1049" s="35">
        <v>23</v>
      </c>
      <c r="G1049" s="37">
        <v>100</v>
      </c>
      <c r="H1049" s="32">
        <f t="shared" si="22"/>
        <v>2300</v>
      </c>
    </row>
    <row r="1050" spans="2:8">
      <c r="B1050" s="28">
        <v>10305</v>
      </c>
      <c r="C1050" s="34" t="s">
        <v>100</v>
      </c>
      <c r="D1050" s="34" t="s">
        <v>232</v>
      </c>
      <c r="E1050" s="34" t="s">
        <v>93</v>
      </c>
      <c r="F1050" s="35">
        <v>37</v>
      </c>
      <c r="G1050" s="37">
        <v>100</v>
      </c>
      <c r="H1050" s="32">
        <f t="shared" si="22"/>
        <v>3700</v>
      </c>
    </row>
    <row r="1051" spans="2:8">
      <c r="B1051" s="28">
        <v>10310</v>
      </c>
      <c r="C1051" s="34" t="s">
        <v>566</v>
      </c>
      <c r="D1051" s="34" t="s">
        <v>232</v>
      </c>
      <c r="E1051" s="34" t="s">
        <v>93</v>
      </c>
      <c r="F1051" s="35">
        <v>48</v>
      </c>
      <c r="G1051" s="37">
        <v>100</v>
      </c>
      <c r="H1051" s="32">
        <f t="shared" si="22"/>
        <v>4800</v>
      </c>
    </row>
    <row r="1052" spans="2:8">
      <c r="B1052" s="28">
        <v>10313</v>
      </c>
      <c r="C1052" s="34" t="s">
        <v>322</v>
      </c>
      <c r="D1052" s="34" t="s">
        <v>119</v>
      </c>
      <c r="E1052" s="34" t="s">
        <v>93</v>
      </c>
      <c r="F1052" s="35">
        <v>25</v>
      </c>
      <c r="G1052" s="37">
        <v>100</v>
      </c>
      <c r="H1052" s="32">
        <f t="shared" si="22"/>
        <v>2500</v>
      </c>
    </row>
    <row r="1053" spans="2:8">
      <c r="B1053" s="28">
        <v>10321</v>
      </c>
      <c r="C1053" s="34" t="s">
        <v>100</v>
      </c>
      <c r="D1053" s="34" t="s">
        <v>119</v>
      </c>
      <c r="E1053" s="34" t="s">
        <v>93</v>
      </c>
      <c r="F1053" s="35">
        <v>33</v>
      </c>
      <c r="G1053" s="37">
        <v>100</v>
      </c>
      <c r="H1053" s="32">
        <f t="shared" si="22"/>
        <v>3300</v>
      </c>
    </row>
    <row r="1054" spans="2:8">
      <c r="B1054" s="28">
        <v>10324</v>
      </c>
      <c r="C1054" s="34" t="s">
        <v>100</v>
      </c>
      <c r="D1054" s="34" t="s">
        <v>119</v>
      </c>
      <c r="E1054" s="34" t="s">
        <v>93</v>
      </c>
      <c r="F1054" s="35">
        <v>27</v>
      </c>
      <c r="G1054" s="37">
        <v>100</v>
      </c>
      <c r="H1054" s="32">
        <f t="shared" si="22"/>
        <v>2700</v>
      </c>
    </row>
    <row r="1055" spans="2:8">
      <c r="B1055" s="28">
        <v>10331</v>
      </c>
      <c r="C1055" s="34" t="s">
        <v>100</v>
      </c>
      <c r="D1055" s="34" t="s">
        <v>119</v>
      </c>
      <c r="E1055" s="34" t="s">
        <v>93</v>
      </c>
      <c r="F1055" s="35">
        <v>27</v>
      </c>
      <c r="G1055" s="37">
        <v>100</v>
      </c>
      <c r="H1055" s="32">
        <f t="shared" si="22"/>
        <v>2700</v>
      </c>
    </row>
    <row r="1056" spans="2:8">
      <c r="B1056" s="28">
        <v>10334</v>
      </c>
      <c r="C1056" s="34" t="s">
        <v>273</v>
      </c>
      <c r="D1056" s="34" t="s">
        <v>104</v>
      </c>
      <c r="E1056" s="34" t="s">
        <v>518</v>
      </c>
      <c r="F1056" s="35">
        <v>20</v>
      </c>
      <c r="G1056" s="37">
        <v>100</v>
      </c>
      <c r="H1056" s="32">
        <f t="shared" si="22"/>
        <v>2000</v>
      </c>
    </row>
    <row r="1057" spans="2:8">
      <c r="B1057" s="28">
        <v>10342</v>
      </c>
      <c r="C1057" s="34" t="s">
        <v>168</v>
      </c>
      <c r="D1057" s="34" t="s">
        <v>119</v>
      </c>
      <c r="E1057" s="34" t="s">
        <v>93</v>
      </c>
      <c r="F1057" s="35">
        <v>30</v>
      </c>
      <c r="G1057" s="37">
        <v>100</v>
      </c>
      <c r="H1057" s="32">
        <f t="shared" si="22"/>
        <v>3000</v>
      </c>
    </row>
    <row r="1058" spans="2:8">
      <c r="B1058" s="28">
        <v>10349</v>
      </c>
      <c r="C1058" s="34" t="s">
        <v>100</v>
      </c>
      <c r="D1058" s="34" t="s">
        <v>232</v>
      </c>
      <c r="E1058" s="34" t="s">
        <v>93</v>
      </c>
      <c r="F1058" s="35">
        <v>48</v>
      </c>
      <c r="G1058" s="37">
        <v>100</v>
      </c>
      <c r="H1058" s="32">
        <f t="shared" si="22"/>
        <v>4800</v>
      </c>
    </row>
    <row r="1059" spans="2:8">
      <c r="B1059" s="28">
        <v>10358</v>
      </c>
      <c r="C1059" s="34" t="s">
        <v>261</v>
      </c>
      <c r="D1059" s="34" t="s">
        <v>104</v>
      </c>
      <c r="E1059" s="34" t="s">
        <v>93</v>
      </c>
      <c r="F1059" s="35">
        <v>32</v>
      </c>
      <c r="G1059" s="37">
        <v>93.49</v>
      </c>
      <c r="H1059" s="32">
        <f t="shared" si="22"/>
        <v>2991.68</v>
      </c>
    </row>
    <row r="1060" spans="2:8">
      <c r="B1060" s="28">
        <v>10366</v>
      </c>
      <c r="C1060" s="34" t="s">
        <v>480</v>
      </c>
      <c r="D1060" s="34" t="s">
        <v>119</v>
      </c>
      <c r="E1060" s="34" t="s">
        <v>93</v>
      </c>
      <c r="F1060" s="35">
        <v>34</v>
      </c>
      <c r="G1060" s="37">
        <v>100</v>
      </c>
      <c r="H1060" s="32">
        <f t="shared" si="22"/>
        <v>3400</v>
      </c>
    </row>
    <row r="1061" spans="2:8">
      <c r="B1061" s="28">
        <v>10370</v>
      </c>
      <c r="C1061" s="34" t="s">
        <v>168</v>
      </c>
      <c r="D1061" s="34" t="s">
        <v>104</v>
      </c>
      <c r="E1061" s="34" t="s">
        <v>93</v>
      </c>
      <c r="F1061" s="35">
        <v>27</v>
      </c>
      <c r="G1061" s="37">
        <v>56.85</v>
      </c>
      <c r="H1061" s="32">
        <f t="shared" si="22"/>
        <v>1534.95</v>
      </c>
    </row>
    <row r="1062" spans="2:8">
      <c r="B1062" s="28">
        <v>10377</v>
      </c>
      <c r="C1062" s="34" t="s">
        <v>208</v>
      </c>
      <c r="D1062" s="34" t="s">
        <v>232</v>
      </c>
      <c r="E1062" s="34" t="s">
        <v>93</v>
      </c>
      <c r="F1062" s="35">
        <v>39</v>
      </c>
      <c r="G1062" s="37">
        <v>100</v>
      </c>
      <c r="H1062" s="32">
        <f t="shared" si="22"/>
        <v>3900</v>
      </c>
    </row>
    <row r="1063" spans="2:8">
      <c r="B1063" s="28">
        <v>10383</v>
      </c>
      <c r="C1063" s="34" t="s">
        <v>261</v>
      </c>
      <c r="D1063" s="34" t="s">
        <v>119</v>
      </c>
      <c r="E1063" s="34" t="s">
        <v>93</v>
      </c>
      <c r="F1063" s="35">
        <v>47</v>
      </c>
      <c r="G1063" s="37">
        <v>100</v>
      </c>
      <c r="H1063" s="32">
        <f t="shared" si="22"/>
        <v>4700</v>
      </c>
    </row>
    <row r="1064" spans="2:8">
      <c r="B1064" s="28">
        <v>10394</v>
      </c>
      <c r="C1064" s="34" t="s">
        <v>261</v>
      </c>
      <c r="D1064" s="34" t="s">
        <v>119</v>
      </c>
      <c r="E1064" s="34" t="s">
        <v>93</v>
      </c>
      <c r="F1064" s="35">
        <v>22</v>
      </c>
      <c r="G1064" s="37">
        <v>100</v>
      </c>
      <c r="H1064" s="32">
        <f t="shared" si="22"/>
        <v>2200</v>
      </c>
    </row>
    <row r="1065" spans="2:8">
      <c r="B1065" s="28">
        <v>10405</v>
      </c>
      <c r="C1065" s="34" t="s">
        <v>109</v>
      </c>
      <c r="D1065" s="34" t="s">
        <v>232</v>
      </c>
      <c r="E1065" s="34" t="s">
        <v>93</v>
      </c>
      <c r="F1065" s="35">
        <v>55</v>
      </c>
      <c r="G1065" s="37">
        <v>100</v>
      </c>
      <c r="H1065" s="32">
        <f t="shared" si="22"/>
        <v>5500</v>
      </c>
    </row>
    <row r="1066" spans="2:8">
      <c r="B1066" s="28">
        <v>10412</v>
      </c>
      <c r="C1066" s="34" t="s">
        <v>261</v>
      </c>
      <c r="D1066" s="34" t="s">
        <v>232</v>
      </c>
      <c r="E1066" s="34" t="s">
        <v>93</v>
      </c>
      <c r="F1066" s="35">
        <v>60</v>
      </c>
      <c r="G1066" s="37">
        <v>100</v>
      </c>
      <c r="H1066" s="32">
        <f t="shared" si="22"/>
        <v>6000</v>
      </c>
    </row>
    <row r="1067" spans="2:8">
      <c r="B1067" s="28">
        <v>10419</v>
      </c>
      <c r="C1067" s="34" t="s">
        <v>229</v>
      </c>
      <c r="D1067" s="34" t="s">
        <v>119</v>
      </c>
      <c r="E1067" s="34" t="s">
        <v>93</v>
      </c>
      <c r="F1067" s="35">
        <v>35</v>
      </c>
      <c r="G1067" s="37">
        <v>100</v>
      </c>
      <c r="H1067" s="32">
        <f t="shared" si="22"/>
        <v>3500</v>
      </c>
    </row>
    <row r="1068" spans="2:8">
      <c r="B1068" s="28">
        <v>10425</v>
      </c>
      <c r="C1068" s="34" t="s">
        <v>109</v>
      </c>
      <c r="D1068" s="34" t="s">
        <v>119</v>
      </c>
      <c r="E1068" s="34" t="s">
        <v>400</v>
      </c>
      <c r="F1068" s="35">
        <v>28</v>
      </c>
      <c r="G1068" s="37">
        <v>100</v>
      </c>
      <c r="H1068" s="32">
        <f t="shared" si="22"/>
        <v>2800</v>
      </c>
    </row>
    <row r="1069" spans="2:8">
      <c r="B1069" s="28">
        <v>10105</v>
      </c>
      <c r="C1069" s="34" t="s">
        <v>429</v>
      </c>
      <c r="D1069" s="34" t="s">
        <v>119</v>
      </c>
      <c r="E1069" s="34" t="s">
        <v>93</v>
      </c>
      <c r="F1069" s="35">
        <v>38</v>
      </c>
      <c r="G1069" s="37">
        <v>100</v>
      </c>
      <c r="H1069" s="32">
        <f t="shared" si="22"/>
        <v>3800</v>
      </c>
    </row>
    <row r="1070" spans="2:8">
      <c r="B1070" s="28">
        <v>10117</v>
      </c>
      <c r="C1070" s="34" t="s">
        <v>287</v>
      </c>
      <c r="D1070" s="34" t="s">
        <v>104</v>
      </c>
      <c r="E1070" s="34" t="s">
        <v>93</v>
      </c>
      <c r="F1070" s="35">
        <v>21</v>
      </c>
      <c r="G1070" s="37">
        <v>95.8</v>
      </c>
      <c r="H1070" s="32">
        <f t="shared" si="22"/>
        <v>2011.8</v>
      </c>
    </row>
    <row r="1071" spans="2:8">
      <c r="B1071" s="28">
        <v>10128</v>
      </c>
      <c r="C1071" s="34" t="s">
        <v>261</v>
      </c>
      <c r="D1071" s="34" t="s">
        <v>119</v>
      </c>
      <c r="E1071" s="34" t="s">
        <v>93</v>
      </c>
      <c r="F1071" s="35">
        <v>41</v>
      </c>
      <c r="G1071" s="37">
        <v>100</v>
      </c>
      <c r="H1071" s="32">
        <f t="shared" si="22"/>
        <v>4100</v>
      </c>
    </row>
    <row r="1072" spans="2:8">
      <c r="B1072" s="28">
        <v>10142</v>
      </c>
      <c r="C1072" s="34" t="s">
        <v>100</v>
      </c>
      <c r="D1072" s="34" t="s">
        <v>104</v>
      </c>
      <c r="E1072" s="34" t="s">
        <v>93</v>
      </c>
      <c r="F1072" s="35">
        <v>22</v>
      </c>
      <c r="G1072" s="37">
        <v>97.81</v>
      </c>
      <c r="H1072" s="32">
        <f t="shared" si="22"/>
        <v>2151.8200000000002</v>
      </c>
    </row>
    <row r="1073" spans="2:8">
      <c r="B1073" s="28">
        <v>10153</v>
      </c>
      <c r="C1073" s="34" t="s">
        <v>261</v>
      </c>
      <c r="D1073" s="34" t="s">
        <v>104</v>
      </c>
      <c r="E1073" s="34" t="s">
        <v>93</v>
      </c>
      <c r="F1073" s="35">
        <v>29</v>
      </c>
      <c r="G1073" s="37">
        <v>88.74</v>
      </c>
      <c r="H1073" s="32">
        <f t="shared" si="22"/>
        <v>2573.46</v>
      </c>
    </row>
    <row r="1074" spans="2:8">
      <c r="B1074" s="28">
        <v>10165</v>
      </c>
      <c r="C1074" s="34" t="s">
        <v>287</v>
      </c>
      <c r="D1074" s="34" t="s">
        <v>119</v>
      </c>
      <c r="E1074" s="34" t="s">
        <v>93</v>
      </c>
      <c r="F1074" s="35">
        <v>50</v>
      </c>
      <c r="G1074" s="37">
        <v>100</v>
      </c>
      <c r="H1074" s="32">
        <f t="shared" si="22"/>
        <v>5000</v>
      </c>
    </row>
    <row r="1075" spans="2:8">
      <c r="B1075" s="28">
        <v>10177</v>
      </c>
      <c r="C1075" s="34" t="s">
        <v>261</v>
      </c>
      <c r="D1075" s="34" t="s">
        <v>119</v>
      </c>
      <c r="E1075" s="34" t="s">
        <v>93</v>
      </c>
      <c r="F1075" s="35">
        <v>29</v>
      </c>
      <c r="G1075" s="37">
        <v>100</v>
      </c>
      <c r="H1075" s="32">
        <f t="shared" si="22"/>
        <v>2900</v>
      </c>
    </row>
    <row r="1076" spans="2:8">
      <c r="B1076" s="28">
        <v>10185</v>
      </c>
      <c r="C1076" s="34" t="s">
        <v>100</v>
      </c>
      <c r="D1076" s="34" t="s">
        <v>119</v>
      </c>
      <c r="E1076" s="34" t="s">
        <v>93</v>
      </c>
      <c r="F1076" s="35">
        <v>49</v>
      </c>
      <c r="G1076" s="37">
        <v>80.67</v>
      </c>
      <c r="H1076" s="32">
        <f t="shared" si="22"/>
        <v>3952.83</v>
      </c>
    </row>
    <row r="1077" spans="2:8">
      <c r="B1077" s="28">
        <v>10196</v>
      </c>
      <c r="C1077" s="34" t="s">
        <v>100</v>
      </c>
      <c r="D1077" s="34" t="s">
        <v>119</v>
      </c>
      <c r="E1077" s="34" t="s">
        <v>93</v>
      </c>
      <c r="F1077" s="35">
        <v>35</v>
      </c>
      <c r="G1077" s="37">
        <v>100</v>
      </c>
      <c r="H1077" s="32">
        <f t="shared" si="22"/>
        <v>3500</v>
      </c>
    </row>
    <row r="1078" spans="2:8">
      <c r="B1078" s="28">
        <v>10208</v>
      </c>
      <c r="C1078" s="34" t="s">
        <v>109</v>
      </c>
      <c r="D1078" s="34" t="s">
        <v>119</v>
      </c>
      <c r="E1078" s="34" t="s">
        <v>93</v>
      </c>
      <c r="F1078" s="35">
        <v>48</v>
      </c>
      <c r="G1078" s="37">
        <v>100</v>
      </c>
      <c r="H1078" s="32">
        <f t="shared" si="22"/>
        <v>4800</v>
      </c>
    </row>
    <row r="1079" spans="2:8">
      <c r="B1079" s="28">
        <v>10221</v>
      </c>
      <c r="C1079" s="34" t="s">
        <v>480</v>
      </c>
      <c r="D1079" s="34" t="s">
        <v>104</v>
      </c>
      <c r="E1079" s="34" t="s">
        <v>93</v>
      </c>
      <c r="F1079" s="35">
        <v>23</v>
      </c>
      <c r="G1079" s="37">
        <v>80.67</v>
      </c>
      <c r="H1079" s="32">
        <f t="shared" si="22"/>
        <v>1855.41</v>
      </c>
    </row>
    <row r="1080" spans="2:8">
      <c r="B1080" s="28">
        <v>10232</v>
      </c>
      <c r="C1080" s="34" t="s">
        <v>252</v>
      </c>
      <c r="D1080" s="34" t="s">
        <v>119</v>
      </c>
      <c r="E1080" s="34" t="s">
        <v>93</v>
      </c>
      <c r="F1080" s="35">
        <v>48</v>
      </c>
      <c r="G1080" s="37">
        <v>95.8</v>
      </c>
      <c r="H1080" s="32">
        <f t="shared" si="22"/>
        <v>4598.3999999999996</v>
      </c>
    </row>
    <row r="1081" spans="2:8">
      <c r="B1081" s="28">
        <v>10248</v>
      </c>
      <c r="C1081" s="34" t="s">
        <v>100</v>
      </c>
      <c r="D1081" s="34" t="s">
        <v>119</v>
      </c>
      <c r="E1081" s="34" t="s">
        <v>444</v>
      </c>
      <c r="F1081" s="35">
        <v>42</v>
      </c>
      <c r="G1081" s="37">
        <v>100</v>
      </c>
      <c r="H1081" s="32">
        <f t="shared" si="22"/>
        <v>4200</v>
      </c>
    </row>
    <row r="1082" spans="2:8">
      <c r="B1082" s="28">
        <v>10273</v>
      </c>
      <c r="C1082" s="34" t="s">
        <v>480</v>
      </c>
      <c r="D1082" s="34" t="s">
        <v>119</v>
      </c>
      <c r="E1082" s="34" t="s">
        <v>93</v>
      </c>
      <c r="F1082" s="35">
        <v>47</v>
      </c>
      <c r="G1082" s="37">
        <v>100</v>
      </c>
      <c r="H1082" s="32">
        <f t="shared" si="22"/>
        <v>4700</v>
      </c>
    </row>
    <row r="1083" spans="2:8">
      <c r="B1083" s="28">
        <v>10282</v>
      </c>
      <c r="C1083" s="34" t="s">
        <v>100</v>
      </c>
      <c r="D1083" s="34" t="s">
        <v>119</v>
      </c>
      <c r="E1083" s="34" t="s">
        <v>93</v>
      </c>
      <c r="F1083" s="35">
        <v>36</v>
      </c>
      <c r="G1083" s="37">
        <v>100</v>
      </c>
      <c r="H1083" s="32">
        <f t="shared" si="22"/>
        <v>3600</v>
      </c>
    </row>
    <row r="1084" spans="2:8">
      <c r="B1084" s="28">
        <v>10293</v>
      </c>
      <c r="C1084" s="34" t="s">
        <v>352</v>
      </c>
      <c r="D1084" s="34" t="s">
        <v>104</v>
      </c>
      <c r="E1084" s="34" t="s">
        <v>93</v>
      </c>
      <c r="F1084" s="35">
        <v>22</v>
      </c>
      <c r="G1084" s="37">
        <v>100</v>
      </c>
      <c r="H1084" s="32">
        <f t="shared" si="22"/>
        <v>2200</v>
      </c>
    </row>
    <row r="1085" spans="2:8">
      <c r="B1085" s="28">
        <v>10306</v>
      </c>
      <c r="C1085" s="34" t="s">
        <v>252</v>
      </c>
      <c r="D1085" s="34" t="s">
        <v>119</v>
      </c>
      <c r="E1085" s="34" t="s">
        <v>93</v>
      </c>
      <c r="F1085" s="35">
        <v>40</v>
      </c>
      <c r="G1085" s="37">
        <v>91.76</v>
      </c>
      <c r="H1085" s="32">
        <f t="shared" si="22"/>
        <v>3670.4</v>
      </c>
    </row>
    <row r="1086" spans="2:8">
      <c r="B1086" s="28">
        <v>10314</v>
      </c>
      <c r="C1086" s="34" t="s">
        <v>429</v>
      </c>
      <c r="D1086" s="34" t="s">
        <v>104</v>
      </c>
      <c r="E1086" s="34" t="s">
        <v>93</v>
      </c>
      <c r="F1086" s="35">
        <v>23</v>
      </c>
      <c r="G1086" s="37">
        <v>100</v>
      </c>
      <c r="H1086" s="32">
        <f t="shared" si="22"/>
        <v>2300</v>
      </c>
    </row>
    <row r="1087" spans="2:8">
      <c r="B1087" s="28">
        <v>10326</v>
      </c>
      <c r="C1087" s="34" t="s">
        <v>273</v>
      </c>
      <c r="D1087" s="34" t="s">
        <v>119</v>
      </c>
      <c r="E1087" s="34" t="s">
        <v>93</v>
      </c>
      <c r="F1087" s="35">
        <v>32</v>
      </c>
      <c r="G1087" s="37">
        <v>100</v>
      </c>
      <c r="H1087" s="32">
        <f t="shared" si="22"/>
        <v>3200</v>
      </c>
    </row>
    <row r="1088" spans="2:8">
      <c r="B1088" s="28">
        <v>10336</v>
      </c>
      <c r="C1088" s="34" t="s">
        <v>109</v>
      </c>
      <c r="D1088" s="34" t="s">
        <v>104</v>
      </c>
      <c r="E1088" s="34" t="s">
        <v>93</v>
      </c>
      <c r="F1088" s="35">
        <v>21</v>
      </c>
      <c r="G1088" s="37">
        <v>100</v>
      </c>
      <c r="H1088" s="32">
        <f t="shared" si="22"/>
        <v>2100</v>
      </c>
    </row>
    <row r="1089" spans="2:8">
      <c r="B1089" s="28">
        <v>10350</v>
      </c>
      <c r="C1089" s="34" t="s">
        <v>261</v>
      </c>
      <c r="D1089" s="34" t="s">
        <v>119</v>
      </c>
      <c r="E1089" s="34" t="s">
        <v>93</v>
      </c>
      <c r="F1089" s="35">
        <v>41</v>
      </c>
      <c r="G1089" s="37">
        <v>93.04</v>
      </c>
      <c r="H1089" s="32">
        <f t="shared" si="22"/>
        <v>3814.6400000000003</v>
      </c>
    </row>
    <row r="1090" spans="2:8">
      <c r="B1090" s="28">
        <v>10372</v>
      </c>
      <c r="C1090" s="34" t="s">
        <v>288</v>
      </c>
      <c r="D1090" s="34" t="s">
        <v>104</v>
      </c>
      <c r="E1090" s="34" t="s">
        <v>93</v>
      </c>
      <c r="F1090" s="35">
        <v>25</v>
      </c>
      <c r="G1090" s="37">
        <v>84.71</v>
      </c>
      <c r="H1090" s="32">
        <f t="shared" si="22"/>
        <v>2117.75</v>
      </c>
    </row>
    <row r="1091" spans="2:8">
      <c r="B1091" s="28">
        <v>10383</v>
      </c>
      <c r="C1091" s="34" t="s">
        <v>261</v>
      </c>
      <c r="D1091" s="34" t="s">
        <v>119</v>
      </c>
      <c r="E1091" s="34" t="s">
        <v>93</v>
      </c>
      <c r="F1091" s="35">
        <v>26</v>
      </c>
      <c r="G1091" s="37">
        <v>100</v>
      </c>
      <c r="H1091" s="32">
        <f t="shared" si="22"/>
        <v>2600</v>
      </c>
    </row>
    <row r="1092" spans="2:8">
      <c r="B1092" s="28">
        <v>10396</v>
      </c>
      <c r="C1092" s="34" t="s">
        <v>100</v>
      </c>
      <c r="D1092" s="34" t="s">
        <v>104</v>
      </c>
      <c r="E1092" s="34" t="s">
        <v>93</v>
      </c>
      <c r="F1092" s="35">
        <v>24</v>
      </c>
      <c r="G1092" s="37">
        <v>89.75</v>
      </c>
      <c r="H1092" s="32">
        <f t="shared" si="22"/>
        <v>2154</v>
      </c>
    </row>
    <row r="1093" spans="2:8">
      <c r="B1093" s="28">
        <v>10414</v>
      </c>
      <c r="C1093" s="34" t="s">
        <v>100</v>
      </c>
      <c r="D1093" s="34" t="s">
        <v>119</v>
      </c>
      <c r="E1093" s="34" t="s">
        <v>518</v>
      </c>
      <c r="F1093" s="35">
        <v>48</v>
      </c>
      <c r="G1093" s="37">
        <v>100</v>
      </c>
      <c r="H1093" s="32">
        <f t="shared" ref="H1093:H1156" si="23">F1093*G1093</f>
        <v>4800</v>
      </c>
    </row>
    <row r="1094" spans="2:8">
      <c r="B1094" s="28">
        <v>10108</v>
      </c>
      <c r="C1094" s="34" t="s">
        <v>552</v>
      </c>
      <c r="D1094" s="34" t="s">
        <v>104</v>
      </c>
      <c r="E1094" s="34" t="s">
        <v>93</v>
      </c>
      <c r="F1094" s="35">
        <v>26</v>
      </c>
      <c r="G1094" s="37">
        <v>68.349999999999994</v>
      </c>
      <c r="H1094" s="32">
        <f t="shared" si="23"/>
        <v>1777.1</v>
      </c>
    </row>
    <row r="1095" spans="2:8">
      <c r="B1095" s="28">
        <v>10122</v>
      </c>
      <c r="C1095" s="34" t="s">
        <v>109</v>
      </c>
      <c r="D1095" s="34" t="s">
        <v>104</v>
      </c>
      <c r="E1095" s="34" t="s">
        <v>93</v>
      </c>
      <c r="F1095" s="35">
        <v>21</v>
      </c>
      <c r="G1095" s="37">
        <v>73.17</v>
      </c>
      <c r="H1095" s="32">
        <f t="shared" si="23"/>
        <v>1536.57</v>
      </c>
    </row>
    <row r="1096" spans="2:8">
      <c r="B1096" s="28">
        <v>10135</v>
      </c>
      <c r="C1096" s="34" t="s">
        <v>100</v>
      </c>
      <c r="D1096" s="34" t="s">
        <v>119</v>
      </c>
      <c r="E1096" s="34" t="s">
        <v>93</v>
      </c>
      <c r="F1096" s="35">
        <v>45</v>
      </c>
      <c r="G1096" s="37">
        <v>78</v>
      </c>
      <c r="H1096" s="32">
        <f t="shared" si="23"/>
        <v>3510</v>
      </c>
    </row>
    <row r="1097" spans="2:8">
      <c r="B1097" s="28">
        <v>10147</v>
      </c>
      <c r="C1097" s="34" t="s">
        <v>100</v>
      </c>
      <c r="D1097" s="34" t="s">
        <v>119</v>
      </c>
      <c r="E1097" s="34" t="s">
        <v>93</v>
      </c>
      <c r="F1097" s="35">
        <v>36</v>
      </c>
      <c r="G1097" s="37">
        <v>86.04</v>
      </c>
      <c r="H1097" s="32">
        <f t="shared" si="23"/>
        <v>3097.44</v>
      </c>
    </row>
    <row r="1098" spans="2:8">
      <c r="B1098" s="28">
        <v>10159</v>
      </c>
      <c r="C1098" s="34" t="s">
        <v>100</v>
      </c>
      <c r="D1098" s="34" t="s">
        <v>104</v>
      </c>
      <c r="E1098" s="34" t="s">
        <v>93</v>
      </c>
      <c r="F1098" s="35">
        <v>21</v>
      </c>
      <c r="G1098" s="37">
        <v>81.209999999999994</v>
      </c>
      <c r="H1098" s="32">
        <f t="shared" si="23"/>
        <v>1705.4099999999999</v>
      </c>
    </row>
    <row r="1099" spans="2:8">
      <c r="B1099" s="28">
        <v>10169</v>
      </c>
      <c r="C1099" s="34" t="s">
        <v>168</v>
      </c>
      <c r="D1099" s="34" t="s">
        <v>104</v>
      </c>
      <c r="E1099" s="34" t="s">
        <v>93</v>
      </c>
      <c r="F1099" s="35">
        <v>32</v>
      </c>
      <c r="G1099" s="37">
        <v>70.760000000000005</v>
      </c>
      <c r="H1099" s="32">
        <f t="shared" si="23"/>
        <v>2264.3200000000002</v>
      </c>
    </row>
    <row r="1100" spans="2:8">
      <c r="B1100" s="28">
        <v>10181</v>
      </c>
      <c r="C1100" s="34" t="s">
        <v>149</v>
      </c>
      <c r="D1100" s="34" t="s">
        <v>104</v>
      </c>
      <c r="E1100" s="34" t="s">
        <v>93</v>
      </c>
      <c r="F1100" s="35">
        <v>30</v>
      </c>
      <c r="G1100" s="37">
        <v>82.82</v>
      </c>
      <c r="H1100" s="32">
        <f t="shared" si="23"/>
        <v>2484.6</v>
      </c>
    </row>
    <row r="1101" spans="2:8">
      <c r="B1101" s="28">
        <v>10191</v>
      </c>
      <c r="C1101" s="34" t="s">
        <v>566</v>
      </c>
      <c r="D1101" s="34" t="s">
        <v>119</v>
      </c>
      <c r="E1101" s="34" t="s">
        <v>93</v>
      </c>
      <c r="F1101" s="35">
        <v>36</v>
      </c>
      <c r="G1101" s="37">
        <v>94.88</v>
      </c>
      <c r="H1101" s="32">
        <f t="shared" si="23"/>
        <v>3415.68</v>
      </c>
    </row>
    <row r="1102" spans="2:8">
      <c r="B1102" s="28">
        <v>10203</v>
      </c>
      <c r="C1102" s="34" t="s">
        <v>261</v>
      </c>
      <c r="D1102" s="34" t="s">
        <v>104</v>
      </c>
      <c r="E1102" s="34" t="s">
        <v>93</v>
      </c>
      <c r="F1102" s="35">
        <v>33</v>
      </c>
      <c r="G1102" s="37">
        <v>86.04</v>
      </c>
      <c r="H1102" s="32">
        <f t="shared" si="23"/>
        <v>2839.32</v>
      </c>
    </row>
    <row r="1103" spans="2:8">
      <c r="B1103" s="28">
        <v>10211</v>
      </c>
      <c r="C1103" s="34" t="s">
        <v>109</v>
      </c>
      <c r="D1103" s="34" t="s">
        <v>104</v>
      </c>
      <c r="E1103" s="34" t="s">
        <v>93</v>
      </c>
      <c r="F1103" s="35">
        <v>35</v>
      </c>
      <c r="G1103" s="37">
        <v>78</v>
      </c>
      <c r="H1103" s="32">
        <f t="shared" si="23"/>
        <v>2730</v>
      </c>
    </row>
    <row r="1104" spans="2:8">
      <c r="B1104" s="28">
        <v>10225</v>
      </c>
      <c r="C1104" s="34" t="s">
        <v>574</v>
      </c>
      <c r="D1104" s="34" t="s">
        <v>119</v>
      </c>
      <c r="E1104" s="34" t="s">
        <v>93</v>
      </c>
      <c r="F1104" s="35">
        <v>37</v>
      </c>
      <c r="G1104" s="37">
        <v>95.69</v>
      </c>
      <c r="H1104" s="32">
        <f t="shared" si="23"/>
        <v>3540.5299999999997</v>
      </c>
    </row>
    <row r="1105" spans="2:8">
      <c r="B1105" s="28">
        <v>10238</v>
      </c>
      <c r="C1105" s="34" t="s">
        <v>429</v>
      </c>
      <c r="D1105" s="34" t="s">
        <v>104</v>
      </c>
      <c r="E1105" s="34" t="s">
        <v>93</v>
      </c>
      <c r="F1105" s="35">
        <v>41</v>
      </c>
      <c r="G1105" s="37">
        <v>73.17</v>
      </c>
      <c r="H1105" s="32">
        <f t="shared" si="23"/>
        <v>2999.9700000000003</v>
      </c>
    </row>
    <row r="1106" spans="2:8">
      <c r="B1106" s="28">
        <v>10252</v>
      </c>
      <c r="C1106" s="34" t="s">
        <v>109</v>
      </c>
      <c r="D1106" s="34" t="s">
        <v>104</v>
      </c>
      <c r="E1106" s="34" t="s">
        <v>93</v>
      </c>
      <c r="F1106" s="35">
        <v>20</v>
      </c>
      <c r="G1106" s="37">
        <v>76.39</v>
      </c>
      <c r="H1106" s="32">
        <f t="shared" si="23"/>
        <v>1527.8</v>
      </c>
    </row>
    <row r="1107" spans="2:8">
      <c r="B1107" s="28">
        <v>10265</v>
      </c>
      <c r="C1107" s="34" t="s">
        <v>168</v>
      </c>
      <c r="D1107" s="34" t="s">
        <v>119</v>
      </c>
      <c r="E1107" s="34" t="s">
        <v>93</v>
      </c>
      <c r="F1107" s="35">
        <v>45</v>
      </c>
      <c r="G1107" s="37">
        <v>86.84</v>
      </c>
      <c r="H1107" s="32">
        <f t="shared" si="23"/>
        <v>3907.8</v>
      </c>
    </row>
    <row r="1108" spans="2:8">
      <c r="B1108" s="28">
        <v>10276</v>
      </c>
      <c r="C1108" s="34" t="s">
        <v>100</v>
      </c>
      <c r="D1108" s="34" t="s">
        <v>104</v>
      </c>
      <c r="E1108" s="34" t="s">
        <v>93</v>
      </c>
      <c r="F1108" s="35">
        <v>38</v>
      </c>
      <c r="G1108" s="37">
        <v>69.959999999999994</v>
      </c>
      <c r="H1108" s="32">
        <f t="shared" si="23"/>
        <v>2658.4799999999996</v>
      </c>
    </row>
    <row r="1109" spans="2:8">
      <c r="B1109" s="28">
        <v>10287</v>
      </c>
      <c r="C1109" s="34" t="s">
        <v>574</v>
      </c>
      <c r="D1109" s="34" t="s">
        <v>119</v>
      </c>
      <c r="E1109" s="34" t="s">
        <v>93</v>
      </c>
      <c r="F1109" s="35">
        <v>43</v>
      </c>
      <c r="G1109" s="37">
        <v>70.760000000000005</v>
      </c>
      <c r="H1109" s="32">
        <f t="shared" si="23"/>
        <v>3042.6800000000003</v>
      </c>
    </row>
    <row r="1110" spans="2:8">
      <c r="B1110" s="28">
        <v>10300</v>
      </c>
      <c r="C1110" s="34" t="s">
        <v>566</v>
      </c>
      <c r="D1110" s="34" t="s">
        <v>119</v>
      </c>
      <c r="E1110" s="34" t="s">
        <v>93</v>
      </c>
      <c r="F1110" s="35">
        <v>49</v>
      </c>
      <c r="G1110" s="37">
        <v>78.8</v>
      </c>
      <c r="H1110" s="32">
        <f t="shared" si="23"/>
        <v>3861.2</v>
      </c>
    </row>
    <row r="1111" spans="2:8">
      <c r="B1111" s="28">
        <v>10310</v>
      </c>
      <c r="C1111" s="34" t="s">
        <v>566</v>
      </c>
      <c r="D1111" s="34" t="s">
        <v>104</v>
      </c>
      <c r="E1111" s="34" t="s">
        <v>93</v>
      </c>
      <c r="F1111" s="35">
        <v>27</v>
      </c>
      <c r="G1111" s="37">
        <v>80.41</v>
      </c>
      <c r="H1111" s="32">
        <f t="shared" si="23"/>
        <v>2171.0699999999997</v>
      </c>
    </row>
    <row r="1112" spans="2:8">
      <c r="B1112" s="28">
        <v>10319</v>
      </c>
      <c r="C1112" s="34" t="s">
        <v>100</v>
      </c>
      <c r="D1112" s="34" t="s">
        <v>119</v>
      </c>
      <c r="E1112" s="34" t="s">
        <v>93</v>
      </c>
      <c r="F1112" s="35">
        <v>46</v>
      </c>
      <c r="G1112" s="37">
        <v>73.98</v>
      </c>
      <c r="H1112" s="32">
        <f t="shared" si="23"/>
        <v>3403.0800000000004</v>
      </c>
    </row>
    <row r="1113" spans="2:8">
      <c r="B1113" s="28">
        <v>10329</v>
      </c>
      <c r="C1113" s="34" t="s">
        <v>100</v>
      </c>
      <c r="D1113" s="34" t="s">
        <v>104</v>
      </c>
      <c r="E1113" s="34" t="s">
        <v>93</v>
      </c>
      <c r="F1113" s="35">
        <v>38</v>
      </c>
      <c r="G1113" s="37">
        <v>59.1</v>
      </c>
      <c r="H1113" s="32">
        <f t="shared" si="23"/>
        <v>2245.8000000000002</v>
      </c>
    </row>
    <row r="1114" spans="2:8">
      <c r="B1114" s="28">
        <v>10342</v>
      </c>
      <c r="C1114" s="34" t="s">
        <v>168</v>
      </c>
      <c r="D1114" s="34" t="s">
        <v>104</v>
      </c>
      <c r="E1114" s="34" t="s">
        <v>93</v>
      </c>
      <c r="F1114" s="35">
        <v>25</v>
      </c>
      <c r="G1114" s="37">
        <v>66.739999999999995</v>
      </c>
      <c r="H1114" s="32">
        <f t="shared" si="23"/>
        <v>1668.4999999999998</v>
      </c>
    </row>
    <row r="1115" spans="2:8">
      <c r="B1115" s="28">
        <v>10363</v>
      </c>
      <c r="C1115" s="34" t="s">
        <v>208</v>
      </c>
      <c r="D1115" s="34" t="s">
        <v>104</v>
      </c>
      <c r="E1115" s="34" t="s">
        <v>93</v>
      </c>
      <c r="F1115" s="35">
        <v>46</v>
      </c>
      <c r="G1115" s="37">
        <v>60.3</v>
      </c>
      <c r="H1115" s="32">
        <f t="shared" si="23"/>
        <v>2773.7999999999997</v>
      </c>
    </row>
    <row r="1116" spans="2:8">
      <c r="B1116" s="28">
        <v>10378</v>
      </c>
      <c r="C1116" s="34" t="s">
        <v>261</v>
      </c>
      <c r="D1116" s="34" t="s">
        <v>104</v>
      </c>
      <c r="E1116" s="34" t="s">
        <v>93</v>
      </c>
      <c r="F1116" s="35">
        <v>22</v>
      </c>
      <c r="G1116" s="37">
        <v>100</v>
      </c>
      <c r="H1116" s="32">
        <f t="shared" si="23"/>
        <v>2200</v>
      </c>
    </row>
    <row r="1117" spans="2:8">
      <c r="B1117" s="28">
        <v>10390</v>
      </c>
      <c r="C1117" s="34" t="s">
        <v>100</v>
      </c>
      <c r="D1117" s="34" t="s">
        <v>119</v>
      </c>
      <c r="E1117" s="34" t="s">
        <v>93</v>
      </c>
      <c r="F1117" s="35">
        <v>40</v>
      </c>
      <c r="G1117" s="37">
        <v>100</v>
      </c>
      <c r="H1117" s="32">
        <f t="shared" si="23"/>
        <v>4000</v>
      </c>
    </row>
    <row r="1118" spans="2:8">
      <c r="B1118" s="28">
        <v>10103</v>
      </c>
      <c r="C1118" s="34" t="s">
        <v>149</v>
      </c>
      <c r="D1118" s="34" t="s">
        <v>119</v>
      </c>
      <c r="E1118" s="34" t="s">
        <v>93</v>
      </c>
      <c r="F1118" s="35">
        <v>46</v>
      </c>
      <c r="G1118" s="37">
        <v>100</v>
      </c>
      <c r="H1118" s="32">
        <f t="shared" si="23"/>
        <v>4600</v>
      </c>
    </row>
    <row r="1119" spans="2:8">
      <c r="B1119" s="28">
        <v>10111</v>
      </c>
      <c r="C1119" s="34" t="s">
        <v>100</v>
      </c>
      <c r="D1119" s="34" t="s">
        <v>119</v>
      </c>
      <c r="E1119" s="34" t="s">
        <v>93</v>
      </c>
      <c r="F1119" s="35">
        <v>39</v>
      </c>
      <c r="G1119" s="37">
        <v>100</v>
      </c>
      <c r="H1119" s="32">
        <f t="shared" si="23"/>
        <v>3900</v>
      </c>
    </row>
    <row r="1120" spans="2:8">
      <c r="B1120" s="28">
        <v>10126</v>
      </c>
      <c r="C1120" s="34" t="s">
        <v>261</v>
      </c>
      <c r="D1120" s="34" t="s">
        <v>119</v>
      </c>
      <c r="E1120" s="34" t="s">
        <v>93</v>
      </c>
      <c r="F1120" s="35">
        <v>38</v>
      </c>
      <c r="G1120" s="37">
        <v>82.34</v>
      </c>
      <c r="H1120" s="32">
        <f t="shared" si="23"/>
        <v>3128.92</v>
      </c>
    </row>
    <row r="1121" spans="2:8">
      <c r="B1121" s="28">
        <v>10139</v>
      </c>
      <c r="C1121" s="34" t="s">
        <v>168</v>
      </c>
      <c r="D1121" s="34" t="s">
        <v>119</v>
      </c>
      <c r="E1121" s="34" t="s">
        <v>93</v>
      </c>
      <c r="F1121" s="35">
        <v>30</v>
      </c>
      <c r="G1121" s="37">
        <v>100</v>
      </c>
      <c r="H1121" s="32">
        <f t="shared" si="23"/>
        <v>3000</v>
      </c>
    </row>
    <row r="1122" spans="2:8">
      <c r="B1122" s="28">
        <v>10149</v>
      </c>
      <c r="C1122" s="34" t="s">
        <v>100</v>
      </c>
      <c r="D1122" s="34" t="s">
        <v>119</v>
      </c>
      <c r="E1122" s="34" t="s">
        <v>93</v>
      </c>
      <c r="F1122" s="35">
        <v>42</v>
      </c>
      <c r="G1122" s="37">
        <v>94.25</v>
      </c>
      <c r="H1122" s="32">
        <f t="shared" si="23"/>
        <v>3958.5</v>
      </c>
    </row>
    <row r="1123" spans="2:8">
      <c r="B1123" s="28">
        <v>10163</v>
      </c>
      <c r="C1123" s="34" t="s">
        <v>100</v>
      </c>
      <c r="D1123" s="34" t="s">
        <v>119</v>
      </c>
      <c r="E1123" s="34" t="s">
        <v>93</v>
      </c>
      <c r="F1123" s="35">
        <v>43</v>
      </c>
      <c r="G1123" s="37">
        <v>100</v>
      </c>
      <c r="H1123" s="32">
        <f t="shared" si="23"/>
        <v>4300</v>
      </c>
    </row>
    <row r="1124" spans="2:8">
      <c r="B1124" s="28">
        <v>10173</v>
      </c>
      <c r="C1124" s="34" t="s">
        <v>352</v>
      </c>
      <c r="D1124" s="34" t="s">
        <v>104</v>
      </c>
      <c r="E1124" s="34" t="s">
        <v>93</v>
      </c>
      <c r="F1124" s="35">
        <v>29</v>
      </c>
      <c r="G1124" s="37">
        <v>95.24</v>
      </c>
      <c r="H1124" s="32">
        <f t="shared" si="23"/>
        <v>2761.96</v>
      </c>
    </row>
    <row r="1125" spans="2:8">
      <c r="B1125" s="28">
        <v>10182</v>
      </c>
      <c r="C1125" s="34" t="s">
        <v>100</v>
      </c>
      <c r="D1125" s="34" t="s">
        <v>104</v>
      </c>
      <c r="E1125" s="34" t="s">
        <v>93</v>
      </c>
      <c r="F1125" s="35">
        <v>33</v>
      </c>
      <c r="G1125" s="37">
        <v>86.31</v>
      </c>
      <c r="H1125" s="32">
        <f t="shared" si="23"/>
        <v>2848.23</v>
      </c>
    </row>
    <row r="1126" spans="2:8">
      <c r="B1126" s="28">
        <v>10193</v>
      </c>
      <c r="C1126" s="34" t="s">
        <v>168</v>
      </c>
      <c r="D1126" s="34" t="s">
        <v>104</v>
      </c>
      <c r="E1126" s="34" t="s">
        <v>93</v>
      </c>
      <c r="F1126" s="35">
        <v>32</v>
      </c>
      <c r="G1126" s="37">
        <v>79.37</v>
      </c>
      <c r="H1126" s="32">
        <f t="shared" si="23"/>
        <v>2539.84</v>
      </c>
    </row>
    <row r="1127" spans="2:8">
      <c r="B1127" s="28">
        <v>10206</v>
      </c>
      <c r="C1127" s="34" t="s">
        <v>322</v>
      </c>
      <c r="D1127" s="34" t="s">
        <v>104</v>
      </c>
      <c r="E1127" s="34" t="s">
        <v>93</v>
      </c>
      <c r="F1127" s="35">
        <v>28</v>
      </c>
      <c r="G1127" s="37">
        <v>87.3</v>
      </c>
      <c r="H1127" s="32">
        <f t="shared" si="23"/>
        <v>2444.4</v>
      </c>
    </row>
    <row r="1128" spans="2:8">
      <c r="B1128" s="28">
        <v>10215</v>
      </c>
      <c r="C1128" s="34" t="s">
        <v>100</v>
      </c>
      <c r="D1128" s="34" t="s">
        <v>119</v>
      </c>
      <c r="E1128" s="34" t="s">
        <v>93</v>
      </c>
      <c r="F1128" s="35">
        <v>41</v>
      </c>
      <c r="G1128" s="37">
        <v>100</v>
      </c>
      <c r="H1128" s="32">
        <f t="shared" si="23"/>
        <v>4100</v>
      </c>
    </row>
    <row r="1129" spans="2:8">
      <c r="B1129" s="28">
        <v>10227</v>
      </c>
      <c r="C1129" s="34" t="s">
        <v>109</v>
      </c>
      <c r="D1129" s="34" t="s">
        <v>119</v>
      </c>
      <c r="E1129" s="34" t="s">
        <v>93</v>
      </c>
      <c r="F1129" s="35">
        <v>33</v>
      </c>
      <c r="G1129" s="37">
        <v>100</v>
      </c>
      <c r="H1129" s="32">
        <f t="shared" si="23"/>
        <v>3300</v>
      </c>
    </row>
    <row r="1130" spans="2:8">
      <c r="B1130" s="28">
        <v>10244</v>
      </c>
      <c r="C1130" s="34" t="s">
        <v>261</v>
      </c>
      <c r="D1130" s="34" t="s">
        <v>119</v>
      </c>
      <c r="E1130" s="34" t="s">
        <v>93</v>
      </c>
      <c r="F1130" s="35">
        <v>36</v>
      </c>
      <c r="G1130" s="37">
        <v>84.33</v>
      </c>
      <c r="H1130" s="32">
        <f t="shared" si="23"/>
        <v>3035.88</v>
      </c>
    </row>
    <row r="1131" spans="2:8">
      <c r="B1131" s="28">
        <v>10257</v>
      </c>
      <c r="C1131" s="34" t="s">
        <v>100</v>
      </c>
      <c r="D1131" s="34" t="s">
        <v>104</v>
      </c>
      <c r="E1131" s="34" t="s">
        <v>93</v>
      </c>
      <c r="F1131" s="35">
        <v>26</v>
      </c>
      <c r="G1131" s="37">
        <v>89.29</v>
      </c>
      <c r="H1131" s="32">
        <f t="shared" si="23"/>
        <v>2321.54</v>
      </c>
    </row>
    <row r="1132" spans="2:8">
      <c r="B1132" s="28">
        <v>10280</v>
      </c>
      <c r="C1132" s="34" t="s">
        <v>352</v>
      </c>
      <c r="D1132" s="34" t="s">
        <v>119</v>
      </c>
      <c r="E1132" s="34" t="s">
        <v>93</v>
      </c>
      <c r="F1132" s="35">
        <v>34</v>
      </c>
      <c r="G1132" s="37">
        <v>100</v>
      </c>
      <c r="H1132" s="32">
        <f t="shared" si="23"/>
        <v>3400</v>
      </c>
    </row>
    <row r="1133" spans="2:8">
      <c r="B1133" s="28">
        <v>10290</v>
      </c>
      <c r="C1133" s="34" t="s">
        <v>100</v>
      </c>
      <c r="D1133" s="34" t="s">
        <v>104</v>
      </c>
      <c r="E1133" s="34" t="s">
        <v>93</v>
      </c>
      <c r="F1133" s="35">
        <v>26</v>
      </c>
      <c r="G1133" s="37">
        <v>96.23</v>
      </c>
      <c r="H1133" s="32">
        <f t="shared" si="23"/>
        <v>2501.98</v>
      </c>
    </row>
    <row r="1134" spans="2:8">
      <c r="B1134" s="28">
        <v>10304</v>
      </c>
      <c r="C1134" s="34" t="s">
        <v>109</v>
      </c>
      <c r="D1134" s="34" t="s">
        <v>119</v>
      </c>
      <c r="E1134" s="34" t="s">
        <v>93</v>
      </c>
      <c r="F1134" s="35">
        <v>38</v>
      </c>
      <c r="G1134" s="37">
        <v>100</v>
      </c>
      <c r="H1134" s="32">
        <f t="shared" si="23"/>
        <v>3800</v>
      </c>
    </row>
    <row r="1135" spans="2:8">
      <c r="B1135" s="28">
        <v>10312</v>
      </c>
      <c r="C1135" s="34" t="s">
        <v>100</v>
      </c>
      <c r="D1135" s="34" t="s">
        <v>119</v>
      </c>
      <c r="E1135" s="34" t="s">
        <v>93</v>
      </c>
      <c r="F1135" s="35">
        <v>33</v>
      </c>
      <c r="G1135" s="37">
        <v>100</v>
      </c>
      <c r="H1135" s="32">
        <f t="shared" si="23"/>
        <v>3300</v>
      </c>
    </row>
    <row r="1136" spans="2:8">
      <c r="B1136" s="28">
        <v>10323</v>
      </c>
      <c r="C1136" s="34" t="s">
        <v>566</v>
      </c>
      <c r="D1136" s="34" t="s">
        <v>119</v>
      </c>
      <c r="E1136" s="34" t="s">
        <v>93</v>
      </c>
      <c r="F1136" s="35">
        <v>33</v>
      </c>
      <c r="G1136" s="37">
        <v>91.27</v>
      </c>
      <c r="H1136" s="32">
        <f t="shared" si="23"/>
        <v>3011.91</v>
      </c>
    </row>
    <row r="1137" spans="2:8">
      <c r="B1137" s="28">
        <v>10333</v>
      </c>
      <c r="C1137" s="34" t="s">
        <v>100</v>
      </c>
      <c r="D1137" s="34" t="s">
        <v>232</v>
      </c>
      <c r="E1137" s="34" t="s">
        <v>93</v>
      </c>
      <c r="F1137" s="35">
        <v>46</v>
      </c>
      <c r="G1137" s="37">
        <v>100</v>
      </c>
      <c r="H1137" s="32">
        <f t="shared" si="23"/>
        <v>4600</v>
      </c>
    </row>
    <row r="1138" spans="2:8">
      <c r="B1138" s="28">
        <v>10347</v>
      </c>
      <c r="C1138" s="34" t="s">
        <v>168</v>
      </c>
      <c r="D1138" s="34" t="s">
        <v>104</v>
      </c>
      <c r="E1138" s="34" t="s">
        <v>93</v>
      </c>
      <c r="F1138" s="35">
        <v>26</v>
      </c>
      <c r="G1138" s="37">
        <v>100</v>
      </c>
      <c r="H1138" s="32">
        <f t="shared" si="23"/>
        <v>2600</v>
      </c>
    </row>
    <row r="1139" spans="2:8">
      <c r="B1139" s="28">
        <v>10357</v>
      </c>
      <c r="C1139" s="34" t="s">
        <v>100</v>
      </c>
      <c r="D1139" s="34" t="s">
        <v>104</v>
      </c>
      <c r="E1139" s="34" t="s">
        <v>93</v>
      </c>
      <c r="F1139" s="35">
        <v>25</v>
      </c>
      <c r="G1139" s="37">
        <v>100</v>
      </c>
      <c r="H1139" s="32">
        <f t="shared" si="23"/>
        <v>2500</v>
      </c>
    </row>
    <row r="1140" spans="2:8">
      <c r="B1140" s="28">
        <v>10369</v>
      </c>
      <c r="C1140" s="34" t="s">
        <v>100</v>
      </c>
      <c r="D1140" s="34" t="s">
        <v>119</v>
      </c>
      <c r="E1140" s="34" t="s">
        <v>93</v>
      </c>
      <c r="F1140" s="35">
        <v>45</v>
      </c>
      <c r="G1140" s="37">
        <v>73.08</v>
      </c>
      <c r="H1140" s="32">
        <f t="shared" si="23"/>
        <v>3288.6</v>
      </c>
    </row>
    <row r="1141" spans="2:8">
      <c r="B1141" s="28">
        <v>10382</v>
      </c>
      <c r="C1141" s="34" t="s">
        <v>100</v>
      </c>
      <c r="D1141" s="34" t="s">
        <v>232</v>
      </c>
      <c r="E1141" s="34" t="s">
        <v>93</v>
      </c>
      <c r="F1141" s="35">
        <v>50</v>
      </c>
      <c r="G1141" s="37">
        <v>100</v>
      </c>
      <c r="H1141" s="32">
        <f t="shared" si="23"/>
        <v>5000</v>
      </c>
    </row>
    <row r="1142" spans="2:8">
      <c r="B1142" s="28">
        <v>10392</v>
      </c>
      <c r="C1142" s="34" t="s">
        <v>229</v>
      </c>
      <c r="D1142" s="34" t="s">
        <v>119</v>
      </c>
      <c r="E1142" s="34" t="s">
        <v>93</v>
      </c>
      <c r="F1142" s="35">
        <v>36</v>
      </c>
      <c r="G1142" s="37">
        <v>100</v>
      </c>
      <c r="H1142" s="32">
        <f t="shared" si="23"/>
        <v>3600</v>
      </c>
    </row>
    <row r="1143" spans="2:8">
      <c r="B1143" s="28">
        <v>10423</v>
      </c>
      <c r="C1143" s="34" t="s">
        <v>480</v>
      </c>
      <c r="D1143" s="34" t="s">
        <v>104</v>
      </c>
      <c r="E1143" s="34" t="s">
        <v>400</v>
      </c>
      <c r="F1143" s="35">
        <v>21</v>
      </c>
      <c r="G1143" s="37">
        <v>89.29</v>
      </c>
      <c r="H1143" s="32">
        <f t="shared" si="23"/>
        <v>1875.0900000000001</v>
      </c>
    </row>
    <row r="1144" spans="2:8">
      <c r="B1144" s="28">
        <v>10108</v>
      </c>
      <c r="C1144" s="34" t="s">
        <v>552</v>
      </c>
      <c r="D1144" s="34" t="s">
        <v>119</v>
      </c>
      <c r="E1144" s="34" t="s">
        <v>93</v>
      </c>
      <c r="F1144" s="35">
        <v>29</v>
      </c>
      <c r="G1144" s="37">
        <v>100</v>
      </c>
      <c r="H1144" s="32">
        <f t="shared" si="23"/>
        <v>2900</v>
      </c>
    </row>
    <row r="1145" spans="2:8">
      <c r="B1145" s="28">
        <v>10122</v>
      </c>
      <c r="C1145" s="34" t="s">
        <v>109</v>
      </c>
      <c r="D1145" s="34" t="s">
        <v>104</v>
      </c>
      <c r="E1145" s="34" t="s">
        <v>93</v>
      </c>
      <c r="F1145" s="35">
        <v>21</v>
      </c>
      <c r="G1145" s="37">
        <v>100</v>
      </c>
      <c r="H1145" s="32">
        <f t="shared" si="23"/>
        <v>2100</v>
      </c>
    </row>
    <row r="1146" spans="2:8">
      <c r="B1146" s="28">
        <v>10135</v>
      </c>
      <c r="C1146" s="34" t="s">
        <v>100</v>
      </c>
      <c r="D1146" s="34" t="s">
        <v>119</v>
      </c>
      <c r="E1146" s="34" t="s">
        <v>93</v>
      </c>
      <c r="F1146" s="35">
        <v>42</v>
      </c>
      <c r="G1146" s="37">
        <v>100</v>
      </c>
      <c r="H1146" s="32">
        <f t="shared" si="23"/>
        <v>4200</v>
      </c>
    </row>
    <row r="1147" spans="2:8">
      <c r="B1147" s="28">
        <v>10147</v>
      </c>
      <c r="C1147" s="34" t="s">
        <v>100</v>
      </c>
      <c r="D1147" s="34" t="s">
        <v>119</v>
      </c>
      <c r="E1147" s="34" t="s">
        <v>93</v>
      </c>
      <c r="F1147" s="35">
        <v>37</v>
      </c>
      <c r="G1147" s="37">
        <v>100</v>
      </c>
      <c r="H1147" s="32">
        <f t="shared" si="23"/>
        <v>3700</v>
      </c>
    </row>
    <row r="1148" spans="2:8">
      <c r="B1148" s="28">
        <v>10159</v>
      </c>
      <c r="C1148" s="34" t="s">
        <v>100</v>
      </c>
      <c r="D1148" s="34" t="s">
        <v>119</v>
      </c>
      <c r="E1148" s="34" t="s">
        <v>93</v>
      </c>
      <c r="F1148" s="35">
        <v>25</v>
      </c>
      <c r="G1148" s="37">
        <v>100</v>
      </c>
      <c r="H1148" s="32">
        <f t="shared" si="23"/>
        <v>2500</v>
      </c>
    </row>
    <row r="1149" spans="2:8">
      <c r="B1149" s="28">
        <v>10169</v>
      </c>
      <c r="C1149" s="34" t="s">
        <v>168</v>
      </c>
      <c r="D1149" s="34" t="s">
        <v>119</v>
      </c>
      <c r="E1149" s="34" t="s">
        <v>93</v>
      </c>
      <c r="F1149" s="35">
        <v>36</v>
      </c>
      <c r="G1149" s="37">
        <v>100</v>
      </c>
      <c r="H1149" s="32">
        <f t="shared" si="23"/>
        <v>3600</v>
      </c>
    </row>
    <row r="1150" spans="2:8">
      <c r="B1150" s="28">
        <v>10181</v>
      </c>
      <c r="C1150" s="34" t="s">
        <v>149</v>
      </c>
      <c r="D1150" s="34" t="s">
        <v>119</v>
      </c>
      <c r="E1150" s="34" t="s">
        <v>93</v>
      </c>
      <c r="F1150" s="35">
        <v>22</v>
      </c>
      <c r="G1150" s="37">
        <v>100</v>
      </c>
      <c r="H1150" s="32">
        <f t="shared" si="23"/>
        <v>2200</v>
      </c>
    </row>
    <row r="1151" spans="2:8">
      <c r="B1151" s="28">
        <v>10191</v>
      </c>
      <c r="C1151" s="34" t="s">
        <v>566</v>
      </c>
      <c r="D1151" s="34" t="s">
        <v>119</v>
      </c>
      <c r="E1151" s="34" t="s">
        <v>93</v>
      </c>
      <c r="F1151" s="35">
        <v>23</v>
      </c>
      <c r="G1151" s="37">
        <v>100</v>
      </c>
      <c r="H1151" s="32">
        <f t="shared" si="23"/>
        <v>2300</v>
      </c>
    </row>
    <row r="1152" spans="2:8">
      <c r="B1152" s="28">
        <v>10203</v>
      </c>
      <c r="C1152" s="34" t="s">
        <v>261</v>
      </c>
      <c r="D1152" s="34" t="s">
        <v>119</v>
      </c>
      <c r="E1152" s="34" t="s">
        <v>93</v>
      </c>
      <c r="F1152" s="35">
        <v>32</v>
      </c>
      <c r="G1152" s="37">
        <v>100</v>
      </c>
      <c r="H1152" s="32">
        <f t="shared" si="23"/>
        <v>3200</v>
      </c>
    </row>
    <row r="1153" spans="2:8">
      <c r="B1153" s="28">
        <v>10211</v>
      </c>
      <c r="C1153" s="34" t="s">
        <v>109</v>
      </c>
      <c r="D1153" s="34" t="s">
        <v>119</v>
      </c>
      <c r="E1153" s="34" t="s">
        <v>93</v>
      </c>
      <c r="F1153" s="35">
        <v>28</v>
      </c>
      <c r="G1153" s="37">
        <v>100</v>
      </c>
      <c r="H1153" s="32">
        <f t="shared" si="23"/>
        <v>2800</v>
      </c>
    </row>
    <row r="1154" spans="2:8">
      <c r="B1154" s="28">
        <v>10225</v>
      </c>
      <c r="C1154" s="34" t="s">
        <v>574</v>
      </c>
      <c r="D1154" s="34" t="s">
        <v>119</v>
      </c>
      <c r="E1154" s="34" t="s">
        <v>93</v>
      </c>
      <c r="F1154" s="35">
        <v>27</v>
      </c>
      <c r="G1154" s="37">
        <v>100</v>
      </c>
      <c r="H1154" s="32">
        <f t="shared" si="23"/>
        <v>2700</v>
      </c>
    </row>
    <row r="1155" spans="2:8">
      <c r="B1155" s="28">
        <v>10238</v>
      </c>
      <c r="C1155" s="34" t="s">
        <v>429</v>
      </c>
      <c r="D1155" s="34" t="s">
        <v>119</v>
      </c>
      <c r="E1155" s="34" t="s">
        <v>93</v>
      </c>
      <c r="F1155" s="35">
        <v>49</v>
      </c>
      <c r="G1155" s="37">
        <v>100</v>
      </c>
      <c r="H1155" s="32">
        <f t="shared" si="23"/>
        <v>4900</v>
      </c>
    </row>
    <row r="1156" spans="2:8">
      <c r="B1156" s="28">
        <v>10252</v>
      </c>
      <c r="C1156" s="34" t="s">
        <v>109</v>
      </c>
      <c r="D1156" s="34" t="s">
        <v>119</v>
      </c>
      <c r="E1156" s="34" t="s">
        <v>93</v>
      </c>
      <c r="F1156" s="35">
        <v>41</v>
      </c>
      <c r="G1156" s="37">
        <v>100</v>
      </c>
      <c r="H1156" s="32">
        <f t="shared" si="23"/>
        <v>4100</v>
      </c>
    </row>
    <row r="1157" spans="2:8">
      <c r="B1157" s="28">
        <v>10265</v>
      </c>
      <c r="C1157" s="34" t="s">
        <v>168</v>
      </c>
      <c r="D1157" s="34" t="s">
        <v>232</v>
      </c>
      <c r="E1157" s="34" t="s">
        <v>93</v>
      </c>
      <c r="F1157" s="35">
        <v>49</v>
      </c>
      <c r="G1157" s="37">
        <v>100</v>
      </c>
      <c r="H1157" s="32">
        <f t="shared" ref="H1157:H1220" si="24">F1157*G1157</f>
        <v>4900</v>
      </c>
    </row>
    <row r="1158" spans="2:8">
      <c r="B1158" s="28">
        <v>10276</v>
      </c>
      <c r="C1158" s="34" t="s">
        <v>100</v>
      </c>
      <c r="D1158" s="34" t="s">
        <v>119</v>
      </c>
      <c r="E1158" s="34" t="s">
        <v>93</v>
      </c>
      <c r="F1158" s="35">
        <v>30</v>
      </c>
      <c r="G1158" s="37">
        <v>100</v>
      </c>
      <c r="H1158" s="32">
        <f t="shared" si="24"/>
        <v>3000</v>
      </c>
    </row>
    <row r="1159" spans="2:8">
      <c r="B1159" s="28">
        <v>10287</v>
      </c>
      <c r="C1159" s="34" t="s">
        <v>574</v>
      </c>
      <c r="D1159" s="34" t="s">
        <v>119</v>
      </c>
      <c r="E1159" s="34" t="s">
        <v>93</v>
      </c>
      <c r="F1159" s="35">
        <v>40</v>
      </c>
      <c r="G1159" s="37">
        <v>100</v>
      </c>
      <c r="H1159" s="32">
        <f t="shared" si="24"/>
        <v>4000</v>
      </c>
    </row>
    <row r="1160" spans="2:8">
      <c r="B1160" s="28">
        <v>10300</v>
      </c>
      <c r="C1160" s="34" t="s">
        <v>566</v>
      </c>
      <c r="D1160" s="34" t="s">
        <v>119</v>
      </c>
      <c r="E1160" s="34" t="s">
        <v>93</v>
      </c>
      <c r="F1160" s="35">
        <v>23</v>
      </c>
      <c r="G1160" s="37">
        <v>100</v>
      </c>
      <c r="H1160" s="32">
        <f t="shared" si="24"/>
        <v>2300</v>
      </c>
    </row>
    <row r="1161" spans="2:8">
      <c r="B1161" s="28">
        <v>10310</v>
      </c>
      <c r="C1161" s="34" t="s">
        <v>566</v>
      </c>
      <c r="D1161" s="34" t="s">
        <v>119</v>
      </c>
      <c r="E1161" s="34" t="s">
        <v>93</v>
      </c>
      <c r="F1161" s="35">
        <v>49</v>
      </c>
      <c r="G1161" s="37">
        <v>100</v>
      </c>
      <c r="H1161" s="32">
        <f t="shared" si="24"/>
        <v>4900</v>
      </c>
    </row>
    <row r="1162" spans="2:8">
      <c r="B1162" s="28">
        <v>10320</v>
      </c>
      <c r="C1162" s="34" t="s">
        <v>273</v>
      </c>
      <c r="D1162" s="34" t="s">
        <v>119</v>
      </c>
      <c r="E1162" s="34" t="s">
        <v>93</v>
      </c>
      <c r="F1162" s="35">
        <v>25</v>
      </c>
      <c r="G1162" s="37">
        <v>100</v>
      </c>
      <c r="H1162" s="32">
        <f t="shared" si="24"/>
        <v>2500</v>
      </c>
    </row>
    <row r="1163" spans="2:8">
      <c r="B1163" s="28">
        <v>10330</v>
      </c>
      <c r="C1163" s="34" t="s">
        <v>552</v>
      </c>
      <c r="D1163" s="34" t="s">
        <v>119</v>
      </c>
      <c r="E1163" s="34" t="s">
        <v>93</v>
      </c>
      <c r="F1163" s="35">
        <v>37</v>
      </c>
      <c r="G1163" s="37">
        <v>100</v>
      </c>
      <c r="H1163" s="32">
        <f t="shared" si="24"/>
        <v>3700</v>
      </c>
    </row>
    <row r="1164" spans="2:8">
      <c r="B1164" s="28">
        <v>10342</v>
      </c>
      <c r="C1164" s="34" t="s">
        <v>168</v>
      </c>
      <c r="D1164" s="34" t="s">
        <v>119</v>
      </c>
      <c r="E1164" s="34" t="s">
        <v>93</v>
      </c>
      <c r="F1164" s="35">
        <v>55</v>
      </c>
      <c r="G1164" s="37">
        <v>100</v>
      </c>
      <c r="H1164" s="32">
        <f t="shared" si="24"/>
        <v>5500</v>
      </c>
    </row>
    <row r="1165" spans="2:8">
      <c r="B1165" s="28">
        <v>10355</v>
      </c>
      <c r="C1165" s="34" t="s">
        <v>261</v>
      </c>
      <c r="D1165" s="34" t="s">
        <v>119</v>
      </c>
      <c r="E1165" s="34" t="s">
        <v>93</v>
      </c>
      <c r="F1165" s="35">
        <v>23</v>
      </c>
      <c r="G1165" s="37">
        <v>100</v>
      </c>
      <c r="H1165" s="32">
        <f t="shared" si="24"/>
        <v>2300</v>
      </c>
    </row>
    <row r="1166" spans="2:8">
      <c r="B1166" s="28">
        <v>10363</v>
      </c>
      <c r="C1166" s="34" t="s">
        <v>208</v>
      </c>
      <c r="D1166" s="34" t="s">
        <v>119</v>
      </c>
      <c r="E1166" s="34" t="s">
        <v>93</v>
      </c>
      <c r="F1166" s="35">
        <v>24</v>
      </c>
      <c r="G1166" s="37">
        <v>100</v>
      </c>
      <c r="H1166" s="32">
        <f t="shared" si="24"/>
        <v>2400</v>
      </c>
    </row>
    <row r="1167" spans="2:8">
      <c r="B1167" s="28">
        <v>10378</v>
      </c>
      <c r="C1167" s="34" t="s">
        <v>261</v>
      </c>
      <c r="D1167" s="34" t="s">
        <v>119</v>
      </c>
      <c r="E1167" s="34" t="s">
        <v>93</v>
      </c>
      <c r="F1167" s="35">
        <v>43</v>
      </c>
      <c r="G1167" s="37">
        <v>96.49</v>
      </c>
      <c r="H1167" s="32">
        <f t="shared" si="24"/>
        <v>4149.07</v>
      </c>
    </row>
    <row r="1168" spans="2:8">
      <c r="B1168" s="28">
        <v>10390</v>
      </c>
      <c r="C1168" s="34" t="s">
        <v>100</v>
      </c>
      <c r="D1168" s="34" t="s">
        <v>232</v>
      </c>
      <c r="E1168" s="34" t="s">
        <v>93</v>
      </c>
      <c r="F1168" s="35">
        <v>50</v>
      </c>
      <c r="G1168" s="37">
        <v>100</v>
      </c>
      <c r="H1168" s="32">
        <f t="shared" si="24"/>
        <v>5000</v>
      </c>
    </row>
    <row r="1169" spans="2:8">
      <c r="B1169" s="28">
        <v>10109</v>
      </c>
      <c r="C1169" s="34" t="s">
        <v>100</v>
      </c>
      <c r="D1169" s="34" t="s">
        <v>119</v>
      </c>
      <c r="E1169" s="34" t="s">
        <v>93</v>
      </c>
      <c r="F1169" s="35">
        <v>47</v>
      </c>
      <c r="G1169" s="37">
        <v>100</v>
      </c>
      <c r="H1169" s="32">
        <f t="shared" si="24"/>
        <v>4700</v>
      </c>
    </row>
    <row r="1170" spans="2:8">
      <c r="B1170" s="28">
        <v>10123</v>
      </c>
      <c r="C1170" s="34" t="s">
        <v>109</v>
      </c>
      <c r="D1170" s="34" t="s">
        <v>119</v>
      </c>
      <c r="E1170" s="34" t="s">
        <v>93</v>
      </c>
      <c r="F1170" s="35">
        <v>34</v>
      </c>
      <c r="G1170" s="37">
        <v>100</v>
      </c>
      <c r="H1170" s="32">
        <f t="shared" si="24"/>
        <v>3400</v>
      </c>
    </row>
    <row r="1171" spans="2:8">
      <c r="B1171" s="28">
        <v>10137</v>
      </c>
      <c r="C1171" s="34" t="s">
        <v>109</v>
      </c>
      <c r="D1171" s="34" t="s">
        <v>119</v>
      </c>
      <c r="E1171" s="34" t="s">
        <v>93</v>
      </c>
      <c r="F1171" s="35">
        <v>31</v>
      </c>
      <c r="G1171" s="37">
        <v>100</v>
      </c>
      <c r="H1171" s="32">
        <f t="shared" si="24"/>
        <v>3100</v>
      </c>
    </row>
    <row r="1172" spans="2:8">
      <c r="B1172" s="28">
        <v>10148</v>
      </c>
      <c r="C1172" s="34" t="s">
        <v>168</v>
      </c>
      <c r="D1172" s="34" t="s">
        <v>119</v>
      </c>
      <c r="E1172" s="34" t="s">
        <v>93</v>
      </c>
      <c r="F1172" s="35">
        <v>28</v>
      </c>
      <c r="G1172" s="37">
        <v>100</v>
      </c>
      <c r="H1172" s="32">
        <f t="shared" si="24"/>
        <v>2800</v>
      </c>
    </row>
    <row r="1173" spans="2:8">
      <c r="B1173" s="28">
        <v>10161</v>
      </c>
      <c r="C1173" s="34" t="s">
        <v>429</v>
      </c>
      <c r="D1173" s="34" t="s">
        <v>119</v>
      </c>
      <c r="E1173" s="34" t="s">
        <v>93</v>
      </c>
      <c r="F1173" s="35">
        <v>36</v>
      </c>
      <c r="G1173" s="37">
        <v>100</v>
      </c>
      <c r="H1173" s="32">
        <f t="shared" si="24"/>
        <v>3600</v>
      </c>
    </row>
    <row r="1174" spans="2:8">
      <c r="B1174" s="28">
        <v>10172</v>
      </c>
      <c r="C1174" s="34" t="s">
        <v>100</v>
      </c>
      <c r="D1174" s="34" t="s">
        <v>119</v>
      </c>
      <c r="E1174" s="34" t="s">
        <v>93</v>
      </c>
      <c r="F1174" s="35">
        <v>48</v>
      </c>
      <c r="G1174" s="37">
        <v>100</v>
      </c>
      <c r="H1174" s="32">
        <f t="shared" si="24"/>
        <v>4800</v>
      </c>
    </row>
    <row r="1175" spans="2:8">
      <c r="B1175" s="28">
        <v>10181</v>
      </c>
      <c r="C1175" s="34" t="s">
        <v>149</v>
      </c>
      <c r="D1175" s="34" t="s">
        <v>119</v>
      </c>
      <c r="E1175" s="34" t="s">
        <v>93</v>
      </c>
      <c r="F1175" s="35">
        <v>39</v>
      </c>
      <c r="G1175" s="37">
        <v>100</v>
      </c>
      <c r="H1175" s="32">
        <f t="shared" si="24"/>
        <v>3900</v>
      </c>
    </row>
    <row r="1176" spans="2:8">
      <c r="B1176" s="28">
        <v>10192</v>
      </c>
      <c r="C1176" s="34" t="s">
        <v>100</v>
      </c>
      <c r="D1176" s="34" t="s">
        <v>119</v>
      </c>
      <c r="E1176" s="34" t="s">
        <v>93</v>
      </c>
      <c r="F1176" s="35">
        <v>45</v>
      </c>
      <c r="G1176" s="37">
        <v>100</v>
      </c>
      <c r="H1176" s="32">
        <f t="shared" si="24"/>
        <v>4500</v>
      </c>
    </row>
    <row r="1177" spans="2:8">
      <c r="B1177" s="28">
        <v>10204</v>
      </c>
      <c r="C1177" s="34" t="s">
        <v>100</v>
      </c>
      <c r="D1177" s="34" t="s">
        <v>119</v>
      </c>
      <c r="E1177" s="34" t="s">
        <v>93</v>
      </c>
      <c r="F1177" s="35">
        <v>35</v>
      </c>
      <c r="G1177" s="37">
        <v>100</v>
      </c>
      <c r="H1177" s="32">
        <f t="shared" si="24"/>
        <v>3500</v>
      </c>
    </row>
    <row r="1178" spans="2:8">
      <c r="B1178" s="28">
        <v>10212</v>
      </c>
      <c r="C1178" s="34" t="s">
        <v>261</v>
      </c>
      <c r="D1178" s="34" t="s">
        <v>119</v>
      </c>
      <c r="E1178" s="34" t="s">
        <v>93</v>
      </c>
      <c r="F1178" s="35">
        <v>45</v>
      </c>
      <c r="G1178" s="37">
        <v>100</v>
      </c>
      <c r="H1178" s="32">
        <f t="shared" si="24"/>
        <v>4500</v>
      </c>
    </row>
    <row r="1179" spans="2:8">
      <c r="B1179" s="28">
        <v>10226</v>
      </c>
      <c r="C1179" s="34" t="s">
        <v>100</v>
      </c>
      <c r="D1179" s="34" t="s">
        <v>232</v>
      </c>
      <c r="E1179" s="34" t="s">
        <v>93</v>
      </c>
      <c r="F1179" s="35">
        <v>46</v>
      </c>
      <c r="G1179" s="37">
        <v>100</v>
      </c>
      <c r="H1179" s="32">
        <f t="shared" si="24"/>
        <v>4600</v>
      </c>
    </row>
    <row r="1180" spans="2:8">
      <c r="B1180" s="28">
        <v>10240</v>
      </c>
      <c r="C1180" s="34" t="s">
        <v>288</v>
      </c>
      <c r="D1180" s="34" t="s">
        <v>119</v>
      </c>
      <c r="E1180" s="34" t="s">
        <v>93</v>
      </c>
      <c r="F1180" s="35">
        <v>37</v>
      </c>
      <c r="G1180" s="37">
        <v>100</v>
      </c>
      <c r="H1180" s="32">
        <f t="shared" si="24"/>
        <v>3700</v>
      </c>
    </row>
    <row r="1181" spans="2:8">
      <c r="B1181" s="28">
        <v>10253</v>
      </c>
      <c r="C1181" s="34" t="s">
        <v>252</v>
      </c>
      <c r="D1181" s="34" t="s">
        <v>119</v>
      </c>
      <c r="E1181" s="34" t="s">
        <v>444</v>
      </c>
      <c r="F1181" s="35">
        <v>31</v>
      </c>
      <c r="G1181" s="37">
        <v>100</v>
      </c>
      <c r="H1181" s="32">
        <f t="shared" si="24"/>
        <v>3100</v>
      </c>
    </row>
    <row r="1182" spans="2:8">
      <c r="B1182" s="28">
        <v>10266</v>
      </c>
      <c r="C1182" s="34" t="s">
        <v>352</v>
      </c>
      <c r="D1182" s="34" t="s">
        <v>119</v>
      </c>
      <c r="E1182" s="34" t="s">
        <v>93</v>
      </c>
      <c r="F1182" s="35">
        <v>33</v>
      </c>
      <c r="G1182" s="37">
        <v>100</v>
      </c>
      <c r="H1182" s="32">
        <f t="shared" si="24"/>
        <v>3300</v>
      </c>
    </row>
    <row r="1183" spans="2:8">
      <c r="B1183" s="28">
        <v>10278</v>
      </c>
      <c r="C1183" s="34" t="s">
        <v>100</v>
      </c>
      <c r="D1183" s="34" t="s">
        <v>119</v>
      </c>
      <c r="E1183" s="34" t="s">
        <v>93</v>
      </c>
      <c r="F1183" s="35">
        <v>31</v>
      </c>
      <c r="G1183" s="37">
        <v>100</v>
      </c>
      <c r="H1183" s="32">
        <f t="shared" si="24"/>
        <v>3100</v>
      </c>
    </row>
    <row r="1184" spans="2:8">
      <c r="B1184" s="28">
        <v>10287</v>
      </c>
      <c r="C1184" s="34" t="s">
        <v>574</v>
      </c>
      <c r="D1184" s="34" t="s">
        <v>119</v>
      </c>
      <c r="E1184" s="34" t="s">
        <v>93</v>
      </c>
      <c r="F1184" s="35">
        <v>27</v>
      </c>
      <c r="G1184" s="37">
        <v>100</v>
      </c>
      <c r="H1184" s="32">
        <f t="shared" si="24"/>
        <v>2700</v>
      </c>
    </row>
    <row r="1185" spans="2:8">
      <c r="B1185" s="28">
        <v>10301</v>
      </c>
      <c r="C1185" s="34" t="s">
        <v>149</v>
      </c>
      <c r="D1185" s="34" t="s">
        <v>119</v>
      </c>
      <c r="E1185" s="34" t="s">
        <v>93</v>
      </c>
      <c r="F1185" s="35">
        <v>39</v>
      </c>
      <c r="G1185" s="37">
        <v>100</v>
      </c>
      <c r="H1185" s="32">
        <f t="shared" si="24"/>
        <v>3900</v>
      </c>
    </row>
    <row r="1186" spans="2:8">
      <c r="B1186" s="28">
        <v>10311</v>
      </c>
      <c r="C1186" s="34" t="s">
        <v>261</v>
      </c>
      <c r="D1186" s="34" t="s">
        <v>119</v>
      </c>
      <c r="E1186" s="34" t="s">
        <v>93</v>
      </c>
      <c r="F1186" s="35">
        <v>32</v>
      </c>
      <c r="G1186" s="37">
        <v>100</v>
      </c>
      <c r="H1186" s="32">
        <f t="shared" si="24"/>
        <v>3200</v>
      </c>
    </row>
    <row r="1187" spans="2:8">
      <c r="B1187" s="28">
        <v>10321</v>
      </c>
      <c r="C1187" s="34" t="s">
        <v>100</v>
      </c>
      <c r="D1187" s="34" t="s">
        <v>119</v>
      </c>
      <c r="E1187" s="34" t="s">
        <v>93</v>
      </c>
      <c r="F1187" s="35">
        <v>28</v>
      </c>
      <c r="G1187" s="37">
        <v>100</v>
      </c>
      <c r="H1187" s="32">
        <f t="shared" si="24"/>
        <v>2800</v>
      </c>
    </row>
    <row r="1188" spans="2:8">
      <c r="B1188" s="28">
        <v>10331</v>
      </c>
      <c r="C1188" s="34" t="s">
        <v>100</v>
      </c>
      <c r="D1188" s="34" t="s">
        <v>104</v>
      </c>
      <c r="E1188" s="34" t="s">
        <v>93</v>
      </c>
      <c r="F1188" s="35">
        <v>26</v>
      </c>
      <c r="G1188" s="37">
        <v>67.91</v>
      </c>
      <c r="H1188" s="32">
        <f t="shared" si="24"/>
        <v>1765.6599999999999</v>
      </c>
    </row>
    <row r="1189" spans="2:8">
      <c r="B1189" s="28">
        <v>10343</v>
      </c>
      <c r="C1189" s="34" t="s">
        <v>109</v>
      </c>
      <c r="D1189" s="34" t="s">
        <v>119</v>
      </c>
      <c r="E1189" s="34" t="s">
        <v>93</v>
      </c>
      <c r="F1189" s="35">
        <v>44</v>
      </c>
      <c r="G1189" s="37">
        <v>84.88</v>
      </c>
      <c r="H1189" s="32">
        <f t="shared" si="24"/>
        <v>3734.72</v>
      </c>
    </row>
    <row r="1190" spans="2:8">
      <c r="B1190" s="28">
        <v>10367</v>
      </c>
      <c r="C1190" s="34" t="s">
        <v>100</v>
      </c>
      <c r="D1190" s="34" t="s">
        <v>119</v>
      </c>
      <c r="E1190" s="34" t="s">
        <v>526</v>
      </c>
      <c r="F1190" s="35">
        <v>46</v>
      </c>
      <c r="G1190" s="37">
        <v>100</v>
      </c>
      <c r="H1190" s="32">
        <f t="shared" si="24"/>
        <v>4600</v>
      </c>
    </row>
    <row r="1191" spans="2:8">
      <c r="B1191" s="28">
        <v>10379</v>
      </c>
      <c r="C1191" s="34" t="s">
        <v>261</v>
      </c>
      <c r="D1191" s="34" t="s">
        <v>104</v>
      </c>
      <c r="E1191" s="34" t="s">
        <v>93</v>
      </c>
      <c r="F1191" s="35">
        <v>32</v>
      </c>
      <c r="G1191" s="37">
        <v>70.83</v>
      </c>
      <c r="H1191" s="32">
        <f t="shared" si="24"/>
        <v>2266.56</v>
      </c>
    </row>
    <row r="1192" spans="2:8">
      <c r="B1192" s="28">
        <v>10406</v>
      </c>
      <c r="C1192" s="34" t="s">
        <v>429</v>
      </c>
      <c r="D1192" s="34" t="s">
        <v>232</v>
      </c>
      <c r="E1192" s="34" t="s">
        <v>256</v>
      </c>
      <c r="F1192" s="35">
        <v>65</v>
      </c>
      <c r="G1192" s="37">
        <v>100</v>
      </c>
      <c r="H1192" s="32">
        <f t="shared" si="24"/>
        <v>6500</v>
      </c>
    </row>
    <row r="1193" spans="2:8">
      <c r="B1193" s="28">
        <v>10419</v>
      </c>
      <c r="C1193" s="34" t="s">
        <v>229</v>
      </c>
      <c r="D1193" s="34" t="s">
        <v>119</v>
      </c>
      <c r="E1193" s="34" t="s">
        <v>93</v>
      </c>
      <c r="F1193" s="35">
        <v>43</v>
      </c>
      <c r="G1193" s="37">
        <v>100</v>
      </c>
      <c r="H1193" s="32">
        <f t="shared" si="24"/>
        <v>4300</v>
      </c>
    </row>
    <row r="1194" spans="2:8">
      <c r="B1194" s="28">
        <v>10108</v>
      </c>
      <c r="C1194" s="34" t="s">
        <v>552</v>
      </c>
      <c r="D1194" s="34" t="s">
        <v>104</v>
      </c>
      <c r="E1194" s="34" t="s">
        <v>93</v>
      </c>
      <c r="F1194" s="35">
        <v>43</v>
      </c>
      <c r="G1194" s="37">
        <v>67.77</v>
      </c>
      <c r="H1194" s="32">
        <f t="shared" si="24"/>
        <v>2914.1099999999997</v>
      </c>
    </row>
    <row r="1195" spans="2:8">
      <c r="B1195" s="28">
        <v>10122</v>
      </c>
      <c r="C1195" s="34" t="s">
        <v>109</v>
      </c>
      <c r="D1195" s="34" t="s">
        <v>104</v>
      </c>
      <c r="E1195" s="34" t="s">
        <v>93</v>
      </c>
      <c r="F1195" s="35">
        <v>35</v>
      </c>
      <c r="G1195" s="37">
        <v>49.74</v>
      </c>
      <c r="H1195" s="32">
        <f t="shared" si="24"/>
        <v>1740.9</v>
      </c>
    </row>
    <row r="1196" spans="2:8">
      <c r="B1196" s="28">
        <v>10135</v>
      </c>
      <c r="C1196" s="34" t="s">
        <v>100</v>
      </c>
      <c r="D1196" s="34" t="s">
        <v>104</v>
      </c>
      <c r="E1196" s="34" t="s">
        <v>93</v>
      </c>
      <c r="F1196" s="35">
        <v>45</v>
      </c>
      <c r="G1196" s="37">
        <v>50.36</v>
      </c>
      <c r="H1196" s="32">
        <f t="shared" si="24"/>
        <v>2266.1999999999998</v>
      </c>
    </row>
    <row r="1197" spans="2:8">
      <c r="B1197" s="28">
        <v>10146</v>
      </c>
      <c r="C1197" s="34" t="s">
        <v>100</v>
      </c>
      <c r="D1197" s="34" t="s">
        <v>119</v>
      </c>
      <c r="E1197" s="34" t="s">
        <v>93</v>
      </c>
      <c r="F1197" s="35">
        <v>47</v>
      </c>
      <c r="G1197" s="37">
        <v>67.14</v>
      </c>
      <c r="H1197" s="32">
        <f t="shared" si="24"/>
        <v>3155.58</v>
      </c>
    </row>
    <row r="1198" spans="2:8">
      <c r="B1198" s="28">
        <v>10159</v>
      </c>
      <c r="C1198" s="34" t="s">
        <v>100</v>
      </c>
      <c r="D1198" s="34" t="s">
        <v>104</v>
      </c>
      <c r="E1198" s="34" t="s">
        <v>93</v>
      </c>
      <c r="F1198" s="35">
        <v>21</v>
      </c>
      <c r="G1198" s="37">
        <v>64.66</v>
      </c>
      <c r="H1198" s="32">
        <f t="shared" si="24"/>
        <v>1357.86</v>
      </c>
    </row>
    <row r="1199" spans="2:8">
      <c r="B1199" s="28">
        <v>10169</v>
      </c>
      <c r="C1199" s="34" t="s">
        <v>168</v>
      </c>
      <c r="D1199" s="34" t="s">
        <v>104</v>
      </c>
      <c r="E1199" s="34" t="s">
        <v>93</v>
      </c>
      <c r="F1199" s="35">
        <v>38</v>
      </c>
      <c r="G1199" s="37">
        <v>68.39</v>
      </c>
      <c r="H1199" s="32">
        <f t="shared" si="24"/>
        <v>2598.8200000000002</v>
      </c>
    </row>
    <row r="1200" spans="2:8">
      <c r="B1200" s="28">
        <v>10180</v>
      </c>
      <c r="C1200" s="34" t="s">
        <v>109</v>
      </c>
      <c r="D1200" s="34" t="s">
        <v>104</v>
      </c>
      <c r="E1200" s="34" t="s">
        <v>93</v>
      </c>
      <c r="F1200" s="35">
        <v>21</v>
      </c>
      <c r="G1200" s="37">
        <v>50.36</v>
      </c>
      <c r="H1200" s="32">
        <f t="shared" si="24"/>
        <v>1057.56</v>
      </c>
    </row>
    <row r="1201" spans="2:8">
      <c r="B1201" s="28">
        <v>10191</v>
      </c>
      <c r="C1201" s="34" t="s">
        <v>566</v>
      </c>
      <c r="D1201" s="34" t="s">
        <v>119</v>
      </c>
      <c r="E1201" s="34" t="s">
        <v>93</v>
      </c>
      <c r="F1201" s="35">
        <v>43</v>
      </c>
      <c r="G1201" s="37">
        <v>72.739999999999995</v>
      </c>
      <c r="H1201" s="32">
        <f t="shared" si="24"/>
        <v>3127.8199999999997</v>
      </c>
    </row>
    <row r="1202" spans="2:8">
      <c r="B1202" s="28">
        <v>10211</v>
      </c>
      <c r="C1202" s="34" t="s">
        <v>109</v>
      </c>
      <c r="D1202" s="34" t="s">
        <v>104</v>
      </c>
      <c r="E1202" s="34" t="s">
        <v>93</v>
      </c>
      <c r="F1202" s="35">
        <v>46</v>
      </c>
      <c r="G1202" s="37">
        <v>54.09</v>
      </c>
      <c r="H1202" s="32">
        <f t="shared" si="24"/>
        <v>2488.1400000000003</v>
      </c>
    </row>
    <row r="1203" spans="2:8">
      <c r="B1203" s="28">
        <v>10224</v>
      </c>
      <c r="C1203" s="34" t="s">
        <v>109</v>
      </c>
      <c r="D1203" s="34" t="s">
        <v>104</v>
      </c>
      <c r="E1203" s="34" t="s">
        <v>93</v>
      </c>
      <c r="F1203" s="35">
        <v>38</v>
      </c>
      <c r="G1203" s="37">
        <v>58.44</v>
      </c>
      <c r="H1203" s="32">
        <f t="shared" si="24"/>
        <v>2220.7199999999998</v>
      </c>
    </row>
    <row r="1204" spans="2:8">
      <c r="B1204" s="28">
        <v>10237</v>
      </c>
      <c r="C1204" s="34" t="s">
        <v>100</v>
      </c>
      <c r="D1204" s="34" t="s">
        <v>104</v>
      </c>
      <c r="E1204" s="34" t="s">
        <v>93</v>
      </c>
      <c r="F1204" s="35">
        <v>26</v>
      </c>
      <c r="G1204" s="37">
        <v>52.22</v>
      </c>
      <c r="H1204" s="32">
        <f t="shared" si="24"/>
        <v>1357.72</v>
      </c>
    </row>
    <row r="1205" spans="2:8">
      <c r="B1205" s="28">
        <v>10252</v>
      </c>
      <c r="C1205" s="34" t="s">
        <v>109</v>
      </c>
      <c r="D1205" s="34" t="s">
        <v>104</v>
      </c>
      <c r="E1205" s="34" t="s">
        <v>93</v>
      </c>
      <c r="F1205" s="35">
        <v>31</v>
      </c>
      <c r="G1205" s="37">
        <v>52.84</v>
      </c>
      <c r="H1205" s="32">
        <f t="shared" si="24"/>
        <v>1638.0400000000002</v>
      </c>
    </row>
    <row r="1206" spans="2:8">
      <c r="B1206" s="28">
        <v>10264</v>
      </c>
      <c r="C1206" s="34" t="s">
        <v>100</v>
      </c>
      <c r="D1206" s="34" t="s">
        <v>104</v>
      </c>
      <c r="E1206" s="34" t="s">
        <v>93</v>
      </c>
      <c r="F1206" s="35">
        <v>48</v>
      </c>
      <c r="G1206" s="37">
        <v>54.71</v>
      </c>
      <c r="H1206" s="32">
        <f t="shared" si="24"/>
        <v>2626.08</v>
      </c>
    </row>
    <row r="1207" spans="2:8">
      <c r="B1207" s="28">
        <v>10276</v>
      </c>
      <c r="C1207" s="34" t="s">
        <v>100</v>
      </c>
      <c r="D1207" s="34" t="s">
        <v>104</v>
      </c>
      <c r="E1207" s="34" t="s">
        <v>93</v>
      </c>
      <c r="F1207" s="35">
        <v>33</v>
      </c>
      <c r="G1207" s="37">
        <v>50.36</v>
      </c>
      <c r="H1207" s="32">
        <f t="shared" si="24"/>
        <v>1661.8799999999999</v>
      </c>
    </row>
    <row r="1208" spans="2:8">
      <c r="B1208" s="28">
        <v>10286</v>
      </c>
      <c r="C1208" s="34" t="s">
        <v>109</v>
      </c>
      <c r="D1208" s="34" t="s">
        <v>104</v>
      </c>
      <c r="E1208" s="34" t="s">
        <v>93</v>
      </c>
      <c r="F1208" s="35">
        <v>38</v>
      </c>
      <c r="G1208" s="37">
        <v>57.2</v>
      </c>
      <c r="H1208" s="32">
        <f t="shared" si="24"/>
        <v>2173.6</v>
      </c>
    </row>
    <row r="1209" spans="2:8">
      <c r="B1209" s="28">
        <v>10299</v>
      </c>
      <c r="C1209" s="34" t="s">
        <v>208</v>
      </c>
      <c r="D1209" s="34" t="s">
        <v>104</v>
      </c>
      <c r="E1209" s="34" t="s">
        <v>93</v>
      </c>
      <c r="F1209" s="35">
        <v>39</v>
      </c>
      <c r="G1209" s="37">
        <v>55.95</v>
      </c>
      <c r="H1209" s="32">
        <f t="shared" si="24"/>
        <v>2182.0500000000002</v>
      </c>
    </row>
    <row r="1210" spans="2:8">
      <c r="B1210" s="28">
        <v>10310</v>
      </c>
      <c r="C1210" s="34" t="s">
        <v>566</v>
      </c>
      <c r="D1210" s="34" t="s">
        <v>104</v>
      </c>
      <c r="E1210" s="34" t="s">
        <v>93</v>
      </c>
      <c r="F1210" s="35">
        <v>42</v>
      </c>
      <c r="G1210" s="37">
        <v>67.14</v>
      </c>
      <c r="H1210" s="32">
        <f t="shared" si="24"/>
        <v>2819.88</v>
      </c>
    </row>
    <row r="1211" spans="2:8">
      <c r="B1211" s="28">
        <v>10319</v>
      </c>
      <c r="C1211" s="34" t="s">
        <v>100</v>
      </c>
      <c r="D1211" s="34" t="s">
        <v>104</v>
      </c>
      <c r="E1211" s="34" t="s">
        <v>93</v>
      </c>
      <c r="F1211" s="35">
        <v>44</v>
      </c>
      <c r="G1211" s="37">
        <v>59.06</v>
      </c>
      <c r="H1211" s="32">
        <f t="shared" si="24"/>
        <v>2598.6400000000003</v>
      </c>
    </row>
    <row r="1212" spans="2:8">
      <c r="B1212" s="28">
        <v>10330</v>
      </c>
      <c r="C1212" s="34" t="s">
        <v>552</v>
      </c>
      <c r="D1212" s="34" t="s">
        <v>104</v>
      </c>
      <c r="E1212" s="34" t="s">
        <v>93</v>
      </c>
      <c r="F1212" s="35">
        <v>29</v>
      </c>
      <c r="G1212" s="37">
        <v>69.63</v>
      </c>
      <c r="H1212" s="32">
        <f t="shared" si="24"/>
        <v>2019.27</v>
      </c>
    </row>
    <row r="1213" spans="2:8">
      <c r="B1213" s="28">
        <v>10342</v>
      </c>
      <c r="C1213" s="34" t="s">
        <v>168</v>
      </c>
      <c r="D1213" s="34" t="s">
        <v>104</v>
      </c>
      <c r="E1213" s="34" t="s">
        <v>93</v>
      </c>
      <c r="F1213" s="35">
        <v>26</v>
      </c>
      <c r="G1213" s="37">
        <v>55.95</v>
      </c>
      <c r="H1213" s="32">
        <f t="shared" si="24"/>
        <v>1454.7</v>
      </c>
    </row>
    <row r="1214" spans="2:8">
      <c r="B1214" s="28">
        <v>10355</v>
      </c>
      <c r="C1214" s="34" t="s">
        <v>261</v>
      </c>
      <c r="D1214" s="34" t="s">
        <v>104</v>
      </c>
      <c r="E1214" s="34" t="s">
        <v>93</v>
      </c>
      <c r="F1214" s="35">
        <v>31</v>
      </c>
      <c r="G1214" s="37">
        <v>53.47</v>
      </c>
      <c r="H1214" s="32">
        <f t="shared" si="24"/>
        <v>1657.57</v>
      </c>
    </row>
    <row r="1215" spans="2:8">
      <c r="B1215" s="28">
        <v>10363</v>
      </c>
      <c r="C1215" s="34" t="s">
        <v>208</v>
      </c>
      <c r="D1215" s="34" t="s">
        <v>104</v>
      </c>
      <c r="E1215" s="34" t="s">
        <v>93</v>
      </c>
      <c r="F1215" s="35">
        <v>32</v>
      </c>
      <c r="G1215" s="37">
        <v>89.12</v>
      </c>
      <c r="H1215" s="32">
        <f t="shared" si="24"/>
        <v>2851.84</v>
      </c>
    </row>
    <row r="1216" spans="2:8">
      <c r="B1216" s="28">
        <v>10378</v>
      </c>
      <c r="C1216" s="34" t="s">
        <v>261</v>
      </c>
      <c r="D1216" s="34" t="s">
        <v>119</v>
      </c>
      <c r="E1216" s="34" t="s">
        <v>93</v>
      </c>
      <c r="F1216" s="35">
        <v>28</v>
      </c>
      <c r="G1216" s="37">
        <v>100</v>
      </c>
      <c r="H1216" s="32">
        <f t="shared" si="24"/>
        <v>2800</v>
      </c>
    </row>
    <row r="1217" spans="2:8">
      <c r="B1217" s="28">
        <v>10390</v>
      </c>
      <c r="C1217" s="34" t="s">
        <v>100</v>
      </c>
      <c r="D1217" s="34" t="s">
        <v>119</v>
      </c>
      <c r="E1217" s="34" t="s">
        <v>93</v>
      </c>
      <c r="F1217" s="35">
        <v>36</v>
      </c>
      <c r="G1217" s="37">
        <v>100</v>
      </c>
      <c r="H1217" s="32">
        <f t="shared" si="24"/>
        <v>3600</v>
      </c>
    </row>
    <row r="1218" spans="2:8">
      <c r="B1218" s="28">
        <v>10403</v>
      </c>
      <c r="C1218" s="34" t="s">
        <v>252</v>
      </c>
      <c r="D1218" s="34" t="s">
        <v>104</v>
      </c>
      <c r="E1218" s="34" t="s">
        <v>93</v>
      </c>
      <c r="F1218" s="35">
        <v>36</v>
      </c>
      <c r="G1218" s="37">
        <v>52.22</v>
      </c>
      <c r="H1218" s="32">
        <f t="shared" si="24"/>
        <v>1879.92</v>
      </c>
    </row>
    <row r="1219" spans="2:8">
      <c r="B1219" s="28">
        <v>10106</v>
      </c>
      <c r="C1219" s="34" t="s">
        <v>352</v>
      </c>
      <c r="D1219" s="34" t="s">
        <v>119</v>
      </c>
      <c r="E1219" s="34" t="s">
        <v>93</v>
      </c>
      <c r="F1219" s="35">
        <v>41</v>
      </c>
      <c r="G1219" s="37">
        <v>100</v>
      </c>
      <c r="H1219" s="32">
        <f t="shared" si="24"/>
        <v>4100</v>
      </c>
    </row>
    <row r="1220" spans="2:8">
      <c r="B1220" s="28">
        <v>10119</v>
      </c>
      <c r="C1220" s="34" t="s">
        <v>229</v>
      </c>
      <c r="D1220" s="34" t="s">
        <v>104</v>
      </c>
      <c r="E1220" s="34" t="s">
        <v>93</v>
      </c>
      <c r="F1220" s="35">
        <v>27</v>
      </c>
      <c r="G1220" s="37">
        <v>99.52</v>
      </c>
      <c r="H1220" s="32">
        <f t="shared" si="24"/>
        <v>2687.04</v>
      </c>
    </row>
    <row r="1221" spans="2:8">
      <c r="B1221" s="28">
        <v>10130</v>
      </c>
      <c r="C1221" s="34" t="s">
        <v>100</v>
      </c>
      <c r="D1221" s="34" t="s">
        <v>119</v>
      </c>
      <c r="E1221" s="34" t="s">
        <v>93</v>
      </c>
      <c r="F1221" s="35">
        <v>33</v>
      </c>
      <c r="G1221" s="37">
        <v>100</v>
      </c>
      <c r="H1221" s="32">
        <f t="shared" ref="H1221:H1284" si="25">F1221*G1221</f>
        <v>3300</v>
      </c>
    </row>
    <row r="1222" spans="2:8">
      <c r="B1222" s="28">
        <v>10143</v>
      </c>
      <c r="C1222" s="34" t="s">
        <v>100</v>
      </c>
      <c r="D1222" s="34" t="s">
        <v>119</v>
      </c>
      <c r="E1222" s="34" t="s">
        <v>93</v>
      </c>
      <c r="F1222" s="35">
        <v>34</v>
      </c>
      <c r="G1222" s="37">
        <v>100</v>
      </c>
      <c r="H1222" s="32">
        <f t="shared" si="25"/>
        <v>3400</v>
      </c>
    </row>
    <row r="1223" spans="2:8">
      <c r="B1223" s="28">
        <v>10155</v>
      </c>
      <c r="C1223" s="34" t="s">
        <v>208</v>
      </c>
      <c r="D1223" s="34" t="s">
        <v>119</v>
      </c>
      <c r="E1223" s="34" t="s">
        <v>93</v>
      </c>
      <c r="F1223" s="35">
        <v>29</v>
      </c>
      <c r="G1223" s="37">
        <v>100</v>
      </c>
      <c r="H1223" s="32">
        <f t="shared" si="25"/>
        <v>2900</v>
      </c>
    </row>
    <row r="1224" spans="2:8">
      <c r="B1224" s="28">
        <v>10167</v>
      </c>
      <c r="C1224" s="34" t="s">
        <v>273</v>
      </c>
      <c r="D1224" s="34" t="s">
        <v>119</v>
      </c>
      <c r="E1224" s="34" t="s">
        <v>444</v>
      </c>
      <c r="F1224" s="35">
        <v>34</v>
      </c>
      <c r="G1224" s="37">
        <v>100</v>
      </c>
      <c r="H1224" s="32">
        <f t="shared" si="25"/>
        <v>3400</v>
      </c>
    </row>
    <row r="1225" spans="2:8">
      <c r="B1225" s="28">
        <v>10178</v>
      </c>
      <c r="C1225" s="34" t="s">
        <v>109</v>
      </c>
      <c r="D1225" s="34" t="s">
        <v>119</v>
      </c>
      <c r="E1225" s="34" t="s">
        <v>93</v>
      </c>
      <c r="F1225" s="35">
        <v>48</v>
      </c>
      <c r="G1225" s="37">
        <v>100</v>
      </c>
      <c r="H1225" s="32">
        <f t="shared" si="25"/>
        <v>4800</v>
      </c>
    </row>
    <row r="1226" spans="2:8">
      <c r="B1226" s="28">
        <v>10186</v>
      </c>
      <c r="C1226" s="34" t="s">
        <v>252</v>
      </c>
      <c r="D1226" s="34" t="s">
        <v>119</v>
      </c>
      <c r="E1226" s="34" t="s">
        <v>93</v>
      </c>
      <c r="F1226" s="35">
        <v>46</v>
      </c>
      <c r="G1226" s="37">
        <v>100</v>
      </c>
      <c r="H1226" s="32">
        <f t="shared" si="25"/>
        <v>4600</v>
      </c>
    </row>
    <row r="1227" spans="2:8">
      <c r="B1227" s="28">
        <v>10197</v>
      </c>
      <c r="C1227" s="34" t="s">
        <v>261</v>
      </c>
      <c r="D1227" s="34" t="s">
        <v>104</v>
      </c>
      <c r="E1227" s="34" t="s">
        <v>93</v>
      </c>
      <c r="F1227" s="35">
        <v>22</v>
      </c>
      <c r="G1227" s="37">
        <v>100</v>
      </c>
      <c r="H1227" s="32">
        <f t="shared" si="25"/>
        <v>2200</v>
      </c>
    </row>
    <row r="1228" spans="2:8">
      <c r="B1228" s="28">
        <v>10209</v>
      </c>
      <c r="C1228" s="34" t="s">
        <v>100</v>
      </c>
      <c r="D1228" s="34" t="s">
        <v>104</v>
      </c>
      <c r="E1228" s="34" t="s">
        <v>93</v>
      </c>
      <c r="F1228" s="35">
        <v>20</v>
      </c>
      <c r="G1228" s="37">
        <v>100</v>
      </c>
      <c r="H1228" s="32">
        <f t="shared" si="25"/>
        <v>2000</v>
      </c>
    </row>
    <row r="1229" spans="2:8">
      <c r="B1229" s="28">
        <v>10222</v>
      </c>
      <c r="C1229" s="34" t="s">
        <v>100</v>
      </c>
      <c r="D1229" s="34" t="s">
        <v>119</v>
      </c>
      <c r="E1229" s="34" t="s">
        <v>93</v>
      </c>
      <c r="F1229" s="35">
        <v>45</v>
      </c>
      <c r="G1229" s="37">
        <v>85.75</v>
      </c>
      <c r="H1229" s="32">
        <f t="shared" si="25"/>
        <v>3858.75</v>
      </c>
    </row>
    <row r="1230" spans="2:8">
      <c r="B1230" s="28">
        <v>10249</v>
      </c>
      <c r="C1230" s="34" t="s">
        <v>100</v>
      </c>
      <c r="D1230" s="34" t="s">
        <v>119</v>
      </c>
      <c r="E1230" s="34" t="s">
        <v>93</v>
      </c>
      <c r="F1230" s="35">
        <v>46</v>
      </c>
      <c r="G1230" s="37">
        <v>100</v>
      </c>
      <c r="H1230" s="32">
        <f t="shared" si="25"/>
        <v>4600</v>
      </c>
    </row>
    <row r="1231" spans="2:8">
      <c r="B1231" s="28">
        <v>10262</v>
      </c>
      <c r="C1231" s="34" t="s">
        <v>261</v>
      </c>
      <c r="D1231" s="34" t="s">
        <v>119</v>
      </c>
      <c r="E1231" s="34" t="s">
        <v>444</v>
      </c>
      <c r="F1231" s="35">
        <v>34</v>
      </c>
      <c r="G1231" s="37">
        <v>100</v>
      </c>
      <c r="H1231" s="32">
        <f t="shared" si="25"/>
        <v>3400</v>
      </c>
    </row>
    <row r="1232" spans="2:8">
      <c r="B1232" s="28">
        <v>10273</v>
      </c>
      <c r="C1232" s="34" t="s">
        <v>480</v>
      </c>
      <c r="D1232" s="34" t="s">
        <v>119</v>
      </c>
      <c r="E1232" s="34" t="s">
        <v>93</v>
      </c>
      <c r="F1232" s="35">
        <v>50</v>
      </c>
      <c r="G1232" s="37">
        <v>85.75</v>
      </c>
      <c r="H1232" s="32">
        <f t="shared" si="25"/>
        <v>4287.5</v>
      </c>
    </row>
    <row r="1233" spans="2:8">
      <c r="B1233" s="28">
        <v>10283</v>
      </c>
      <c r="C1233" s="34" t="s">
        <v>322</v>
      </c>
      <c r="D1233" s="34" t="s">
        <v>119</v>
      </c>
      <c r="E1233" s="34" t="s">
        <v>93</v>
      </c>
      <c r="F1233" s="35">
        <v>46</v>
      </c>
      <c r="G1233" s="37">
        <v>100</v>
      </c>
      <c r="H1233" s="32">
        <f t="shared" si="25"/>
        <v>4600</v>
      </c>
    </row>
    <row r="1234" spans="2:8">
      <c r="B1234" s="28">
        <v>10296</v>
      </c>
      <c r="C1234" s="34" t="s">
        <v>566</v>
      </c>
      <c r="D1234" s="34" t="s">
        <v>104</v>
      </c>
      <c r="E1234" s="34" t="s">
        <v>93</v>
      </c>
      <c r="F1234" s="35">
        <v>22</v>
      </c>
      <c r="G1234" s="37">
        <v>84.7</v>
      </c>
      <c r="H1234" s="32">
        <f t="shared" si="25"/>
        <v>1863.4</v>
      </c>
    </row>
    <row r="1235" spans="2:8">
      <c r="B1235" s="28">
        <v>10307</v>
      </c>
      <c r="C1235" s="34" t="s">
        <v>100</v>
      </c>
      <c r="D1235" s="34" t="s">
        <v>119</v>
      </c>
      <c r="E1235" s="34" t="s">
        <v>93</v>
      </c>
      <c r="F1235" s="35">
        <v>48</v>
      </c>
      <c r="G1235" s="37">
        <v>86.81</v>
      </c>
      <c r="H1235" s="32">
        <f t="shared" si="25"/>
        <v>4166.88</v>
      </c>
    </row>
    <row r="1236" spans="2:8">
      <c r="B1236" s="28">
        <v>10316</v>
      </c>
      <c r="C1236" s="34" t="s">
        <v>252</v>
      </c>
      <c r="D1236" s="34" t="s">
        <v>119</v>
      </c>
      <c r="E1236" s="34" t="s">
        <v>93</v>
      </c>
      <c r="F1236" s="35">
        <v>47</v>
      </c>
      <c r="G1236" s="37">
        <v>86.81</v>
      </c>
      <c r="H1236" s="32">
        <f t="shared" si="25"/>
        <v>4080.07</v>
      </c>
    </row>
    <row r="1237" spans="2:8">
      <c r="B1237" s="28">
        <v>10328</v>
      </c>
      <c r="C1237" s="34" t="s">
        <v>352</v>
      </c>
      <c r="D1237" s="34" t="s">
        <v>119</v>
      </c>
      <c r="E1237" s="34" t="s">
        <v>93</v>
      </c>
      <c r="F1237" s="35">
        <v>34</v>
      </c>
      <c r="G1237" s="37">
        <v>100</v>
      </c>
      <c r="H1237" s="32">
        <f t="shared" si="25"/>
        <v>3400</v>
      </c>
    </row>
    <row r="1238" spans="2:8">
      <c r="B1238" s="28">
        <v>10338</v>
      </c>
      <c r="C1238" s="34" t="s">
        <v>480</v>
      </c>
      <c r="D1238" s="34" t="s">
        <v>119</v>
      </c>
      <c r="E1238" s="34" t="s">
        <v>93</v>
      </c>
      <c r="F1238" s="35">
        <v>45</v>
      </c>
      <c r="G1238" s="37">
        <v>100</v>
      </c>
      <c r="H1238" s="32">
        <f t="shared" si="25"/>
        <v>4500</v>
      </c>
    </row>
    <row r="1239" spans="2:8">
      <c r="B1239" s="28">
        <v>10351</v>
      </c>
      <c r="C1239" s="34" t="s">
        <v>252</v>
      </c>
      <c r="D1239" s="34" t="s">
        <v>119</v>
      </c>
      <c r="E1239" s="34" t="s">
        <v>93</v>
      </c>
      <c r="F1239" s="35">
        <v>20</v>
      </c>
      <c r="G1239" s="37">
        <v>100</v>
      </c>
      <c r="H1239" s="32">
        <f t="shared" si="25"/>
        <v>2000</v>
      </c>
    </row>
    <row r="1240" spans="2:8">
      <c r="B1240" s="28">
        <v>10373</v>
      </c>
      <c r="C1240" s="34" t="s">
        <v>208</v>
      </c>
      <c r="D1240" s="34" t="s">
        <v>119</v>
      </c>
      <c r="E1240" s="34" t="s">
        <v>93</v>
      </c>
      <c r="F1240" s="35">
        <v>50</v>
      </c>
      <c r="G1240" s="37">
        <v>60.49</v>
      </c>
      <c r="H1240" s="32">
        <f t="shared" si="25"/>
        <v>3024.5</v>
      </c>
    </row>
    <row r="1241" spans="2:8">
      <c r="B1241" s="28">
        <v>10386</v>
      </c>
      <c r="C1241" s="34" t="s">
        <v>261</v>
      </c>
      <c r="D1241" s="34" t="s">
        <v>104</v>
      </c>
      <c r="E1241" s="34" t="s">
        <v>526</v>
      </c>
      <c r="F1241" s="35">
        <v>22</v>
      </c>
      <c r="G1241" s="37">
        <v>57.55</v>
      </c>
      <c r="H1241" s="32">
        <f t="shared" si="25"/>
        <v>1266.0999999999999</v>
      </c>
    </row>
    <row r="1242" spans="2:8">
      <c r="B1242" s="28">
        <v>10398</v>
      </c>
      <c r="C1242" s="34" t="s">
        <v>109</v>
      </c>
      <c r="D1242" s="34" t="s">
        <v>119</v>
      </c>
      <c r="E1242" s="34" t="s">
        <v>93</v>
      </c>
      <c r="F1242" s="35">
        <v>45</v>
      </c>
      <c r="G1242" s="37">
        <v>100</v>
      </c>
      <c r="H1242" s="32">
        <f t="shared" si="25"/>
        <v>4500</v>
      </c>
    </row>
    <row r="1243" spans="2:8">
      <c r="B1243" s="28">
        <v>10400</v>
      </c>
      <c r="C1243" s="34" t="s">
        <v>100</v>
      </c>
      <c r="D1243" s="34" t="s">
        <v>232</v>
      </c>
      <c r="E1243" s="34" t="s">
        <v>93</v>
      </c>
      <c r="F1243" s="35">
        <v>58</v>
      </c>
      <c r="G1243" s="37">
        <v>100</v>
      </c>
      <c r="H1243" s="32">
        <f t="shared" si="25"/>
        <v>5800</v>
      </c>
    </row>
    <row r="1244" spans="2:8">
      <c r="B1244" s="28">
        <v>10415</v>
      </c>
      <c r="C1244" s="34" t="s">
        <v>168</v>
      </c>
      <c r="D1244" s="34" t="s">
        <v>119</v>
      </c>
      <c r="E1244" s="34" t="s">
        <v>256</v>
      </c>
      <c r="F1244" s="35">
        <v>51</v>
      </c>
      <c r="G1244" s="37">
        <v>100</v>
      </c>
      <c r="H1244" s="32">
        <f t="shared" si="25"/>
        <v>5100</v>
      </c>
    </row>
    <row r="1245" spans="2:8">
      <c r="B1245" s="28">
        <v>10104</v>
      </c>
      <c r="C1245" s="34" t="s">
        <v>261</v>
      </c>
      <c r="D1245" s="34" t="s">
        <v>119</v>
      </c>
      <c r="E1245" s="34" t="s">
        <v>93</v>
      </c>
      <c r="F1245" s="35">
        <v>38</v>
      </c>
      <c r="G1245" s="37">
        <v>100</v>
      </c>
      <c r="H1245" s="32">
        <f t="shared" si="25"/>
        <v>3800</v>
      </c>
    </row>
    <row r="1246" spans="2:8">
      <c r="B1246" s="28">
        <v>10117</v>
      </c>
      <c r="C1246" s="34" t="s">
        <v>287</v>
      </c>
      <c r="D1246" s="34" t="s">
        <v>104</v>
      </c>
      <c r="E1246" s="34" t="s">
        <v>93</v>
      </c>
      <c r="F1246" s="35">
        <v>22</v>
      </c>
      <c r="G1246" s="37">
        <v>100</v>
      </c>
      <c r="H1246" s="32">
        <f t="shared" si="25"/>
        <v>2200</v>
      </c>
    </row>
    <row r="1247" spans="2:8">
      <c r="B1247" s="28">
        <v>10127</v>
      </c>
      <c r="C1247" s="34" t="s">
        <v>100</v>
      </c>
      <c r="D1247" s="34" t="s">
        <v>119</v>
      </c>
      <c r="E1247" s="34" t="s">
        <v>93</v>
      </c>
      <c r="F1247" s="35">
        <v>25</v>
      </c>
      <c r="G1247" s="37">
        <v>100</v>
      </c>
      <c r="H1247" s="32">
        <f t="shared" si="25"/>
        <v>2500</v>
      </c>
    </row>
    <row r="1248" spans="2:8">
      <c r="B1248" s="28">
        <v>10142</v>
      </c>
      <c r="C1248" s="34" t="s">
        <v>100</v>
      </c>
      <c r="D1248" s="34" t="s">
        <v>119</v>
      </c>
      <c r="E1248" s="34" t="s">
        <v>93</v>
      </c>
      <c r="F1248" s="35">
        <v>24</v>
      </c>
      <c r="G1248" s="37">
        <v>100</v>
      </c>
      <c r="H1248" s="32">
        <f t="shared" si="25"/>
        <v>2400</v>
      </c>
    </row>
    <row r="1249" spans="2:8">
      <c r="B1249" s="28">
        <v>10152</v>
      </c>
      <c r="C1249" s="34" t="s">
        <v>168</v>
      </c>
      <c r="D1249" s="34" t="s">
        <v>119</v>
      </c>
      <c r="E1249" s="34" t="s">
        <v>93</v>
      </c>
      <c r="F1249" s="35">
        <v>35</v>
      </c>
      <c r="G1249" s="37">
        <v>100</v>
      </c>
      <c r="H1249" s="32">
        <f t="shared" si="25"/>
        <v>3500</v>
      </c>
    </row>
    <row r="1250" spans="2:8">
      <c r="B1250" s="28">
        <v>10165</v>
      </c>
      <c r="C1250" s="34" t="s">
        <v>287</v>
      </c>
      <c r="D1250" s="34" t="s">
        <v>119</v>
      </c>
      <c r="E1250" s="34" t="s">
        <v>93</v>
      </c>
      <c r="F1250" s="35">
        <v>28</v>
      </c>
      <c r="G1250" s="37">
        <v>100</v>
      </c>
      <c r="H1250" s="32">
        <f t="shared" si="25"/>
        <v>2800</v>
      </c>
    </row>
    <row r="1251" spans="2:8">
      <c r="B1251" s="28">
        <v>10176</v>
      </c>
      <c r="C1251" s="34" t="s">
        <v>352</v>
      </c>
      <c r="D1251" s="34" t="s">
        <v>119</v>
      </c>
      <c r="E1251" s="34" t="s">
        <v>93</v>
      </c>
      <c r="F1251" s="35">
        <v>36</v>
      </c>
      <c r="G1251" s="37">
        <v>100</v>
      </c>
      <c r="H1251" s="32">
        <f t="shared" si="25"/>
        <v>3600</v>
      </c>
    </row>
    <row r="1252" spans="2:8">
      <c r="B1252" s="28">
        <v>10185</v>
      </c>
      <c r="C1252" s="34" t="s">
        <v>100</v>
      </c>
      <c r="D1252" s="34" t="s">
        <v>119</v>
      </c>
      <c r="E1252" s="34" t="s">
        <v>93</v>
      </c>
      <c r="F1252" s="35">
        <v>39</v>
      </c>
      <c r="G1252" s="37">
        <v>100</v>
      </c>
      <c r="H1252" s="32">
        <f t="shared" si="25"/>
        <v>3900</v>
      </c>
    </row>
    <row r="1253" spans="2:8">
      <c r="B1253" s="28">
        <v>10196</v>
      </c>
      <c r="C1253" s="34" t="s">
        <v>100</v>
      </c>
      <c r="D1253" s="34" t="s">
        <v>119</v>
      </c>
      <c r="E1253" s="34" t="s">
        <v>93</v>
      </c>
      <c r="F1253" s="35">
        <v>27</v>
      </c>
      <c r="G1253" s="37">
        <v>100</v>
      </c>
      <c r="H1253" s="32">
        <f t="shared" si="25"/>
        <v>2700</v>
      </c>
    </row>
    <row r="1254" spans="2:8">
      <c r="B1254" s="28">
        <v>10207</v>
      </c>
      <c r="C1254" s="34" t="s">
        <v>100</v>
      </c>
      <c r="D1254" s="34" t="s">
        <v>119</v>
      </c>
      <c r="E1254" s="34" t="s">
        <v>93</v>
      </c>
      <c r="F1254" s="35">
        <v>40</v>
      </c>
      <c r="G1254" s="37">
        <v>100</v>
      </c>
      <c r="H1254" s="32">
        <f t="shared" si="25"/>
        <v>4000</v>
      </c>
    </row>
    <row r="1255" spans="2:8">
      <c r="B1255" s="28">
        <v>10220</v>
      </c>
      <c r="C1255" s="34" t="s">
        <v>614</v>
      </c>
      <c r="D1255" s="34" t="s">
        <v>232</v>
      </c>
      <c r="E1255" s="34" t="s">
        <v>93</v>
      </c>
      <c r="F1255" s="35">
        <v>50</v>
      </c>
      <c r="G1255" s="37">
        <v>100</v>
      </c>
      <c r="H1255" s="32">
        <f t="shared" si="25"/>
        <v>5000</v>
      </c>
    </row>
    <row r="1256" spans="2:8">
      <c r="B1256" s="28">
        <v>10230</v>
      </c>
      <c r="C1256" s="34" t="s">
        <v>566</v>
      </c>
      <c r="D1256" s="34" t="s">
        <v>232</v>
      </c>
      <c r="E1256" s="34" t="s">
        <v>93</v>
      </c>
      <c r="F1256" s="35">
        <v>42</v>
      </c>
      <c r="G1256" s="37">
        <v>100</v>
      </c>
      <c r="H1256" s="32">
        <f t="shared" si="25"/>
        <v>4200</v>
      </c>
    </row>
    <row r="1257" spans="2:8">
      <c r="B1257" s="28">
        <v>10247</v>
      </c>
      <c r="C1257" s="34" t="s">
        <v>208</v>
      </c>
      <c r="D1257" s="34" t="s">
        <v>119</v>
      </c>
      <c r="E1257" s="34" t="s">
        <v>93</v>
      </c>
      <c r="F1257" s="35">
        <v>48</v>
      </c>
      <c r="G1257" s="37">
        <v>100</v>
      </c>
      <c r="H1257" s="32">
        <f t="shared" si="25"/>
        <v>4800</v>
      </c>
    </row>
    <row r="1258" spans="2:8">
      <c r="B1258" s="28">
        <v>10272</v>
      </c>
      <c r="C1258" s="34" t="s">
        <v>100</v>
      </c>
      <c r="D1258" s="34" t="s">
        <v>119</v>
      </c>
      <c r="E1258" s="34" t="s">
        <v>93</v>
      </c>
      <c r="F1258" s="35">
        <v>25</v>
      </c>
      <c r="G1258" s="37">
        <v>100</v>
      </c>
      <c r="H1258" s="32">
        <f t="shared" si="25"/>
        <v>2500</v>
      </c>
    </row>
    <row r="1259" spans="2:8">
      <c r="B1259" s="28">
        <v>10282</v>
      </c>
      <c r="C1259" s="34" t="s">
        <v>100</v>
      </c>
      <c r="D1259" s="34" t="s">
        <v>119</v>
      </c>
      <c r="E1259" s="34" t="s">
        <v>93</v>
      </c>
      <c r="F1259" s="35">
        <v>31</v>
      </c>
      <c r="G1259" s="37">
        <v>100</v>
      </c>
      <c r="H1259" s="32">
        <f t="shared" si="25"/>
        <v>3100</v>
      </c>
    </row>
    <row r="1260" spans="2:8">
      <c r="B1260" s="28">
        <v>10292</v>
      </c>
      <c r="C1260" s="34" t="s">
        <v>100</v>
      </c>
      <c r="D1260" s="34" t="s">
        <v>232</v>
      </c>
      <c r="E1260" s="34" t="s">
        <v>93</v>
      </c>
      <c r="F1260" s="35">
        <v>44</v>
      </c>
      <c r="G1260" s="37">
        <v>100</v>
      </c>
      <c r="H1260" s="32">
        <f t="shared" si="25"/>
        <v>4400</v>
      </c>
    </row>
    <row r="1261" spans="2:8">
      <c r="B1261" s="28">
        <v>10306</v>
      </c>
      <c r="C1261" s="34" t="s">
        <v>252</v>
      </c>
      <c r="D1261" s="34" t="s">
        <v>119</v>
      </c>
      <c r="E1261" s="34" t="s">
        <v>93</v>
      </c>
      <c r="F1261" s="35">
        <v>23</v>
      </c>
      <c r="G1261" s="37">
        <v>100</v>
      </c>
      <c r="H1261" s="32">
        <f t="shared" si="25"/>
        <v>2300</v>
      </c>
    </row>
    <row r="1262" spans="2:8">
      <c r="B1262" s="28">
        <v>10314</v>
      </c>
      <c r="C1262" s="34" t="s">
        <v>429</v>
      </c>
      <c r="D1262" s="34" t="s">
        <v>119</v>
      </c>
      <c r="E1262" s="34" t="s">
        <v>93</v>
      </c>
      <c r="F1262" s="35">
        <v>29</v>
      </c>
      <c r="G1262" s="37">
        <v>100</v>
      </c>
      <c r="H1262" s="32">
        <f t="shared" si="25"/>
        <v>2900</v>
      </c>
    </row>
    <row r="1263" spans="2:8">
      <c r="B1263" s="28">
        <v>10324</v>
      </c>
      <c r="C1263" s="34" t="s">
        <v>100</v>
      </c>
      <c r="D1263" s="34" t="s">
        <v>119</v>
      </c>
      <c r="E1263" s="34" t="s">
        <v>93</v>
      </c>
      <c r="F1263" s="35">
        <v>49</v>
      </c>
      <c r="G1263" s="37">
        <v>100</v>
      </c>
      <c r="H1263" s="32">
        <f t="shared" si="25"/>
        <v>4900</v>
      </c>
    </row>
    <row r="1264" spans="2:8">
      <c r="B1264" s="28">
        <v>10337</v>
      </c>
      <c r="C1264" s="34" t="s">
        <v>100</v>
      </c>
      <c r="D1264" s="34" t="s">
        <v>119</v>
      </c>
      <c r="E1264" s="34" t="s">
        <v>93</v>
      </c>
      <c r="F1264" s="35">
        <v>36</v>
      </c>
      <c r="G1264" s="37">
        <v>100</v>
      </c>
      <c r="H1264" s="32">
        <f t="shared" si="25"/>
        <v>3600</v>
      </c>
    </row>
    <row r="1265" spans="2:8">
      <c r="B1265" s="28">
        <v>10349</v>
      </c>
      <c r="C1265" s="34" t="s">
        <v>100</v>
      </c>
      <c r="D1265" s="34" t="s">
        <v>119</v>
      </c>
      <c r="E1265" s="34" t="s">
        <v>93</v>
      </c>
      <c r="F1265" s="35">
        <v>34</v>
      </c>
      <c r="G1265" s="37">
        <v>100</v>
      </c>
      <c r="H1265" s="32">
        <f t="shared" si="25"/>
        <v>3400</v>
      </c>
    </row>
    <row r="1266" spans="2:8">
      <c r="B1266" s="28">
        <v>10358</v>
      </c>
      <c r="C1266" s="34" t="s">
        <v>261</v>
      </c>
      <c r="D1266" s="34" t="s">
        <v>104</v>
      </c>
      <c r="E1266" s="34" t="s">
        <v>93</v>
      </c>
      <c r="F1266" s="35">
        <v>25</v>
      </c>
      <c r="G1266" s="37">
        <v>100</v>
      </c>
      <c r="H1266" s="32">
        <f t="shared" si="25"/>
        <v>2500</v>
      </c>
    </row>
    <row r="1267" spans="2:8">
      <c r="B1267" s="28">
        <v>10372</v>
      </c>
      <c r="C1267" s="34" t="s">
        <v>288</v>
      </c>
      <c r="D1267" s="34" t="s">
        <v>232</v>
      </c>
      <c r="E1267" s="34" t="s">
        <v>93</v>
      </c>
      <c r="F1267" s="35">
        <v>48</v>
      </c>
      <c r="G1267" s="37">
        <v>100</v>
      </c>
      <c r="H1267" s="32">
        <f t="shared" si="25"/>
        <v>4800</v>
      </c>
    </row>
    <row r="1268" spans="2:8">
      <c r="B1268" s="28">
        <v>10383</v>
      </c>
      <c r="C1268" s="34" t="s">
        <v>261</v>
      </c>
      <c r="D1268" s="34" t="s">
        <v>119</v>
      </c>
      <c r="E1268" s="34" t="s">
        <v>93</v>
      </c>
      <c r="F1268" s="35">
        <v>38</v>
      </c>
      <c r="G1268" s="37">
        <v>100</v>
      </c>
      <c r="H1268" s="32">
        <f t="shared" si="25"/>
        <v>3800</v>
      </c>
    </row>
    <row r="1269" spans="2:8">
      <c r="B1269" s="28">
        <v>10394</v>
      </c>
      <c r="C1269" s="34" t="s">
        <v>261</v>
      </c>
      <c r="D1269" s="34" t="s">
        <v>119</v>
      </c>
      <c r="E1269" s="34" t="s">
        <v>93</v>
      </c>
      <c r="F1269" s="35">
        <v>37</v>
      </c>
      <c r="G1269" s="37">
        <v>100</v>
      </c>
      <c r="H1269" s="32">
        <f t="shared" si="25"/>
        <v>3700</v>
      </c>
    </row>
    <row r="1270" spans="2:8">
      <c r="B1270" s="28">
        <v>10413</v>
      </c>
      <c r="C1270" s="34" t="s">
        <v>100</v>
      </c>
      <c r="D1270" s="34" t="s">
        <v>119</v>
      </c>
      <c r="E1270" s="34" t="s">
        <v>93</v>
      </c>
      <c r="F1270" s="35">
        <v>49</v>
      </c>
      <c r="G1270" s="37">
        <v>100</v>
      </c>
      <c r="H1270" s="32">
        <f t="shared" si="25"/>
        <v>4900</v>
      </c>
    </row>
    <row r="1271" spans="2:8">
      <c r="B1271" s="28">
        <v>10100</v>
      </c>
      <c r="C1271" s="34" t="s">
        <v>100</v>
      </c>
      <c r="D1271" s="34" t="s">
        <v>104</v>
      </c>
      <c r="E1271" s="34" t="s">
        <v>93</v>
      </c>
      <c r="F1271" s="35">
        <v>22</v>
      </c>
      <c r="G1271" s="37">
        <v>86.51</v>
      </c>
      <c r="H1271" s="32">
        <f t="shared" si="25"/>
        <v>1903.22</v>
      </c>
    </row>
    <row r="1272" spans="2:8">
      <c r="B1272" s="28">
        <v>10110</v>
      </c>
      <c r="C1272" s="34" t="s">
        <v>252</v>
      </c>
      <c r="D1272" s="34" t="s">
        <v>104</v>
      </c>
      <c r="E1272" s="34" t="s">
        <v>93</v>
      </c>
      <c r="F1272" s="35">
        <v>28</v>
      </c>
      <c r="G1272" s="37">
        <v>89.27</v>
      </c>
      <c r="H1272" s="32">
        <f t="shared" si="25"/>
        <v>2499.56</v>
      </c>
    </row>
    <row r="1273" spans="2:8">
      <c r="B1273" s="28">
        <v>10124</v>
      </c>
      <c r="C1273" s="34" t="s">
        <v>100</v>
      </c>
      <c r="D1273" s="34" t="s">
        <v>119</v>
      </c>
      <c r="E1273" s="34" t="s">
        <v>93</v>
      </c>
      <c r="F1273" s="35">
        <v>36</v>
      </c>
      <c r="G1273" s="37">
        <v>85.59</v>
      </c>
      <c r="H1273" s="32">
        <f t="shared" si="25"/>
        <v>3081.2400000000002</v>
      </c>
    </row>
    <row r="1274" spans="2:8">
      <c r="B1274" s="28">
        <v>10148</v>
      </c>
      <c r="C1274" s="34" t="s">
        <v>168</v>
      </c>
      <c r="D1274" s="34" t="s">
        <v>119</v>
      </c>
      <c r="E1274" s="34" t="s">
        <v>93</v>
      </c>
      <c r="F1274" s="35">
        <v>34</v>
      </c>
      <c r="G1274" s="37">
        <v>100</v>
      </c>
      <c r="H1274" s="32">
        <f t="shared" si="25"/>
        <v>3400</v>
      </c>
    </row>
    <row r="1275" spans="2:8">
      <c r="B1275" s="28">
        <v>10162</v>
      </c>
      <c r="C1275" s="34" t="s">
        <v>100</v>
      </c>
      <c r="D1275" s="34" t="s">
        <v>119</v>
      </c>
      <c r="E1275" s="34" t="s">
        <v>93</v>
      </c>
      <c r="F1275" s="35">
        <v>39</v>
      </c>
      <c r="G1275" s="37">
        <v>100</v>
      </c>
      <c r="H1275" s="32">
        <f t="shared" si="25"/>
        <v>3900</v>
      </c>
    </row>
    <row r="1276" spans="2:8">
      <c r="B1276" s="28">
        <v>10173</v>
      </c>
      <c r="C1276" s="34" t="s">
        <v>352</v>
      </c>
      <c r="D1276" s="34" t="s">
        <v>104</v>
      </c>
      <c r="E1276" s="34" t="s">
        <v>93</v>
      </c>
      <c r="F1276" s="35">
        <v>21</v>
      </c>
      <c r="G1276" s="37">
        <v>75.459999999999994</v>
      </c>
      <c r="H1276" s="32">
        <f t="shared" si="25"/>
        <v>1584.6599999999999</v>
      </c>
    </row>
    <row r="1277" spans="2:8">
      <c r="B1277" s="28">
        <v>10182</v>
      </c>
      <c r="C1277" s="34" t="s">
        <v>100</v>
      </c>
      <c r="D1277" s="34" t="s">
        <v>119</v>
      </c>
      <c r="E1277" s="34" t="s">
        <v>93</v>
      </c>
      <c r="F1277" s="35">
        <v>36</v>
      </c>
      <c r="G1277" s="37">
        <v>100</v>
      </c>
      <c r="H1277" s="32">
        <f t="shared" si="25"/>
        <v>3600</v>
      </c>
    </row>
    <row r="1278" spans="2:8">
      <c r="B1278" s="28">
        <v>10193</v>
      </c>
      <c r="C1278" s="34" t="s">
        <v>168</v>
      </c>
      <c r="D1278" s="34" t="s">
        <v>104</v>
      </c>
      <c r="E1278" s="34" t="s">
        <v>93</v>
      </c>
      <c r="F1278" s="35">
        <v>24</v>
      </c>
      <c r="G1278" s="37">
        <v>97.55</v>
      </c>
      <c r="H1278" s="32">
        <f t="shared" si="25"/>
        <v>2341.1999999999998</v>
      </c>
    </row>
    <row r="1279" spans="2:8">
      <c r="B1279" s="28">
        <v>10204</v>
      </c>
      <c r="C1279" s="34" t="s">
        <v>100</v>
      </c>
      <c r="D1279" s="34" t="s">
        <v>104</v>
      </c>
      <c r="E1279" s="34" t="s">
        <v>93</v>
      </c>
      <c r="F1279" s="35">
        <v>29</v>
      </c>
      <c r="G1279" s="37">
        <v>85.59</v>
      </c>
      <c r="H1279" s="32">
        <f t="shared" si="25"/>
        <v>2482.11</v>
      </c>
    </row>
    <row r="1280" spans="2:8">
      <c r="B1280" s="28">
        <v>10213</v>
      </c>
      <c r="C1280" s="34" t="s">
        <v>252</v>
      </c>
      <c r="D1280" s="34" t="s">
        <v>119</v>
      </c>
      <c r="E1280" s="34" t="s">
        <v>93</v>
      </c>
      <c r="F1280" s="35">
        <v>38</v>
      </c>
      <c r="G1280" s="37">
        <v>94.79</v>
      </c>
      <c r="H1280" s="32">
        <f t="shared" si="25"/>
        <v>3602.0200000000004</v>
      </c>
    </row>
    <row r="1281" spans="2:8">
      <c r="B1281" s="28">
        <v>10227</v>
      </c>
      <c r="C1281" s="34" t="s">
        <v>109</v>
      </c>
      <c r="D1281" s="34" t="s">
        <v>119</v>
      </c>
      <c r="E1281" s="34" t="s">
        <v>93</v>
      </c>
      <c r="F1281" s="35">
        <v>34</v>
      </c>
      <c r="G1281" s="37">
        <v>100</v>
      </c>
      <c r="H1281" s="32">
        <f t="shared" si="25"/>
        <v>3400</v>
      </c>
    </row>
    <row r="1282" spans="2:8">
      <c r="B1282" s="28">
        <v>10241</v>
      </c>
      <c r="C1282" s="34" t="s">
        <v>109</v>
      </c>
      <c r="D1282" s="34" t="s">
        <v>119</v>
      </c>
      <c r="E1282" s="34" t="s">
        <v>93</v>
      </c>
      <c r="F1282" s="35">
        <v>42</v>
      </c>
      <c r="G1282" s="37">
        <v>90.19</v>
      </c>
      <c r="H1282" s="32">
        <f t="shared" si="25"/>
        <v>3787.98</v>
      </c>
    </row>
    <row r="1283" spans="2:8">
      <c r="B1283" s="28">
        <v>10280</v>
      </c>
      <c r="C1283" s="34" t="s">
        <v>352</v>
      </c>
      <c r="D1283" s="34" t="s">
        <v>119</v>
      </c>
      <c r="E1283" s="34" t="s">
        <v>93</v>
      </c>
      <c r="F1283" s="35">
        <v>35</v>
      </c>
      <c r="G1283" s="37">
        <v>100</v>
      </c>
      <c r="H1283" s="32">
        <f t="shared" si="25"/>
        <v>3500</v>
      </c>
    </row>
    <row r="1284" spans="2:8">
      <c r="B1284" s="28">
        <v>10288</v>
      </c>
      <c r="C1284" s="34" t="s">
        <v>287</v>
      </c>
      <c r="D1284" s="34" t="s">
        <v>104</v>
      </c>
      <c r="E1284" s="34" t="s">
        <v>93</v>
      </c>
      <c r="F1284" s="35">
        <v>35</v>
      </c>
      <c r="G1284" s="37">
        <v>80.989999999999995</v>
      </c>
      <c r="H1284" s="32">
        <f t="shared" si="25"/>
        <v>2834.6499999999996</v>
      </c>
    </row>
    <row r="1285" spans="2:8">
      <c r="B1285" s="28">
        <v>10302</v>
      </c>
      <c r="C1285" s="34" t="s">
        <v>252</v>
      </c>
      <c r="D1285" s="34" t="s">
        <v>119</v>
      </c>
      <c r="E1285" s="34" t="s">
        <v>93</v>
      </c>
      <c r="F1285" s="35">
        <v>38</v>
      </c>
      <c r="G1285" s="37">
        <v>89.27</v>
      </c>
      <c r="H1285" s="32">
        <f t="shared" ref="H1285:H1348" si="26">F1285*G1285</f>
        <v>3392.2599999999998</v>
      </c>
    </row>
    <row r="1286" spans="2:8">
      <c r="B1286" s="28">
        <v>10311</v>
      </c>
      <c r="C1286" s="34" t="s">
        <v>261</v>
      </c>
      <c r="D1286" s="34" t="s">
        <v>119</v>
      </c>
      <c r="E1286" s="34" t="s">
        <v>93</v>
      </c>
      <c r="F1286" s="35">
        <v>41</v>
      </c>
      <c r="G1286" s="37">
        <v>81.91</v>
      </c>
      <c r="H1286" s="32">
        <f t="shared" si="26"/>
        <v>3358.31</v>
      </c>
    </row>
    <row r="1287" spans="2:8">
      <c r="B1287" s="28">
        <v>10332</v>
      </c>
      <c r="C1287" s="34" t="s">
        <v>252</v>
      </c>
      <c r="D1287" s="34" t="s">
        <v>232</v>
      </c>
      <c r="E1287" s="34" t="s">
        <v>93</v>
      </c>
      <c r="F1287" s="35">
        <v>50</v>
      </c>
      <c r="G1287" s="37">
        <v>100</v>
      </c>
      <c r="H1287" s="32">
        <f t="shared" si="26"/>
        <v>5000</v>
      </c>
    </row>
    <row r="1288" spans="2:8">
      <c r="B1288" s="28">
        <v>10344</v>
      </c>
      <c r="C1288" s="34" t="s">
        <v>109</v>
      </c>
      <c r="D1288" s="34" t="s">
        <v>104</v>
      </c>
      <c r="E1288" s="34" t="s">
        <v>93</v>
      </c>
      <c r="F1288" s="35">
        <v>21</v>
      </c>
      <c r="G1288" s="37">
        <v>100</v>
      </c>
      <c r="H1288" s="32">
        <f t="shared" si="26"/>
        <v>2100</v>
      </c>
    </row>
    <row r="1289" spans="2:8">
      <c r="B1289" s="28">
        <v>10367</v>
      </c>
      <c r="C1289" s="34" t="s">
        <v>100</v>
      </c>
      <c r="D1289" s="34" t="s">
        <v>104</v>
      </c>
      <c r="E1289" s="34" t="s">
        <v>526</v>
      </c>
      <c r="F1289" s="35">
        <v>43</v>
      </c>
      <c r="G1289" s="37">
        <v>62.72</v>
      </c>
      <c r="H1289" s="32">
        <f t="shared" si="26"/>
        <v>2696.96</v>
      </c>
    </row>
    <row r="1290" spans="2:8">
      <c r="B1290" s="28">
        <v>10380</v>
      </c>
      <c r="C1290" s="34" t="s">
        <v>261</v>
      </c>
      <c r="D1290" s="34" t="s">
        <v>119</v>
      </c>
      <c r="E1290" s="34" t="s">
        <v>93</v>
      </c>
      <c r="F1290" s="35">
        <v>32</v>
      </c>
      <c r="G1290" s="37">
        <v>100</v>
      </c>
      <c r="H1290" s="32">
        <f t="shared" si="26"/>
        <v>3200</v>
      </c>
    </row>
    <row r="1291" spans="2:8">
      <c r="B1291" s="28">
        <v>10407</v>
      </c>
      <c r="C1291" s="34" t="s">
        <v>100</v>
      </c>
      <c r="D1291" s="34" t="s">
        <v>104</v>
      </c>
      <c r="E1291" s="34" t="s">
        <v>518</v>
      </c>
      <c r="F1291" s="35">
        <v>6</v>
      </c>
      <c r="G1291" s="37">
        <v>90.19</v>
      </c>
      <c r="H1291" s="32">
        <f t="shared" si="26"/>
        <v>541.14</v>
      </c>
    </row>
    <row r="1292" spans="2:8">
      <c r="B1292" s="28">
        <v>10420</v>
      </c>
      <c r="C1292" s="34" t="s">
        <v>168</v>
      </c>
      <c r="D1292" s="34" t="s">
        <v>119</v>
      </c>
      <c r="E1292" s="34" t="s">
        <v>400</v>
      </c>
      <c r="F1292" s="35">
        <v>66</v>
      </c>
      <c r="G1292" s="37">
        <v>92.95</v>
      </c>
      <c r="H1292" s="32">
        <f t="shared" si="26"/>
        <v>6134.7</v>
      </c>
    </row>
    <row r="1293" spans="2:8">
      <c r="B1293" s="28">
        <v>10105</v>
      </c>
      <c r="C1293" s="34" t="s">
        <v>429</v>
      </c>
      <c r="D1293" s="34" t="s">
        <v>119</v>
      </c>
      <c r="E1293" s="34" t="s">
        <v>93</v>
      </c>
      <c r="F1293" s="35">
        <v>41</v>
      </c>
      <c r="G1293" s="37">
        <v>82.5</v>
      </c>
      <c r="H1293" s="32">
        <f t="shared" si="26"/>
        <v>3382.5</v>
      </c>
    </row>
    <row r="1294" spans="2:8">
      <c r="B1294" s="28">
        <v>10117</v>
      </c>
      <c r="C1294" s="34" t="s">
        <v>287</v>
      </c>
      <c r="D1294" s="34" t="s">
        <v>104</v>
      </c>
      <c r="E1294" s="34" t="s">
        <v>93</v>
      </c>
      <c r="F1294" s="35">
        <v>23</v>
      </c>
      <c r="G1294" s="37">
        <v>97.42</v>
      </c>
      <c r="H1294" s="32">
        <f t="shared" si="26"/>
        <v>2240.66</v>
      </c>
    </row>
    <row r="1295" spans="2:8">
      <c r="B1295" s="28">
        <v>10128</v>
      </c>
      <c r="C1295" s="34" t="s">
        <v>261</v>
      </c>
      <c r="D1295" s="34" t="s">
        <v>119</v>
      </c>
      <c r="E1295" s="34" t="s">
        <v>93</v>
      </c>
      <c r="F1295" s="35">
        <v>43</v>
      </c>
      <c r="G1295" s="37">
        <v>92.16</v>
      </c>
      <c r="H1295" s="32">
        <f t="shared" si="26"/>
        <v>3962.8799999999997</v>
      </c>
    </row>
    <row r="1296" spans="2:8">
      <c r="B1296" s="28">
        <v>10142</v>
      </c>
      <c r="C1296" s="34" t="s">
        <v>100</v>
      </c>
      <c r="D1296" s="34" t="s">
        <v>104</v>
      </c>
      <c r="E1296" s="34" t="s">
        <v>93</v>
      </c>
      <c r="F1296" s="35">
        <v>24</v>
      </c>
      <c r="G1296" s="37">
        <v>70.22</v>
      </c>
      <c r="H1296" s="32">
        <f t="shared" si="26"/>
        <v>1685.28</v>
      </c>
    </row>
    <row r="1297" spans="2:8">
      <c r="B1297" s="28">
        <v>10153</v>
      </c>
      <c r="C1297" s="34" t="s">
        <v>261</v>
      </c>
      <c r="D1297" s="34" t="s">
        <v>104</v>
      </c>
      <c r="E1297" s="34" t="s">
        <v>93</v>
      </c>
      <c r="F1297" s="35">
        <v>22</v>
      </c>
      <c r="G1297" s="37">
        <v>83.38</v>
      </c>
      <c r="H1297" s="32">
        <f t="shared" si="26"/>
        <v>1834.36</v>
      </c>
    </row>
    <row r="1298" spans="2:8">
      <c r="B1298" s="28">
        <v>10166</v>
      </c>
      <c r="C1298" s="34" t="s">
        <v>100</v>
      </c>
      <c r="D1298" s="34" t="s">
        <v>104</v>
      </c>
      <c r="E1298" s="34" t="s">
        <v>93</v>
      </c>
      <c r="F1298" s="35">
        <v>26</v>
      </c>
      <c r="G1298" s="37">
        <v>73.73</v>
      </c>
      <c r="H1298" s="32">
        <f t="shared" si="26"/>
        <v>1916.98</v>
      </c>
    </row>
    <row r="1299" spans="2:8">
      <c r="B1299" s="28">
        <v>10177</v>
      </c>
      <c r="C1299" s="34" t="s">
        <v>261</v>
      </c>
      <c r="D1299" s="34" t="s">
        <v>104</v>
      </c>
      <c r="E1299" s="34" t="s">
        <v>93</v>
      </c>
      <c r="F1299" s="35">
        <v>35</v>
      </c>
      <c r="G1299" s="37">
        <v>74.599999999999994</v>
      </c>
      <c r="H1299" s="32">
        <f t="shared" si="26"/>
        <v>2611</v>
      </c>
    </row>
    <row r="1300" spans="2:8">
      <c r="B1300" s="28">
        <v>10185</v>
      </c>
      <c r="C1300" s="34" t="s">
        <v>100</v>
      </c>
      <c r="D1300" s="34" t="s">
        <v>119</v>
      </c>
      <c r="E1300" s="34" t="s">
        <v>93</v>
      </c>
      <c r="F1300" s="35">
        <v>47</v>
      </c>
      <c r="G1300" s="37">
        <v>77.239999999999995</v>
      </c>
      <c r="H1300" s="32">
        <f t="shared" si="26"/>
        <v>3630.2799999999997</v>
      </c>
    </row>
    <row r="1301" spans="2:8">
      <c r="B1301" s="28">
        <v>10197</v>
      </c>
      <c r="C1301" s="34" t="s">
        <v>261</v>
      </c>
      <c r="D1301" s="34" t="s">
        <v>119</v>
      </c>
      <c r="E1301" s="34" t="s">
        <v>93</v>
      </c>
      <c r="F1301" s="35">
        <v>50</v>
      </c>
      <c r="G1301" s="37">
        <v>100</v>
      </c>
      <c r="H1301" s="32">
        <f t="shared" si="26"/>
        <v>5000</v>
      </c>
    </row>
    <row r="1302" spans="2:8">
      <c r="B1302" s="28">
        <v>10208</v>
      </c>
      <c r="C1302" s="34" t="s">
        <v>109</v>
      </c>
      <c r="D1302" s="34" t="s">
        <v>119</v>
      </c>
      <c r="E1302" s="34" t="s">
        <v>93</v>
      </c>
      <c r="F1302" s="35">
        <v>45</v>
      </c>
      <c r="G1302" s="37">
        <v>87.77</v>
      </c>
      <c r="H1302" s="32">
        <f t="shared" si="26"/>
        <v>3949.6499999999996</v>
      </c>
    </row>
    <row r="1303" spans="2:8">
      <c r="B1303" s="28">
        <v>10221</v>
      </c>
      <c r="C1303" s="34" t="s">
        <v>480</v>
      </c>
      <c r="D1303" s="34" t="s">
        <v>119</v>
      </c>
      <c r="E1303" s="34" t="s">
        <v>93</v>
      </c>
      <c r="F1303" s="35">
        <v>39</v>
      </c>
      <c r="G1303" s="37">
        <v>89.53</v>
      </c>
      <c r="H1303" s="32">
        <f t="shared" si="26"/>
        <v>3491.67</v>
      </c>
    </row>
    <row r="1304" spans="2:8">
      <c r="B1304" s="28">
        <v>10232</v>
      </c>
      <c r="C1304" s="34" t="s">
        <v>252</v>
      </c>
      <c r="D1304" s="34" t="s">
        <v>104</v>
      </c>
      <c r="E1304" s="34" t="s">
        <v>93</v>
      </c>
      <c r="F1304" s="35">
        <v>23</v>
      </c>
      <c r="G1304" s="37">
        <v>89.53</v>
      </c>
      <c r="H1304" s="32">
        <f t="shared" si="26"/>
        <v>2059.19</v>
      </c>
    </row>
    <row r="1305" spans="2:8">
      <c r="B1305" s="28">
        <v>10248</v>
      </c>
      <c r="C1305" s="34" t="s">
        <v>100</v>
      </c>
      <c r="D1305" s="34" t="s">
        <v>119</v>
      </c>
      <c r="E1305" s="34" t="s">
        <v>444</v>
      </c>
      <c r="F1305" s="35">
        <v>42</v>
      </c>
      <c r="G1305" s="37">
        <v>75.48</v>
      </c>
      <c r="H1305" s="32">
        <f t="shared" si="26"/>
        <v>3170.1600000000003</v>
      </c>
    </row>
    <row r="1306" spans="2:8">
      <c r="B1306" s="28">
        <v>10261</v>
      </c>
      <c r="C1306" s="34" t="s">
        <v>322</v>
      </c>
      <c r="D1306" s="34" t="s">
        <v>104</v>
      </c>
      <c r="E1306" s="34" t="s">
        <v>93</v>
      </c>
      <c r="F1306" s="35">
        <v>20</v>
      </c>
      <c r="G1306" s="37">
        <v>89.53</v>
      </c>
      <c r="H1306" s="32">
        <f t="shared" si="26"/>
        <v>1790.6</v>
      </c>
    </row>
    <row r="1307" spans="2:8">
      <c r="B1307" s="28">
        <v>10273</v>
      </c>
      <c r="C1307" s="34" t="s">
        <v>480</v>
      </c>
      <c r="D1307" s="34" t="s">
        <v>104</v>
      </c>
      <c r="E1307" s="34" t="s">
        <v>93</v>
      </c>
      <c r="F1307" s="35">
        <v>33</v>
      </c>
      <c r="G1307" s="37">
        <v>71.09</v>
      </c>
      <c r="H1307" s="32">
        <f t="shared" si="26"/>
        <v>2345.9700000000003</v>
      </c>
    </row>
    <row r="1308" spans="2:8">
      <c r="B1308" s="28">
        <v>10283</v>
      </c>
      <c r="C1308" s="34" t="s">
        <v>322</v>
      </c>
      <c r="D1308" s="34" t="s">
        <v>119</v>
      </c>
      <c r="E1308" s="34" t="s">
        <v>93</v>
      </c>
      <c r="F1308" s="35">
        <v>34</v>
      </c>
      <c r="G1308" s="37">
        <v>100</v>
      </c>
      <c r="H1308" s="32">
        <f t="shared" si="26"/>
        <v>3400</v>
      </c>
    </row>
    <row r="1309" spans="2:8">
      <c r="B1309" s="28">
        <v>10293</v>
      </c>
      <c r="C1309" s="34" t="s">
        <v>352</v>
      </c>
      <c r="D1309" s="34" t="s">
        <v>119</v>
      </c>
      <c r="E1309" s="34" t="s">
        <v>93</v>
      </c>
      <c r="F1309" s="35">
        <v>49</v>
      </c>
      <c r="G1309" s="37">
        <v>100</v>
      </c>
      <c r="H1309" s="32">
        <f t="shared" si="26"/>
        <v>4900</v>
      </c>
    </row>
    <row r="1310" spans="2:8">
      <c r="B1310" s="28">
        <v>10306</v>
      </c>
      <c r="C1310" s="34" t="s">
        <v>252</v>
      </c>
      <c r="D1310" s="34" t="s">
        <v>119</v>
      </c>
      <c r="E1310" s="34" t="s">
        <v>93</v>
      </c>
      <c r="F1310" s="35">
        <v>39</v>
      </c>
      <c r="G1310" s="37">
        <v>90.4</v>
      </c>
      <c r="H1310" s="32">
        <f t="shared" si="26"/>
        <v>3525.6000000000004</v>
      </c>
    </row>
    <row r="1311" spans="2:8">
      <c r="B1311" s="28">
        <v>10315</v>
      </c>
      <c r="C1311" s="34" t="s">
        <v>109</v>
      </c>
      <c r="D1311" s="34" t="s">
        <v>119</v>
      </c>
      <c r="E1311" s="34" t="s">
        <v>93</v>
      </c>
      <c r="F1311" s="35">
        <v>36</v>
      </c>
      <c r="G1311" s="37">
        <v>100</v>
      </c>
      <c r="H1311" s="32">
        <f t="shared" si="26"/>
        <v>3600</v>
      </c>
    </row>
    <row r="1312" spans="2:8">
      <c r="B1312" s="28">
        <v>10326</v>
      </c>
      <c r="C1312" s="34" t="s">
        <v>273</v>
      </c>
      <c r="D1312" s="34" t="s">
        <v>119</v>
      </c>
      <c r="E1312" s="34" t="s">
        <v>93</v>
      </c>
      <c r="F1312" s="35">
        <v>50</v>
      </c>
      <c r="G1312" s="37">
        <v>86.01</v>
      </c>
      <c r="H1312" s="32">
        <f t="shared" si="26"/>
        <v>4300.5</v>
      </c>
    </row>
    <row r="1313" spans="2:8">
      <c r="B1313" s="28">
        <v>10337</v>
      </c>
      <c r="C1313" s="34" t="s">
        <v>100</v>
      </c>
      <c r="D1313" s="34" t="s">
        <v>119</v>
      </c>
      <c r="E1313" s="34" t="s">
        <v>93</v>
      </c>
      <c r="F1313" s="35">
        <v>29</v>
      </c>
      <c r="G1313" s="37">
        <v>100</v>
      </c>
      <c r="H1313" s="32">
        <f t="shared" si="26"/>
        <v>2900</v>
      </c>
    </row>
    <row r="1314" spans="2:8">
      <c r="B1314" s="28">
        <v>10350</v>
      </c>
      <c r="C1314" s="34" t="s">
        <v>261</v>
      </c>
      <c r="D1314" s="34" t="s">
        <v>119</v>
      </c>
      <c r="E1314" s="34" t="s">
        <v>93</v>
      </c>
      <c r="F1314" s="35">
        <v>30</v>
      </c>
      <c r="G1314" s="37">
        <v>100</v>
      </c>
      <c r="H1314" s="32">
        <f t="shared" si="26"/>
        <v>3000</v>
      </c>
    </row>
    <row r="1315" spans="2:8">
      <c r="B1315" s="28">
        <v>10372</v>
      </c>
      <c r="C1315" s="34" t="s">
        <v>288</v>
      </c>
      <c r="D1315" s="34" t="s">
        <v>119</v>
      </c>
      <c r="E1315" s="34" t="s">
        <v>93</v>
      </c>
      <c r="F1315" s="35">
        <v>41</v>
      </c>
      <c r="G1315" s="37">
        <v>86.89</v>
      </c>
      <c r="H1315" s="32">
        <f t="shared" si="26"/>
        <v>3562.4900000000002</v>
      </c>
    </row>
    <row r="1316" spans="2:8">
      <c r="B1316" s="28">
        <v>10383</v>
      </c>
      <c r="C1316" s="34" t="s">
        <v>261</v>
      </c>
      <c r="D1316" s="34" t="s">
        <v>104</v>
      </c>
      <c r="E1316" s="34" t="s">
        <v>93</v>
      </c>
      <c r="F1316" s="35">
        <v>28</v>
      </c>
      <c r="G1316" s="37">
        <v>58.58</v>
      </c>
      <c r="H1316" s="32">
        <f t="shared" si="26"/>
        <v>1640.24</v>
      </c>
    </row>
    <row r="1317" spans="2:8">
      <c r="B1317" s="28">
        <v>10396</v>
      </c>
      <c r="C1317" s="34" t="s">
        <v>100</v>
      </c>
      <c r="D1317" s="34" t="s">
        <v>119</v>
      </c>
      <c r="E1317" s="34" t="s">
        <v>93</v>
      </c>
      <c r="F1317" s="35">
        <v>45</v>
      </c>
      <c r="G1317" s="37">
        <v>100</v>
      </c>
      <c r="H1317" s="32">
        <f t="shared" si="26"/>
        <v>4500</v>
      </c>
    </row>
    <row r="1318" spans="2:8">
      <c r="B1318" s="28">
        <v>10414</v>
      </c>
      <c r="C1318" s="34" t="s">
        <v>100</v>
      </c>
      <c r="D1318" s="34" t="s">
        <v>104</v>
      </c>
      <c r="E1318" s="34" t="s">
        <v>518</v>
      </c>
      <c r="F1318" s="35">
        <v>16</v>
      </c>
      <c r="G1318" s="37">
        <v>75.48</v>
      </c>
      <c r="H1318" s="32">
        <f t="shared" si="26"/>
        <v>1207.68</v>
      </c>
    </row>
    <row r="1319" spans="2:8">
      <c r="B1319" s="28">
        <v>10103</v>
      </c>
      <c r="C1319" s="34" t="s">
        <v>149</v>
      </c>
      <c r="D1319" s="34" t="s">
        <v>119</v>
      </c>
      <c r="E1319" s="34" t="s">
        <v>93</v>
      </c>
      <c r="F1319" s="35">
        <v>36</v>
      </c>
      <c r="G1319" s="37">
        <v>100</v>
      </c>
      <c r="H1319" s="32">
        <f t="shared" si="26"/>
        <v>3600</v>
      </c>
    </row>
    <row r="1320" spans="2:8">
      <c r="B1320" s="28">
        <v>10114</v>
      </c>
      <c r="C1320" s="34" t="s">
        <v>109</v>
      </c>
      <c r="D1320" s="34" t="s">
        <v>119</v>
      </c>
      <c r="E1320" s="34" t="s">
        <v>93</v>
      </c>
      <c r="F1320" s="35">
        <v>41</v>
      </c>
      <c r="G1320" s="37">
        <v>100</v>
      </c>
      <c r="H1320" s="32">
        <f t="shared" si="26"/>
        <v>4100</v>
      </c>
    </row>
    <row r="1321" spans="2:8">
      <c r="B1321" s="28">
        <v>10126</v>
      </c>
      <c r="C1321" s="34" t="s">
        <v>261</v>
      </c>
      <c r="D1321" s="34" t="s">
        <v>232</v>
      </c>
      <c r="E1321" s="34" t="s">
        <v>93</v>
      </c>
      <c r="F1321" s="35">
        <v>50</v>
      </c>
      <c r="G1321" s="37">
        <v>100</v>
      </c>
      <c r="H1321" s="32">
        <f t="shared" si="26"/>
        <v>5000</v>
      </c>
    </row>
    <row r="1322" spans="2:8">
      <c r="B1322" s="28">
        <v>10140</v>
      </c>
      <c r="C1322" s="34" t="s">
        <v>100</v>
      </c>
      <c r="D1322" s="34" t="s">
        <v>119</v>
      </c>
      <c r="E1322" s="34" t="s">
        <v>93</v>
      </c>
      <c r="F1322" s="35">
        <v>40</v>
      </c>
      <c r="G1322" s="37">
        <v>100</v>
      </c>
      <c r="H1322" s="32">
        <f t="shared" si="26"/>
        <v>4000</v>
      </c>
    </row>
    <row r="1323" spans="2:8">
      <c r="B1323" s="28">
        <v>10150</v>
      </c>
      <c r="C1323" s="34" t="s">
        <v>287</v>
      </c>
      <c r="D1323" s="34" t="s">
        <v>119</v>
      </c>
      <c r="E1323" s="34" t="s">
        <v>93</v>
      </c>
      <c r="F1323" s="35">
        <v>49</v>
      </c>
      <c r="G1323" s="37">
        <v>100</v>
      </c>
      <c r="H1323" s="32">
        <f t="shared" si="26"/>
        <v>4900</v>
      </c>
    </row>
    <row r="1324" spans="2:8">
      <c r="B1324" s="28">
        <v>10164</v>
      </c>
      <c r="C1324" s="34" t="s">
        <v>229</v>
      </c>
      <c r="D1324" s="34" t="s">
        <v>119</v>
      </c>
      <c r="E1324" s="34" t="s">
        <v>526</v>
      </c>
      <c r="F1324" s="35">
        <v>45</v>
      </c>
      <c r="G1324" s="37">
        <v>100</v>
      </c>
      <c r="H1324" s="32">
        <f t="shared" si="26"/>
        <v>4500</v>
      </c>
    </row>
    <row r="1325" spans="2:8">
      <c r="B1325" s="28">
        <v>10175</v>
      </c>
      <c r="C1325" s="34" t="s">
        <v>252</v>
      </c>
      <c r="D1325" s="34" t="s">
        <v>119</v>
      </c>
      <c r="E1325" s="34" t="s">
        <v>93</v>
      </c>
      <c r="F1325" s="35">
        <v>47</v>
      </c>
      <c r="G1325" s="37">
        <v>100</v>
      </c>
      <c r="H1325" s="32">
        <f t="shared" si="26"/>
        <v>4700</v>
      </c>
    </row>
    <row r="1326" spans="2:8">
      <c r="B1326" s="28">
        <v>10183</v>
      </c>
      <c r="C1326" s="34" t="s">
        <v>100</v>
      </c>
      <c r="D1326" s="34" t="s">
        <v>104</v>
      </c>
      <c r="E1326" s="34" t="s">
        <v>93</v>
      </c>
      <c r="F1326" s="35">
        <v>21</v>
      </c>
      <c r="G1326" s="37">
        <v>100</v>
      </c>
      <c r="H1326" s="32">
        <f t="shared" si="26"/>
        <v>2100</v>
      </c>
    </row>
    <row r="1327" spans="2:8">
      <c r="B1327" s="28">
        <v>10194</v>
      </c>
      <c r="C1327" s="34" t="s">
        <v>109</v>
      </c>
      <c r="D1327" s="34" t="s">
        <v>119</v>
      </c>
      <c r="E1327" s="34" t="s">
        <v>93</v>
      </c>
      <c r="F1327" s="35">
        <v>32</v>
      </c>
      <c r="G1327" s="37">
        <v>100</v>
      </c>
      <c r="H1327" s="32">
        <f t="shared" si="26"/>
        <v>3200</v>
      </c>
    </row>
    <row r="1328" spans="2:8">
      <c r="B1328" s="28">
        <v>10207</v>
      </c>
      <c r="C1328" s="34" t="s">
        <v>100</v>
      </c>
      <c r="D1328" s="34" t="s">
        <v>119</v>
      </c>
      <c r="E1328" s="34" t="s">
        <v>93</v>
      </c>
      <c r="F1328" s="35">
        <v>47</v>
      </c>
      <c r="G1328" s="37">
        <v>100</v>
      </c>
      <c r="H1328" s="32">
        <f t="shared" si="26"/>
        <v>4700</v>
      </c>
    </row>
    <row r="1329" spans="2:8">
      <c r="B1329" s="28">
        <v>10217</v>
      </c>
      <c r="C1329" s="34" t="s">
        <v>287</v>
      </c>
      <c r="D1329" s="34" t="s">
        <v>119</v>
      </c>
      <c r="E1329" s="34" t="s">
        <v>93</v>
      </c>
      <c r="F1329" s="35">
        <v>38</v>
      </c>
      <c r="G1329" s="37">
        <v>100</v>
      </c>
      <c r="H1329" s="32">
        <f t="shared" si="26"/>
        <v>3800</v>
      </c>
    </row>
    <row r="1330" spans="2:8">
      <c r="B1330" s="28">
        <v>10229</v>
      </c>
      <c r="C1330" s="34" t="s">
        <v>100</v>
      </c>
      <c r="D1330" s="34" t="s">
        <v>119</v>
      </c>
      <c r="E1330" s="34" t="s">
        <v>93</v>
      </c>
      <c r="F1330" s="35">
        <v>41</v>
      </c>
      <c r="G1330" s="37">
        <v>100</v>
      </c>
      <c r="H1330" s="32">
        <f t="shared" si="26"/>
        <v>4100</v>
      </c>
    </row>
    <row r="1331" spans="2:8">
      <c r="B1331" s="28">
        <v>10245</v>
      </c>
      <c r="C1331" s="34" t="s">
        <v>100</v>
      </c>
      <c r="D1331" s="34" t="s">
        <v>104</v>
      </c>
      <c r="E1331" s="34" t="s">
        <v>93</v>
      </c>
      <c r="F1331" s="35">
        <v>21</v>
      </c>
      <c r="G1331" s="37">
        <v>100</v>
      </c>
      <c r="H1331" s="32">
        <f t="shared" si="26"/>
        <v>2100</v>
      </c>
    </row>
    <row r="1332" spans="2:8">
      <c r="B1332" s="28">
        <v>10259</v>
      </c>
      <c r="C1332" s="34" t="s">
        <v>287</v>
      </c>
      <c r="D1332" s="34" t="s">
        <v>119</v>
      </c>
      <c r="E1332" s="34" t="s">
        <v>93</v>
      </c>
      <c r="F1332" s="35">
        <v>41</v>
      </c>
      <c r="G1332" s="37">
        <v>100</v>
      </c>
      <c r="H1332" s="32">
        <f t="shared" si="26"/>
        <v>4100</v>
      </c>
    </row>
    <row r="1333" spans="2:8">
      <c r="B1333" s="28">
        <v>10270</v>
      </c>
      <c r="C1333" s="34" t="s">
        <v>168</v>
      </c>
      <c r="D1333" s="34" t="s">
        <v>119</v>
      </c>
      <c r="E1333" s="34" t="s">
        <v>93</v>
      </c>
      <c r="F1333" s="35">
        <v>38</v>
      </c>
      <c r="G1333" s="37">
        <v>100</v>
      </c>
      <c r="H1333" s="32">
        <f t="shared" si="26"/>
        <v>3800</v>
      </c>
    </row>
    <row r="1334" spans="2:8">
      <c r="B1334" s="28">
        <v>10281</v>
      </c>
      <c r="C1334" s="34" t="s">
        <v>100</v>
      </c>
      <c r="D1334" s="34" t="s">
        <v>104</v>
      </c>
      <c r="E1334" s="34" t="s">
        <v>93</v>
      </c>
      <c r="F1334" s="35">
        <v>25</v>
      </c>
      <c r="G1334" s="37">
        <v>99.29</v>
      </c>
      <c r="H1334" s="32">
        <f t="shared" si="26"/>
        <v>2482.25</v>
      </c>
    </row>
    <row r="1335" spans="2:8">
      <c r="B1335" s="28">
        <v>10291</v>
      </c>
      <c r="C1335" s="34" t="s">
        <v>273</v>
      </c>
      <c r="D1335" s="34" t="s">
        <v>119</v>
      </c>
      <c r="E1335" s="34" t="s">
        <v>93</v>
      </c>
      <c r="F1335" s="35">
        <v>48</v>
      </c>
      <c r="G1335" s="37">
        <v>100</v>
      </c>
      <c r="H1335" s="32">
        <f t="shared" si="26"/>
        <v>4800</v>
      </c>
    </row>
    <row r="1336" spans="2:8">
      <c r="B1336" s="28">
        <v>10305</v>
      </c>
      <c r="C1336" s="34" t="s">
        <v>100</v>
      </c>
      <c r="D1336" s="34" t="s">
        <v>104</v>
      </c>
      <c r="E1336" s="34" t="s">
        <v>93</v>
      </c>
      <c r="F1336" s="35">
        <v>22</v>
      </c>
      <c r="G1336" s="37">
        <v>99.29</v>
      </c>
      <c r="H1336" s="32">
        <f t="shared" si="26"/>
        <v>2184.38</v>
      </c>
    </row>
    <row r="1337" spans="2:8">
      <c r="B1337" s="28">
        <v>10313</v>
      </c>
      <c r="C1337" s="34" t="s">
        <v>322</v>
      </c>
      <c r="D1337" s="34" t="s">
        <v>104</v>
      </c>
      <c r="E1337" s="34" t="s">
        <v>93</v>
      </c>
      <c r="F1337" s="35">
        <v>28</v>
      </c>
      <c r="G1337" s="37">
        <v>100</v>
      </c>
      <c r="H1337" s="32">
        <f t="shared" si="26"/>
        <v>2800</v>
      </c>
    </row>
    <row r="1338" spans="2:8">
      <c r="B1338" s="28">
        <v>10323</v>
      </c>
      <c r="C1338" s="34" t="s">
        <v>566</v>
      </c>
      <c r="D1338" s="34" t="s">
        <v>119</v>
      </c>
      <c r="E1338" s="34" t="s">
        <v>93</v>
      </c>
      <c r="F1338" s="35">
        <v>47</v>
      </c>
      <c r="G1338" s="37">
        <v>100</v>
      </c>
      <c r="H1338" s="32">
        <f t="shared" si="26"/>
        <v>4700</v>
      </c>
    </row>
    <row r="1339" spans="2:8">
      <c r="B1339" s="28">
        <v>10334</v>
      </c>
      <c r="C1339" s="34" t="s">
        <v>273</v>
      </c>
      <c r="D1339" s="34" t="s">
        <v>119</v>
      </c>
      <c r="E1339" s="34" t="s">
        <v>518</v>
      </c>
      <c r="F1339" s="35">
        <v>49</v>
      </c>
      <c r="G1339" s="37">
        <v>100</v>
      </c>
      <c r="H1339" s="32">
        <f t="shared" si="26"/>
        <v>4900</v>
      </c>
    </row>
    <row r="1340" spans="2:8">
      <c r="B1340" s="28">
        <v>10347</v>
      </c>
      <c r="C1340" s="34" t="s">
        <v>168</v>
      </c>
      <c r="D1340" s="34" t="s">
        <v>119</v>
      </c>
      <c r="E1340" s="34" t="s">
        <v>93</v>
      </c>
      <c r="F1340" s="35">
        <v>45</v>
      </c>
      <c r="G1340" s="37">
        <v>100</v>
      </c>
      <c r="H1340" s="32">
        <f t="shared" si="26"/>
        <v>4500</v>
      </c>
    </row>
    <row r="1341" spans="2:8">
      <c r="B1341" s="28">
        <v>10357</v>
      </c>
      <c r="C1341" s="34" t="s">
        <v>100</v>
      </c>
      <c r="D1341" s="34" t="s">
        <v>119</v>
      </c>
      <c r="E1341" s="34" t="s">
        <v>93</v>
      </c>
      <c r="F1341" s="35">
        <v>28</v>
      </c>
      <c r="G1341" s="37">
        <v>100</v>
      </c>
      <c r="H1341" s="32">
        <f t="shared" si="26"/>
        <v>2800</v>
      </c>
    </row>
    <row r="1342" spans="2:8">
      <c r="B1342" s="28">
        <v>10370</v>
      </c>
      <c r="C1342" s="34" t="s">
        <v>168</v>
      </c>
      <c r="D1342" s="34" t="s">
        <v>104</v>
      </c>
      <c r="E1342" s="34" t="s">
        <v>93</v>
      </c>
      <c r="F1342" s="35">
        <v>29</v>
      </c>
      <c r="G1342" s="37">
        <v>57.53</v>
      </c>
      <c r="H1342" s="32">
        <f t="shared" si="26"/>
        <v>1668.3700000000001</v>
      </c>
    </row>
    <row r="1343" spans="2:8">
      <c r="B1343" s="28">
        <v>10382</v>
      </c>
      <c r="C1343" s="34" t="s">
        <v>100</v>
      </c>
      <c r="D1343" s="34" t="s">
        <v>119</v>
      </c>
      <c r="E1343" s="34" t="s">
        <v>93</v>
      </c>
      <c r="F1343" s="35">
        <v>39</v>
      </c>
      <c r="G1343" s="37">
        <v>100</v>
      </c>
      <c r="H1343" s="32">
        <f t="shared" si="26"/>
        <v>3900</v>
      </c>
    </row>
    <row r="1344" spans="2:8">
      <c r="B1344" s="28">
        <v>10411</v>
      </c>
      <c r="C1344" s="34" t="s">
        <v>322</v>
      </c>
      <c r="D1344" s="34" t="s">
        <v>119</v>
      </c>
      <c r="E1344" s="34" t="s">
        <v>93</v>
      </c>
      <c r="F1344" s="35">
        <v>46</v>
      </c>
      <c r="G1344" s="37">
        <v>100</v>
      </c>
      <c r="H1344" s="32">
        <f t="shared" si="26"/>
        <v>4600</v>
      </c>
    </row>
    <row r="1345" spans="2:8">
      <c r="B1345" s="28">
        <v>10425</v>
      </c>
      <c r="C1345" s="34" t="s">
        <v>109</v>
      </c>
      <c r="D1345" s="34" t="s">
        <v>119</v>
      </c>
      <c r="E1345" s="34" t="s">
        <v>400</v>
      </c>
      <c r="F1345" s="35">
        <v>38</v>
      </c>
      <c r="G1345" s="37">
        <v>100</v>
      </c>
      <c r="H1345" s="32">
        <f t="shared" si="26"/>
        <v>3800</v>
      </c>
    </row>
    <row r="1346" spans="2:8">
      <c r="B1346" s="28">
        <v>10103</v>
      </c>
      <c r="C1346" s="34" t="s">
        <v>149</v>
      </c>
      <c r="D1346" s="34" t="s">
        <v>104</v>
      </c>
      <c r="E1346" s="34" t="s">
        <v>93</v>
      </c>
      <c r="F1346" s="35">
        <v>41</v>
      </c>
      <c r="G1346" s="37">
        <v>47.29</v>
      </c>
      <c r="H1346" s="32">
        <f t="shared" si="26"/>
        <v>1938.8899999999999</v>
      </c>
    </row>
    <row r="1347" spans="2:8">
      <c r="B1347" s="28">
        <v>10113</v>
      </c>
      <c r="C1347" s="34" t="s">
        <v>100</v>
      </c>
      <c r="D1347" s="34" t="s">
        <v>104</v>
      </c>
      <c r="E1347" s="34" t="s">
        <v>93</v>
      </c>
      <c r="F1347" s="35">
        <v>50</v>
      </c>
      <c r="G1347" s="37">
        <v>49.81</v>
      </c>
      <c r="H1347" s="32">
        <f t="shared" si="26"/>
        <v>2490.5</v>
      </c>
    </row>
    <row r="1348" spans="2:8">
      <c r="B1348" s="28">
        <v>10126</v>
      </c>
      <c r="C1348" s="34" t="s">
        <v>261</v>
      </c>
      <c r="D1348" s="34" t="s">
        <v>104</v>
      </c>
      <c r="E1348" s="34" t="s">
        <v>93</v>
      </c>
      <c r="F1348" s="35">
        <v>43</v>
      </c>
      <c r="G1348" s="37">
        <v>53.83</v>
      </c>
      <c r="H1348" s="32">
        <f t="shared" si="26"/>
        <v>2314.69</v>
      </c>
    </row>
    <row r="1349" spans="2:8">
      <c r="B1349" s="28">
        <v>10140</v>
      </c>
      <c r="C1349" s="34" t="s">
        <v>100</v>
      </c>
      <c r="D1349" s="34" t="s">
        <v>104</v>
      </c>
      <c r="E1349" s="34" t="s">
        <v>93</v>
      </c>
      <c r="F1349" s="35">
        <v>29</v>
      </c>
      <c r="G1349" s="37">
        <v>43.27</v>
      </c>
      <c r="H1349" s="32">
        <f t="shared" ref="H1349:H1412" si="27">F1349*G1349</f>
        <v>1254.8300000000002</v>
      </c>
    </row>
    <row r="1350" spans="2:8">
      <c r="B1350" s="28">
        <v>10150</v>
      </c>
      <c r="C1350" s="34" t="s">
        <v>287</v>
      </c>
      <c r="D1350" s="34" t="s">
        <v>104</v>
      </c>
      <c r="E1350" s="34" t="s">
        <v>93</v>
      </c>
      <c r="F1350" s="35">
        <v>30</v>
      </c>
      <c r="G1350" s="37">
        <v>42.76</v>
      </c>
      <c r="H1350" s="32">
        <f t="shared" si="27"/>
        <v>1282.8</v>
      </c>
    </row>
    <row r="1351" spans="2:8">
      <c r="B1351" s="28">
        <v>10164</v>
      </c>
      <c r="C1351" s="34" t="s">
        <v>229</v>
      </c>
      <c r="D1351" s="34" t="s">
        <v>104</v>
      </c>
      <c r="E1351" s="34" t="s">
        <v>526</v>
      </c>
      <c r="F1351" s="35">
        <v>25</v>
      </c>
      <c r="G1351" s="37">
        <v>53.83</v>
      </c>
      <c r="H1351" s="32">
        <f t="shared" si="27"/>
        <v>1345.75</v>
      </c>
    </row>
    <row r="1352" spans="2:8">
      <c r="B1352" s="28">
        <v>10174</v>
      </c>
      <c r="C1352" s="34" t="s">
        <v>168</v>
      </c>
      <c r="D1352" s="34" t="s">
        <v>104</v>
      </c>
      <c r="E1352" s="34" t="s">
        <v>93</v>
      </c>
      <c r="F1352" s="35">
        <v>49</v>
      </c>
      <c r="G1352" s="37">
        <v>44.78</v>
      </c>
      <c r="H1352" s="32">
        <f t="shared" si="27"/>
        <v>2194.2200000000003</v>
      </c>
    </row>
    <row r="1353" spans="2:8">
      <c r="B1353" s="28">
        <v>10183</v>
      </c>
      <c r="C1353" s="34" t="s">
        <v>100</v>
      </c>
      <c r="D1353" s="34" t="s">
        <v>104</v>
      </c>
      <c r="E1353" s="34" t="s">
        <v>93</v>
      </c>
      <c r="F1353" s="35">
        <v>40</v>
      </c>
      <c r="G1353" s="37">
        <v>49.3</v>
      </c>
      <c r="H1353" s="32">
        <f t="shared" si="27"/>
        <v>1972</v>
      </c>
    </row>
    <row r="1354" spans="2:8">
      <c r="B1354" s="28">
        <v>10194</v>
      </c>
      <c r="C1354" s="34" t="s">
        <v>109</v>
      </c>
      <c r="D1354" s="34" t="s">
        <v>104</v>
      </c>
      <c r="E1354" s="34" t="s">
        <v>93</v>
      </c>
      <c r="F1354" s="35">
        <v>41</v>
      </c>
      <c r="G1354" s="37">
        <v>44.78</v>
      </c>
      <c r="H1354" s="32">
        <f t="shared" si="27"/>
        <v>1835.98</v>
      </c>
    </row>
    <row r="1355" spans="2:8">
      <c r="B1355" s="28">
        <v>10206</v>
      </c>
      <c r="C1355" s="34" t="s">
        <v>322</v>
      </c>
      <c r="D1355" s="34" t="s">
        <v>104</v>
      </c>
      <c r="E1355" s="34" t="s">
        <v>93</v>
      </c>
      <c r="F1355" s="35">
        <v>21</v>
      </c>
      <c r="G1355" s="37">
        <v>53.33</v>
      </c>
      <c r="H1355" s="32">
        <f t="shared" si="27"/>
        <v>1119.93</v>
      </c>
    </row>
    <row r="1356" spans="2:8">
      <c r="B1356" s="28">
        <v>10215</v>
      </c>
      <c r="C1356" s="34" t="s">
        <v>100</v>
      </c>
      <c r="D1356" s="34" t="s">
        <v>104</v>
      </c>
      <c r="E1356" s="34" t="s">
        <v>93</v>
      </c>
      <c r="F1356" s="35">
        <v>46</v>
      </c>
      <c r="G1356" s="37">
        <v>45.28</v>
      </c>
      <c r="H1356" s="32">
        <f t="shared" si="27"/>
        <v>2082.88</v>
      </c>
    </row>
    <row r="1357" spans="2:8">
      <c r="B1357" s="28">
        <v>10229</v>
      </c>
      <c r="C1357" s="34" t="s">
        <v>100</v>
      </c>
      <c r="D1357" s="34" t="s">
        <v>104</v>
      </c>
      <c r="E1357" s="34" t="s">
        <v>93</v>
      </c>
      <c r="F1357" s="35">
        <v>39</v>
      </c>
      <c r="G1357" s="37">
        <v>40.25</v>
      </c>
      <c r="H1357" s="32">
        <f t="shared" si="27"/>
        <v>1569.75</v>
      </c>
    </row>
    <row r="1358" spans="2:8">
      <c r="B1358" s="28">
        <v>10245</v>
      </c>
      <c r="C1358" s="34" t="s">
        <v>100</v>
      </c>
      <c r="D1358" s="34" t="s">
        <v>104</v>
      </c>
      <c r="E1358" s="34" t="s">
        <v>93</v>
      </c>
      <c r="F1358" s="35">
        <v>45</v>
      </c>
      <c r="G1358" s="37">
        <v>59.87</v>
      </c>
      <c r="H1358" s="32">
        <f t="shared" si="27"/>
        <v>2694.15</v>
      </c>
    </row>
    <row r="1359" spans="2:8">
      <c r="B1359" s="28">
        <v>10258</v>
      </c>
      <c r="C1359" s="34" t="s">
        <v>288</v>
      </c>
      <c r="D1359" s="34" t="s">
        <v>104</v>
      </c>
      <c r="E1359" s="34" t="s">
        <v>93</v>
      </c>
      <c r="F1359" s="35">
        <v>21</v>
      </c>
      <c r="G1359" s="37">
        <v>59.87</v>
      </c>
      <c r="H1359" s="32">
        <f t="shared" si="27"/>
        <v>1257.27</v>
      </c>
    </row>
    <row r="1360" spans="2:8">
      <c r="B1360" s="28">
        <v>10270</v>
      </c>
      <c r="C1360" s="34" t="s">
        <v>168</v>
      </c>
      <c r="D1360" s="34" t="s">
        <v>104</v>
      </c>
      <c r="E1360" s="34" t="s">
        <v>93</v>
      </c>
      <c r="F1360" s="35">
        <v>44</v>
      </c>
      <c r="G1360" s="37">
        <v>58.36</v>
      </c>
      <c r="H1360" s="32">
        <f t="shared" si="27"/>
        <v>2567.84</v>
      </c>
    </row>
    <row r="1361" spans="2:8">
      <c r="B1361" s="28">
        <v>10281</v>
      </c>
      <c r="C1361" s="34" t="s">
        <v>100</v>
      </c>
      <c r="D1361" s="34" t="s">
        <v>104</v>
      </c>
      <c r="E1361" s="34" t="s">
        <v>93</v>
      </c>
      <c r="F1361" s="35">
        <v>44</v>
      </c>
      <c r="G1361" s="37">
        <v>59.87</v>
      </c>
      <c r="H1361" s="32">
        <f t="shared" si="27"/>
        <v>2634.2799999999997</v>
      </c>
    </row>
    <row r="1362" spans="2:8">
      <c r="B1362" s="28">
        <v>10291</v>
      </c>
      <c r="C1362" s="34" t="s">
        <v>273</v>
      </c>
      <c r="D1362" s="34" t="s">
        <v>104</v>
      </c>
      <c r="E1362" s="34" t="s">
        <v>93</v>
      </c>
      <c r="F1362" s="35">
        <v>29</v>
      </c>
      <c r="G1362" s="37">
        <v>51.82</v>
      </c>
      <c r="H1362" s="32">
        <f t="shared" si="27"/>
        <v>1502.78</v>
      </c>
    </row>
    <row r="1363" spans="2:8">
      <c r="B1363" s="28">
        <v>10304</v>
      </c>
      <c r="C1363" s="34" t="s">
        <v>109</v>
      </c>
      <c r="D1363" s="34" t="s">
        <v>104</v>
      </c>
      <c r="E1363" s="34" t="s">
        <v>93</v>
      </c>
      <c r="F1363" s="35">
        <v>34</v>
      </c>
      <c r="G1363" s="37">
        <v>49.3</v>
      </c>
      <c r="H1363" s="32">
        <f t="shared" si="27"/>
        <v>1676.1999999999998</v>
      </c>
    </row>
    <row r="1364" spans="2:8">
      <c r="B1364" s="28">
        <v>10312</v>
      </c>
      <c r="C1364" s="34" t="s">
        <v>100</v>
      </c>
      <c r="D1364" s="34" t="s">
        <v>104</v>
      </c>
      <c r="E1364" s="34" t="s">
        <v>93</v>
      </c>
      <c r="F1364" s="35">
        <v>39</v>
      </c>
      <c r="G1364" s="37">
        <v>56.85</v>
      </c>
      <c r="H1364" s="32">
        <f t="shared" si="27"/>
        <v>2217.15</v>
      </c>
    </row>
    <row r="1365" spans="2:8">
      <c r="B1365" s="28">
        <v>10324</v>
      </c>
      <c r="C1365" s="34" t="s">
        <v>100</v>
      </c>
      <c r="D1365" s="34" t="s">
        <v>119</v>
      </c>
      <c r="E1365" s="34" t="s">
        <v>93</v>
      </c>
      <c r="F1365" s="35">
        <v>38</v>
      </c>
      <c r="G1365" s="37">
        <v>100</v>
      </c>
      <c r="H1365" s="32">
        <f t="shared" si="27"/>
        <v>3800</v>
      </c>
    </row>
    <row r="1366" spans="2:8">
      <c r="B1366" s="28">
        <v>10333</v>
      </c>
      <c r="C1366" s="34" t="s">
        <v>100</v>
      </c>
      <c r="D1366" s="34" t="s">
        <v>104</v>
      </c>
      <c r="E1366" s="34" t="s">
        <v>93</v>
      </c>
      <c r="F1366" s="35">
        <v>24</v>
      </c>
      <c r="G1366" s="37">
        <v>79.86</v>
      </c>
      <c r="H1366" s="32">
        <f t="shared" si="27"/>
        <v>1916.6399999999999</v>
      </c>
    </row>
    <row r="1367" spans="2:8">
      <c r="B1367" s="28">
        <v>10348</v>
      </c>
      <c r="C1367" s="34" t="s">
        <v>261</v>
      </c>
      <c r="D1367" s="34" t="s">
        <v>232</v>
      </c>
      <c r="E1367" s="34" t="s">
        <v>93</v>
      </c>
      <c r="F1367" s="35">
        <v>29</v>
      </c>
      <c r="G1367" s="37">
        <v>100</v>
      </c>
      <c r="H1367" s="32">
        <f t="shared" si="27"/>
        <v>2900</v>
      </c>
    </row>
    <row r="1368" spans="2:8">
      <c r="B1368" s="28">
        <v>10358</v>
      </c>
      <c r="C1368" s="34" t="s">
        <v>261</v>
      </c>
      <c r="D1368" s="34" t="s">
        <v>119</v>
      </c>
      <c r="E1368" s="34" t="s">
        <v>93</v>
      </c>
      <c r="F1368" s="35">
        <v>30</v>
      </c>
      <c r="G1368" s="37">
        <v>100</v>
      </c>
      <c r="H1368" s="32">
        <f t="shared" si="27"/>
        <v>3000</v>
      </c>
    </row>
    <row r="1369" spans="2:8">
      <c r="B1369" s="28">
        <v>10370</v>
      </c>
      <c r="C1369" s="34" t="s">
        <v>168</v>
      </c>
      <c r="D1369" s="34" t="s">
        <v>104</v>
      </c>
      <c r="E1369" s="34" t="s">
        <v>93</v>
      </c>
      <c r="F1369" s="35">
        <v>20</v>
      </c>
      <c r="G1369" s="37">
        <v>100</v>
      </c>
      <c r="H1369" s="32">
        <f t="shared" si="27"/>
        <v>2000</v>
      </c>
    </row>
    <row r="1370" spans="2:8">
      <c r="B1370" s="28">
        <v>10382</v>
      </c>
      <c r="C1370" s="34" t="s">
        <v>100</v>
      </c>
      <c r="D1370" s="34" t="s">
        <v>232</v>
      </c>
      <c r="E1370" s="34" t="s">
        <v>93</v>
      </c>
      <c r="F1370" s="35">
        <v>39</v>
      </c>
      <c r="G1370" s="37">
        <v>100</v>
      </c>
      <c r="H1370" s="32">
        <f t="shared" si="27"/>
        <v>3900</v>
      </c>
    </row>
    <row r="1371" spans="2:8">
      <c r="B1371" s="28">
        <v>10411</v>
      </c>
      <c r="C1371" s="34" t="s">
        <v>322</v>
      </c>
      <c r="D1371" s="34" t="s">
        <v>104</v>
      </c>
      <c r="E1371" s="34" t="s">
        <v>93</v>
      </c>
      <c r="F1371" s="35">
        <v>35</v>
      </c>
      <c r="G1371" s="37">
        <v>59.87</v>
      </c>
      <c r="H1371" s="32">
        <f t="shared" si="27"/>
        <v>2095.4499999999998</v>
      </c>
    </row>
    <row r="1372" spans="2:8">
      <c r="B1372" s="28">
        <v>10424</v>
      </c>
      <c r="C1372" s="34" t="s">
        <v>261</v>
      </c>
      <c r="D1372" s="34" t="s">
        <v>104</v>
      </c>
      <c r="E1372" s="34" t="s">
        <v>400</v>
      </c>
      <c r="F1372" s="35">
        <v>26</v>
      </c>
      <c r="G1372" s="37">
        <v>59.87</v>
      </c>
      <c r="H1372" s="32">
        <f t="shared" si="27"/>
        <v>1556.62</v>
      </c>
    </row>
    <row r="1373" spans="2:8">
      <c r="B1373" s="28">
        <v>10108</v>
      </c>
      <c r="C1373" s="34" t="s">
        <v>552</v>
      </c>
      <c r="D1373" s="34" t="s">
        <v>119</v>
      </c>
      <c r="E1373" s="34" t="s">
        <v>93</v>
      </c>
      <c r="F1373" s="35">
        <v>44</v>
      </c>
      <c r="G1373" s="37">
        <v>100</v>
      </c>
      <c r="H1373" s="32">
        <f t="shared" si="27"/>
        <v>4400</v>
      </c>
    </row>
    <row r="1374" spans="2:8">
      <c r="B1374" s="28">
        <v>10122</v>
      </c>
      <c r="C1374" s="34" t="s">
        <v>109</v>
      </c>
      <c r="D1374" s="34" t="s">
        <v>119</v>
      </c>
      <c r="E1374" s="34" t="s">
        <v>93</v>
      </c>
      <c r="F1374" s="35">
        <v>28</v>
      </c>
      <c r="G1374" s="37">
        <v>100</v>
      </c>
      <c r="H1374" s="32">
        <f t="shared" si="27"/>
        <v>2800</v>
      </c>
    </row>
    <row r="1375" spans="2:8">
      <c r="B1375" s="28">
        <v>10135</v>
      </c>
      <c r="C1375" s="34" t="s">
        <v>100</v>
      </c>
      <c r="D1375" s="34" t="s">
        <v>119</v>
      </c>
      <c r="E1375" s="34" t="s">
        <v>93</v>
      </c>
      <c r="F1375" s="35">
        <v>31</v>
      </c>
      <c r="G1375" s="37">
        <v>100</v>
      </c>
      <c r="H1375" s="32">
        <f t="shared" si="27"/>
        <v>3100</v>
      </c>
    </row>
    <row r="1376" spans="2:8">
      <c r="B1376" s="28">
        <v>10146</v>
      </c>
      <c r="C1376" s="34" t="s">
        <v>100</v>
      </c>
      <c r="D1376" s="34" t="s">
        <v>119</v>
      </c>
      <c r="E1376" s="34" t="s">
        <v>93</v>
      </c>
      <c r="F1376" s="35">
        <v>29</v>
      </c>
      <c r="G1376" s="37">
        <v>100</v>
      </c>
      <c r="H1376" s="32">
        <f t="shared" si="27"/>
        <v>2900</v>
      </c>
    </row>
    <row r="1377" spans="2:8">
      <c r="B1377" s="28">
        <v>10159</v>
      </c>
      <c r="C1377" s="34" t="s">
        <v>100</v>
      </c>
      <c r="D1377" s="34" t="s">
        <v>119</v>
      </c>
      <c r="E1377" s="34" t="s">
        <v>93</v>
      </c>
      <c r="F1377" s="35">
        <v>32</v>
      </c>
      <c r="G1377" s="37">
        <v>100</v>
      </c>
      <c r="H1377" s="32">
        <f t="shared" si="27"/>
        <v>3200</v>
      </c>
    </row>
    <row r="1378" spans="2:8">
      <c r="B1378" s="28">
        <v>10169</v>
      </c>
      <c r="C1378" s="34" t="s">
        <v>168</v>
      </c>
      <c r="D1378" s="34" t="s">
        <v>119</v>
      </c>
      <c r="E1378" s="34" t="s">
        <v>93</v>
      </c>
      <c r="F1378" s="35">
        <v>33</v>
      </c>
      <c r="G1378" s="37">
        <v>100</v>
      </c>
      <c r="H1378" s="32">
        <f t="shared" si="27"/>
        <v>3300</v>
      </c>
    </row>
    <row r="1379" spans="2:8">
      <c r="B1379" s="28">
        <v>10180</v>
      </c>
      <c r="C1379" s="34" t="s">
        <v>109</v>
      </c>
      <c r="D1379" s="34" t="s">
        <v>119</v>
      </c>
      <c r="E1379" s="34" t="s">
        <v>93</v>
      </c>
      <c r="F1379" s="35">
        <v>44</v>
      </c>
      <c r="G1379" s="37">
        <v>100</v>
      </c>
      <c r="H1379" s="32">
        <f t="shared" si="27"/>
        <v>4400</v>
      </c>
    </row>
    <row r="1380" spans="2:8">
      <c r="B1380" s="28">
        <v>10191</v>
      </c>
      <c r="C1380" s="34" t="s">
        <v>566</v>
      </c>
      <c r="D1380" s="34" t="s">
        <v>119</v>
      </c>
      <c r="E1380" s="34" t="s">
        <v>93</v>
      </c>
      <c r="F1380" s="35">
        <v>32</v>
      </c>
      <c r="G1380" s="37">
        <v>100</v>
      </c>
      <c r="H1380" s="32">
        <f t="shared" si="27"/>
        <v>3200</v>
      </c>
    </row>
    <row r="1381" spans="2:8">
      <c r="B1381" s="28">
        <v>10211</v>
      </c>
      <c r="C1381" s="34" t="s">
        <v>109</v>
      </c>
      <c r="D1381" s="34" t="s">
        <v>119</v>
      </c>
      <c r="E1381" s="34" t="s">
        <v>93</v>
      </c>
      <c r="F1381" s="35">
        <v>41</v>
      </c>
      <c r="G1381" s="37">
        <v>100</v>
      </c>
      <c r="H1381" s="32">
        <f t="shared" si="27"/>
        <v>4100</v>
      </c>
    </row>
    <row r="1382" spans="2:8">
      <c r="B1382" s="28">
        <v>10225</v>
      </c>
      <c r="C1382" s="34" t="s">
        <v>574</v>
      </c>
      <c r="D1382" s="34" t="s">
        <v>119</v>
      </c>
      <c r="E1382" s="34" t="s">
        <v>93</v>
      </c>
      <c r="F1382" s="35">
        <v>35</v>
      </c>
      <c r="G1382" s="37">
        <v>100</v>
      </c>
      <c r="H1382" s="32">
        <f t="shared" si="27"/>
        <v>3500</v>
      </c>
    </row>
    <row r="1383" spans="2:8">
      <c r="B1383" s="28">
        <v>10238</v>
      </c>
      <c r="C1383" s="34" t="s">
        <v>429</v>
      </c>
      <c r="D1383" s="34" t="s">
        <v>119</v>
      </c>
      <c r="E1383" s="34" t="s">
        <v>93</v>
      </c>
      <c r="F1383" s="35">
        <v>44</v>
      </c>
      <c r="G1383" s="37">
        <v>100</v>
      </c>
      <c r="H1383" s="32">
        <f t="shared" si="27"/>
        <v>4400</v>
      </c>
    </row>
    <row r="1384" spans="2:8">
      <c r="B1384" s="28">
        <v>10252</v>
      </c>
      <c r="C1384" s="34" t="s">
        <v>109</v>
      </c>
      <c r="D1384" s="34" t="s">
        <v>119</v>
      </c>
      <c r="E1384" s="34" t="s">
        <v>93</v>
      </c>
      <c r="F1384" s="35">
        <v>26</v>
      </c>
      <c r="G1384" s="37">
        <v>100</v>
      </c>
      <c r="H1384" s="32">
        <f t="shared" si="27"/>
        <v>2600</v>
      </c>
    </row>
    <row r="1385" spans="2:8">
      <c r="B1385" s="28">
        <v>10264</v>
      </c>
      <c r="C1385" s="34" t="s">
        <v>100</v>
      </c>
      <c r="D1385" s="34" t="s">
        <v>104</v>
      </c>
      <c r="E1385" s="34" t="s">
        <v>93</v>
      </c>
      <c r="F1385" s="35">
        <v>20</v>
      </c>
      <c r="G1385" s="37">
        <v>100</v>
      </c>
      <c r="H1385" s="32">
        <f t="shared" si="27"/>
        <v>2000</v>
      </c>
    </row>
    <row r="1386" spans="2:8">
      <c r="B1386" s="28">
        <v>10276</v>
      </c>
      <c r="C1386" s="34" t="s">
        <v>100</v>
      </c>
      <c r="D1386" s="34" t="s">
        <v>119</v>
      </c>
      <c r="E1386" s="34" t="s">
        <v>93</v>
      </c>
      <c r="F1386" s="35">
        <v>48</v>
      </c>
      <c r="G1386" s="37">
        <v>100</v>
      </c>
      <c r="H1386" s="32">
        <f t="shared" si="27"/>
        <v>4800</v>
      </c>
    </row>
    <row r="1387" spans="2:8">
      <c r="B1387" s="28">
        <v>10287</v>
      </c>
      <c r="C1387" s="34" t="s">
        <v>574</v>
      </c>
      <c r="D1387" s="34" t="s">
        <v>119</v>
      </c>
      <c r="E1387" s="34" t="s">
        <v>93</v>
      </c>
      <c r="F1387" s="35">
        <v>34</v>
      </c>
      <c r="G1387" s="37">
        <v>100</v>
      </c>
      <c r="H1387" s="32">
        <f t="shared" si="27"/>
        <v>3400</v>
      </c>
    </row>
    <row r="1388" spans="2:8">
      <c r="B1388" s="28">
        <v>10299</v>
      </c>
      <c r="C1388" s="34" t="s">
        <v>208</v>
      </c>
      <c r="D1388" s="34" t="s">
        <v>232</v>
      </c>
      <c r="E1388" s="34" t="s">
        <v>93</v>
      </c>
      <c r="F1388" s="35">
        <v>49</v>
      </c>
      <c r="G1388" s="37">
        <v>100</v>
      </c>
      <c r="H1388" s="32">
        <f t="shared" si="27"/>
        <v>4900</v>
      </c>
    </row>
    <row r="1389" spans="2:8">
      <c r="B1389" s="28">
        <v>10310</v>
      </c>
      <c r="C1389" s="34" t="s">
        <v>566</v>
      </c>
      <c r="D1389" s="34" t="s">
        <v>119</v>
      </c>
      <c r="E1389" s="34" t="s">
        <v>93</v>
      </c>
      <c r="F1389" s="35">
        <v>40</v>
      </c>
      <c r="G1389" s="37">
        <v>100</v>
      </c>
      <c r="H1389" s="32">
        <f t="shared" si="27"/>
        <v>4000</v>
      </c>
    </row>
    <row r="1390" spans="2:8">
      <c r="B1390" s="28">
        <v>10319</v>
      </c>
      <c r="C1390" s="34" t="s">
        <v>100</v>
      </c>
      <c r="D1390" s="34" t="s">
        <v>232</v>
      </c>
      <c r="E1390" s="34" t="s">
        <v>93</v>
      </c>
      <c r="F1390" s="35">
        <v>45</v>
      </c>
      <c r="G1390" s="37">
        <v>100</v>
      </c>
      <c r="H1390" s="32">
        <f t="shared" si="27"/>
        <v>4500</v>
      </c>
    </row>
    <row r="1391" spans="2:8">
      <c r="B1391" s="28">
        <v>10330</v>
      </c>
      <c r="C1391" s="34" t="s">
        <v>552</v>
      </c>
      <c r="D1391" s="34" t="s">
        <v>119</v>
      </c>
      <c r="E1391" s="34" t="s">
        <v>93</v>
      </c>
      <c r="F1391" s="35">
        <v>50</v>
      </c>
      <c r="G1391" s="37">
        <v>100</v>
      </c>
      <c r="H1391" s="32">
        <f t="shared" si="27"/>
        <v>5000</v>
      </c>
    </row>
    <row r="1392" spans="2:8">
      <c r="B1392" s="28">
        <v>10342</v>
      </c>
      <c r="C1392" s="34" t="s">
        <v>168</v>
      </c>
      <c r="D1392" s="34" t="s">
        <v>119</v>
      </c>
      <c r="E1392" s="34" t="s">
        <v>93</v>
      </c>
      <c r="F1392" s="35">
        <v>38</v>
      </c>
      <c r="G1392" s="37">
        <v>100</v>
      </c>
      <c r="H1392" s="32">
        <f t="shared" si="27"/>
        <v>3800</v>
      </c>
    </row>
    <row r="1393" spans="2:8">
      <c r="B1393" s="28">
        <v>10355</v>
      </c>
      <c r="C1393" s="34" t="s">
        <v>261</v>
      </c>
      <c r="D1393" s="34" t="s">
        <v>119</v>
      </c>
      <c r="E1393" s="34" t="s">
        <v>93</v>
      </c>
      <c r="F1393" s="35">
        <v>25</v>
      </c>
      <c r="G1393" s="37">
        <v>100</v>
      </c>
      <c r="H1393" s="32">
        <f t="shared" si="27"/>
        <v>2500</v>
      </c>
    </row>
    <row r="1394" spans="2:8">
      <c r="B1394" s="28">
        <v>10363</v>
      </c>
      <c r="C1394" s="34" t="s">
        <v>208</v>
      </c>
      <c r="D1394" s="34" t="s">
        <v>104</v>
      </c>
      <c r="E1394" s="34" t="s">
        <v>93</v>
      </c>
      <c r="F1394" s="35">
        <v>28</v>
      </c>
      <c r="G1394" s="37">
        <v>58.18</v>
      </c>
      <c r="H1394" s="32">
        <f t="shared" si="27"/>
        <v>1629.04</v>
      </c>
    </row>
    <row r="1395" spans="2:8">
      <c r="B1395" s="28">
        <v>10378</v>
      </c>
      <c r="C1395" s="34" t="s">
        <v>261</v>
      </c>
      <c r="D1395" s="34" t="s">
        <v>119</v>
      </c>
      <c r="E1395" s="34" t="s">
        <v>93</v>
      </c>
      <c r="F1395" s="35">
        <v>49</v>
      </c>
      <c r="G1395" s="37">
        <v>67.14</v>
      </c>
      <c r="H1395" s="32">
        <f t="shared" si="27"/>
        <v>3289.86</v>
      </c>
    </row>
    <row r="1396" spans="2:8">
      <c r="B1396" s="28">
        <v>10390</v>
      </c>
      <c r="C1396" s="34" t="s">
        <v>100</v>
      </c>
      <c r="D1396" s="34" t="s">
        <v>119</v>
      </c>
      <c r="E1396" s="34" t="s">
        <v>93</v>
      </c>
      <c r="F1396" s="35">
        <v>49</v>
      </c>
      <c r="G1396" s="37">
        <v>100</v>
      </c>
      <c r="H1396" s="32">
        <f t="shared" si="27"/>
        <v>4900</v>
      </c>
    </row>
    <row r="1397" spans="2:8">
      <c r="B1397" s="28">
        <v>10110</v>
      </c>
      <c r="C1397" s="34" t="s">
        <v>252</v>
      </c>
      <c r="D1397" s="34" t="s">
        <v>104</v>
      </c>
      <c r="E1397" s="34" t="s">
        <v>93</v>
      </c>
      <c r="F1397" s="35">
        <v>42</v>
      </c>
      <c r="G1397" s="37">
        <v>61.29</v>
      </c>
      <c r="H1397" s="32">
        <f t="shared" si="27"/>
        <v>2574.1799999999998</v>
      </c>
    </row>
    <row r="1398" spans="2:8">
      <c r="B1398" s="28">
        <v>10124</v>
      </c>
      <c r="C1398" s="34" t="s">
        <v>100</v>
      </c>
      <c r="D1398" s="34" t="s">
        <v>104</v>
      </c>
      <c r="E1398" s="34" t="s">
        <v>93</v>
      </c>
      <c r="F1398" s="35">
        <v>23</v>
      </c>
      <c r="G1398" s="37">
        <v>57.73</v>
      </c>
      <c r="H1398" s="32">
        <f t="shared" si="27"/>
        <v>1327.79</v>
      </c>
    </row>
    <row r="1399" spans="2:8">
      <c r="B1399" s="28">
        <v>10148</v>
      </c>
      <c r="C1399" s="34" t="s">
        <v>168</v>
      </c>
      <c r="D1399" s="34" t="s">
        <v>104</v>
      </c>
      <c r="E1399" s="34" t="s">
        <v>93</v>
      </c>
      <c r="F1399" s="35">
        <v>29</v>
      </c>
      <c r="G1399" s="37">
        <v>81.25</v>
      </c>
      <c r="H1399" s="32">
        <f t="shared" si="27"/>
        <v>2356.25</v>
      </c>
    </row>
    <row r="1400" spans="2:8">
      <c r="B1400" s="28">
        <v>10161</v>
      </c>
      <c r="C1400" s="34" t="s">
        <v>429</v>
      </c>
      <c r="D1400" s="34" t="s">
        <v>104</v>
      </c>
      <c r="E1400" s="34" t="s">
        <v>93</v>
      </c>
      <c r="F1400" s="35">
        <v>25</v>
      </c>
      <c r="G1400" s="37">
        <v>80.540000000000006</v>
      </c>
      <c r="H1400" s="32">
        <f t="shared" si="27"/>
        <v>2013.5000000000002</v>
      </c>
    </row>
    <row r="1401" spans="2:8">
      <c r="B1401" s="28">
        <v>10173</v>
      </c>
      <c r="C1401" s="34" t="s">
        <v>352</v>
      </c>
      <c r="D1401" s="34" t="s">
        <v>104</v>
      </c>
      <c r="E1401" s="34" t="s">
        <v>93</v>
      </c>
      <c r="F1401" s="35">
        <v>39</v>
      </c>
      <c r="G1401" s="37">
        <v>71.98</v>
      </c>
      <c r="H1401" s="32">
        <f t="shared" si="27"/>
        <v>2807.2200000000003</v>
      </c>
    </row>
    <row r="1402" spans="2:8">
      <c r="B1402" s="28">
        <v>10182</v>
      </c>
      <c r="C1402" s="34" t="s">
        <v>100</v>
      </c>
      <c r="D1402" s="34" t="s">
        <v>119</v>
      </c>
      <c r="E1402" s="34" t="s">
        <v>93</v>
      </c>
      <c r="F1402" s="35">
        <v>44</v>
      </c>
      <c r="G1402" s="37">
        <v>69.84</v>
      </c>
      <c r="H1402" s="32">
        <f t="shared" si="27"/>
        <v>3072.96</v>
      </c>
    </row>
    <row r="1403" spans="2:8">
      <c r="B1403" s="28">
        <v>10193</v>
      </c>
      <c r="C1403" s="34" t="s">
        <v>168</v>
      </c>
      <c r="D1403" s="34" t="s">
        <v>104</v>
      </c>
      <c r="E1403" s="34" t="s">
        <v>93</v>
      </c>
      <c r="F1403" s="35">
        <v>25</v>
      </c>
      <c r="G1403" s="37">
        <v>76.260000000000005</v>
      </c>
      <c r="H1403" s="32">
        <f t="shared" si="27"/>
        <v>1906.5000000000002</v>
      </c>
    </row>
    <row r="1404" spans="2:8">
      <c r="B1404" s="28">
        <v>10204</v>
      </c>
      <c r="C1404" s="34" t="s">
        <v>100</v>
      </c>
      <c r="D1404" s="34" t="s">
        <v>119</v>
      </c>
      <c r="E1404" s="34" t="s">
        <v>93</v>
      </c>
      <c r="F1404" s="35">
        <v>45</v>
      </c>
      <c r="G1404" s="37">
        <v>76.260000000000005</v>
      </c>
      <c r="H1404" s="32">
        <f t="shared" si="27"/>
        <v>3431.7000000000003</v>
      </c>
    </row>
    <row r="1405" spans="2:8">
      <c r="B1405" s="28">
        <v>10213</v>
      </c>
      <c r="C1405" s="34" t="s">
        <v>252</v>
      </c>
      <c r="D1405" s="34" t="s">
        <v>104</v>
      </c>
      <c r="E1405" s="34" t="s">
        <v>93</v>
      </c>
      <c r="F1405" s="35">
        <v>25</v>
      </c>
      <c r="G1405" s="37">
        <v>83.39</v>
      </c>
      <c r="H1405" s="32">
        <f t="shared" si="27"/>
        <v>2084.75</v>
      </c>
    </row>
    <row r="1406" spans="2:8">
      <c r="B1406" s="28">
        <v>10227</v>
      </c>
      <c r="C1406" s="34" t="s">
        <v>109</v>
      </c>
      <c r="D1406" s="34" t="s">
        <v>104</v>
      </c>
      <c r="E1406" s="34" t="s">
        <v>93</v>
      </c>
      <c r="F1406" s="35">
        <v>37</v>
      </c>
      <c r="G1406" s="37">
        <v>57.73</v>
      </c>
      <c r="H1406" s="32">
        <f t="shared" si="27"/>
        <v>2136.0099999999998</v>
      </c>
    </row>
    <row r="1407" spans="2:8">
      <c r="B1407" s="28">
        <v>10241</v>
      </c>
      <c r="C1407" s="34" t="s">
        <v>109</v>
      </c>
      <c r="D1407" s="34" t="s">
        <v>104</v>
      </c>
      <c r="E1407" s="34" t="s">
        <v>93</v>
      </c>
      <c r="F1407" s="35">
        <v>30</v>
      </c>
      <c r="G1407" s="37">
        <v>66.989999999999995</v>
      </c>
      <c r="H1407" s="32">
        <f t="shared" si="27"/>
        <v>2009.6999999999998</v>
      </c>
    </row>
    <row r="1408" spans="2:8">
      <c r="B1408" s="28">
        <v>10267</v>
      </c>
      <c r="C1408" s="34" t="s">
        <v>100</v>
      </c>
      <c r="D1408" s="34" t="s">
        <v>104</v>
      </c>
      <c r="E1408" s="34" t="s">
        <v>93</v>
      </c>
      <c r="F1408" s="35">
        <v>36</v>
      </c>
      <c r="G1408" s="37">
        <v>75.55</v>
      </c>
      <c r="H1408" s="32">
        <f t="shared" si="27"/>
        <v>2719.7999999999997</v>
      </c>
    </row>
    <row r="1409" spans="2:8">
      <c r="B1409" s="28">
        <v>10279</v>
      </c>
      <c r="C1409" s="34" t="s">
        <v>261</v>
      </c>
      <c r="D1409" s="34" t="s">
        <v>104</v>
      </c>
      <c r="E1409" s="34" t="s">
        <v>93</v>
      </c>
      <c r="F1409" s="35">
        <v>26</v>
      </c>
      <c r="G1409" s="37">
        <v>60.58</v>
      </c>
      <c r="H1409" s="32">
        <f t="shared" si="27"/>
        <v>1575.08</v>
      </c>
    </row>
    <row r="1410" spans="2:8">
      <c r="B1410" s="28">
        <v>10288</v>
      </c>
      <c r="C1410" s="34" t="s">
        <v>287</v>
      </c>
      <c r="D1410" s="34" t="s">
        <v>104</v>
      </c>
      <c r="E1410" s="34" t="s">
        <v>93</v>
      </c>
      <c r="F1410" s="35">
        <v>23</v>
      </c>
      <c r="G1410" s="37">
        <v>73.41</v>
      </c>
      <c r="H1410" s="32">
        <f t="shared" si="27"/>
        <v>1688.4299999999998</v>
      </c>
    </row>
    <row r="1411" spans="2:8">
      <c r="B1411" s="28">
        <v>10302</v>
      </c>
      <c r="C1411" s="34" t="s">
        <v>252</v>
      </c>
      <c r="D1411" s="34" t="s">
        <v>104</v>
      </c>
      <c r="E1411" s="34" t="s">
        <v>93</v>
      </c>
      <c r="F1411" s="35">
        <v>23</v>
      </c>
      <c r="G1411" s="37">
        <v>72.7</v>
      </c>
      <c r="H1411" s="32">
        <f t="shared" si="27"/>
        <v>1672.1000000000001</v>
      </c>
    </row>
    <row r="1412" spans="2:8">
      <c r="B1412" s="28">
        <v>10311</v>
      </c>
      <c r="C1412" s="34" t="s">
        <v>261</v>
      </c>
      <c r="D1412" s="34" t="s">
        <v>104</v>
      </c>
      <c r="E1412" s="34" t="s">
        <v>93</v>
      </c>
      <c r="F1412" s="35">
        <v>25</v>
      </c>
      <c r="G1412" s="37">
        <v>66.989999999999995</v>
      </c>
      <c r="H1412" s="32">
        <f t="shared" si="27"/>
        <v>1674.7499999999998</v>
      </c>
    </row>
    <row r="1413" spans="2:8">
      <c r="B1413" s="28">
        <v>10332</v>
      </c>
      <c r="C1413" s="34" t="s">
        <v>252</v>
      </c>
      <c r="D1413" s="34" t="s">
        <v>119</v>
      </c>
      <c r="E1413" s="34" t="s">
        <v>93</v>
      </c>
      <c r="F1413" s="35">
        <v>21</v>
      </c>
      <c r="G1413" s="37">
        <v>100</v>
      </c>
      <c r="H1413" s="32">
        <f t="shared" ref="H1413:H1476" si="28">F1413*G1413</f>
        <v>2100</v>
      </c>
    </row>
    <row r="1414" spans="2:8">
      <c r="B1414" s="28">
        <v>10344</v>
      </c>
      <c r="C1414" s="34" t="s">
        <v>109</v>
      </c>
      <c r="D1414" s="34" t="s">
        <v>104</v>
      </c>
      <c r="E1414" s="34" t="s">
        <v>93</v>
      </c>
      <c r="F1414" s="35">
        <v>26</v>
      </c>
      <c r="G1414" s="37">
        <v>63.43</v>
      </c>
      <c r="H1414" s="32">
        <f t="shared" si="28"/>
        <v>1649.18</v>
      </c>
    </row>
    <row r="1415" spans="2:8">
      <c r="B1415" s="28">
        <v>10367</v>
      </c>
      <c r="C1415" s="34" t="s">
        <v>100</v>
      </c>
      <c r="D1415" s="34" t="s">
        <v>119</v>
      </c>
      <c r="E1415" s="34" t="s">
        <v>526</v>
      </c>
      <c r="F1415" s="35">
        <v>44</v>
      </c>
      <c r="G1415" s="37">
        <v>85.25</v>
      </c>
      <c r="H1415" s="32">
        <f t="shared" si="28"/>
        <v>3751</v>
      </c>
    </row>
    <row r="1416" spans="2:8">
      <c r="B1416" s="28">
        <v>10380</v>
      </c>
      <c r="C1416" s="34" t="s">
        <v>261</v>
      </c>
      <c r="D1416" s="34" t="s">
        <v>119</v>
      </c>
      <c r="E1416" s="34" t="s">
        <v>93</v>
      </c>
      <c r="F1416" s="35">
        <v>24</v>
      </c>
      <c r="G1416" s="37">
        <v>100</v>
      </c>
      <c r="H1416" s="32">
        <f t="shared" si="28"/>
        <v>2400</v>
      </c>
    </row>
    <row r="1417" spans="2:8">
      <c r="B1417" s="28">
        <v>10407</v>
      </c>
      <c r="C1417" s="34" t="s">
        <v>100</v>
      </c>
      <c r="D1417" s="34" t="s">
        <v>119</v>
      </c>
      <c r="E1417" s="34" t="s">
        <v>518</v>
      </c>
      <c r="F1417" s="35">
        <v>66</v>
      </c>
      <c r="G1417" s="37">
        <v>66.989999999999995</v>
      </c>
      <c r="H1417" s="32">
        <f t="shared" si="28"/>
        <v>4421.3399999999992</v>
      </c>
    </row>
    <row r="1418" spans="2:8">
      <c r="B1418" s="28">
        <v>10420</v>
      </c>
      <c r="C1418" s="34" t="s">
        <v>168</v>
      </c>
      <c r="D1418" s="34" t="s">
        <v>104</v>
      </c>
      <c r="E1418" s="34" t="s">
        <v>400</v>
      </c>
      <c r="F1418" s="35">
        <v>36</v>
      </c>
      <c r="G1418" s="37">
        <v>57.73</v>
      </c>
      <c r="H1418" s="32">
        <f t="shared" si="28"/>
        <v>2078.2799999999997</v>
      </c>
    </row>
    <row r="1419" spans="2:8">
      <c r="B1419" s="28">
        <v>10110</v>
      </c>
      <c r="C1419" s="34" t="s">
        <v>252</v>
      </c>
      <c r="D1419" s="34" t="s">
        <v>119</v>
      </c>
      <c r="E1419" s="34" t="s">
        <v>93</v>
      </c>
      <c r="F1419" s="35">
        <v>36</v>
      </c>
      <c r="G1419" s="37">
        <v>85.25</v>
      </c>
      <c r="H1419" s="32">
        <f t="shared" si="28"/>
        <v>3069</v>
      </c>
    </row>
    <row r="1420" spans="2:8">
      <c r="B1420" s="28">
        <v>10124</v>
      </c>
      <c r="C1420" s="34" t="s">
        <v>100</v>
      </c>
      <c r="D1420" s="34" t="s">
        <v>104</v>
      </c>
      <c r="E1420" s="34" t="s">
        <v>93</v>
      </c>
      <c r="F1420" s="35">
        <v>22</v>
      </c>
      <c r="G1420" s="37">
        <v>77.900000000000006</v>
      </c>
      <c r="H1420" s="32">
        <f t="shared" si="28"/>
        <v>1713.8000000000002</v>
      </c>
    </row>
    <row r="1421" spans="2:8">
      <c r="B1421" s="28">
        <v>10148</v>
      </c>
      <c r="C1421" s="34" t="s">
        <v>168</v>
      </c>
      <c r="D1421" s="34" t="s">
        <v>104</v>
      </c>
      <c r="E1421" s="34" t="s">
        <v>93</v>
      </c>
      <c r="F1421" s="35">
        <v>25</v>
      </c>
      <c r="G1421" s="37">
        <v>60.26</v>
      </c>
      <c r="H1421" s="32">
        <f t="shared" si="28"/>
        <v>1506.5</v>
      </c>
    </row>
    <row r="1422" spans="2:8">
      <c r="B1422" s="28">
        <v>10161</v>
      </c>
      <c r="C1422" s="34" t="s">
        <v>429</v>
      </c>
      <c r="D1422" s="34" t="s">
        <v>104</v>
      </c>
      <c r="E1422" s="34" t="s">
        <v>93</v>
      </c>
      <c r="F1422" s="35">
        <v>37</v>
      </c>
      <c r="G1422" s="37">
        <v>72.760000000000005</v>
      </c>
      <c r="H1422" s="32">
        <f t="shared" si="28"/>
        <v>2692.1200000000003</v>
      </c>
    </row>
    <row r="1423" spans="2:8">
      <c r="B1423" s="28">
        <v>10172</v>
      </c>
      <c r="C1423" s="34" t="s">
        <v>100</v>
      </c>
      <c r="D1423" s="34" t="s">
        <v>104</v>
      </c>
      <c r="E1423" s="34" t="s">
        <v>93</v>
      </c>
      <c r="F1423" s="35">
        <v>32</v>
      </c>
      <c r="G1423" s="37">
        <v>75.69</v>
      </c>
      <c r="H1423" s="32">
        <f t="shared" si="28"/>
        <v>2422.08</v>
      </c>
    </row>
    <row r="1424" spans="2:8">
      <c r="B1424" s="28">
        <v>10182</v>
      </c>
      <c r="C1424" s="34" t="s">
        <v>100</v>
      </c>
      <c r="D1424" s="34" t="s">
        <v>119</v>
      </c>
      <c r="E1424" s="34" t="s">
        <v>93</v>
      </c>
      <c r="F1424" s="35">
        <v>47</v>
      </c>
      <c r="G1424" s="37">
        <v>74.22</v>
      </c>
      <c r="H1424" s="32">
        <f t="shared" si="28"/>
        <v>3488.34</v>
      </c>
    </row>
    <row r="1425" spans="2:8">
      <c r="B1425" s="28">
        <v>10192</v>
      </c>
      <c r="C1425" s="34" t="s">
        <v>100</v>
      </c>
      <c r="D1425" s="34" t="s">
        <v>104</v>
      </c>
      <c r="E1425" s="34" t="s">
        <v>93</v>
      </c>
      <c r="F1425" s="35">
        <v>37</v>
      </c>
      <c r="G1425" s="37">
        <v>69.819999999999993</v>
      </c>
      <c r="H1425" s="32">
        <f t="shared" si="28"/>
        <v>2583.3399999999997</v>
      </c>
    </row>
    <row r="1426" spans="2:8">
      <c r="B1426" s="28">
        <v>10204</v>
      </c>
      <c r="C1426" s="34" t="s">
        <v>100</v>
      </c>
      <c r="D1426" s="34" t="s">
        <v>104</v>
      </c>
      <c r="E1426" s="34" t="s">
        <v>93</v>
      </c>
      <c r="F1426" s="35">
        <v>20</v>
      </c>
      <c r="G1426" s="37">
        <v>62.47</v>
      </c>
      <c r="H1426" s="32">
        <f t="shared" si="28"/>
        <v>1249.4000000000001</v>
      </c>
    </row>
    <row r="1427" spans="2:8">
      <c r="B1427" s="28">
        <v>10212</v>
      </c>
      <c r="C1427" s="34" t="s">
        <v>261</v>
      </c>
      <c r="D1427" s="34" t="s">
        <v>119</v>
      </c>
      <c r="E1427" s="34" t="s">
        <v>93</v>
      </c>
      <c r="F1427" s="35">
        <v>41</v>
      </c>
      <c r="G1427" s="37">
        <v>82.31</v>
      </c>
      <c r="H1427" s="32">
        <f t="shared" si="28"/>
        <v>3374.71</v>
      </c>
    </row>
    <row r="1428" spans="2:8">
      <c r="B1428" s="28">
        <v>10226</v>
      </c>
      <c r="C1428" s="34" t="s">
        <v>100</v>
      </c>
      <c r="D1428" s="34" t="s">
        <v>104</v>
      </c>
      <c r="E1428" s="34" t="s">
        <v>93</v>
      </c>
      <c r="F1428" s="35">
        <v>21</v>
      </c>
      <c r="G1428" s="37">
        <v>60.26</v>
      </c>
      <c r="H1428" s="32">
        <f t="shared" si="28"/>
        <v>1265.46</v>
      </c>
    </row>
    <row r="1429" spans="2:8">
      <c r="B1429" s="28">
        <v>10241</v>
      </c>
      <c r="C1429" s="34" t="s">
        <v>109</v>
      </c>
      <c r="D1429" s="34" t="s">
        <v>104</v>
      </c>
      <c r="E1429" s="34" t="s">
        <v>93</v>
      </c>
      <c r="F1429" s="35">
        <v>22</v>
      </c>
      <c r="G1429" s="37">
        <v>76.430000000000007</v>
      </c>
      <c r="H1429" s="32">
        <f t="shared" si="28"/>
        <v>1681.46</v>
      </c>
    </row>
    <row r="1430" spans="2:8">
      <c r="B1430" s="28">
        <v>10267</v>
      </c>
      <c r="C1430" s="34" t="s">
        <v>100</v>
      </c>
      <c r="D1430" s="34" t="s">
        <v>119</v>
      </c>
      <c r="E1430" s="34" t="s">
        <v>93</v>
      </c>
      <c r="F1430" s="35">
        <v>40</v>
      </c>
      <c r="G1430" s="37">
        <v>80.099999999999994</v>
      </c>
      <c r="H1430" s="32">
        <f t="shared" si="28"/>
        <v>3204</v>
      </c>
    </row>
    <row r="1431" spans="2:8">
      <c r="B1431" s="28">
        <v>10279</v>
      </c>
      <c r="C1431" s="34" t="s">
        <v>261</v>
      </c>
      <c r="D1431" s="34" t="s">
        <v>104</v>
      </c>
      <c r="E1431" s="34" t="s">
        <v>93</v>
      </c>
      <c r="F1431" s="35">
        <v>32</v>
      </c>
      <c r="G1431" s="37">
        <v>74.959999999999994</v>
      </c>
      <c r="H1431" s="32">
        <f t="shared" si="28"/>
        <v>2398.7199999999998</v>
      </c>
    </row>
    <row r="1432" spans="2:8">
      <c r="B1432" s="28">
        <v>10288</v>
      </c>
      <c r="C1432" s="34" t="s">
        <v>287</v>
      </c>
      <c r="D1432" s="34" t="s">
        <v>104</v>
      </c>
      <c r="E1432" s="34" t="s">
        <v>93</v>
      </c>
      <c r="F1432" s="35">
        <v>36</v>
      </c>
      <c r="G1432" s="37">
        <v>66.14</v>
      </c>
      <c r="H1432" s="32">
        <f t="shared" si="28"/>
        <v>2381.04</v>
      </c>
    </row>
    <row r="1433" spans="2:8">
      <c r="B1433" s="28">
        <v>10301</v>
      </c>
      <c r="C1433" s="34" t="s">
        <v>149</v>
      </c>
      <c r="D1433" s="34" t="s">
        <v>104</v>
      </c>
      <c r="E1433" s="34" t="s">
        <v>93</v>
      </c>
      <c r="F1433" s="35">
        <v>27</v>
      </c>
      <c r="G1433" s="37">
        <v>72.02</v>
      </c>
      <c r="H1433" s="32">
        <f t="shared" si="28"/>
        <v>1944.54</v>
      </c>
    </row>
    <row r="1434" spans="2:8">
      <c r="B1434" s="28">
        <v>10311</v>
      </c>
      <c r="C1434" s="34" t="s">
        <v>261</v>
      </c>
      <c r="D1434" s="34" t="s">
        <v>104</v>
      </c>
      <c r="E1434" s="34" t="s">
        <v>93</v>
      </c>
      <c r="F1434" s="35">
        <v>26</v>
      </c>
      <c r="G1434" s="37">
        <v>87.45</v>
      </c>
      <c r="H1434" s="32">
        <f t="shared" si="28"/>
        <v>2273.7000000000003</v>
      </c>
    </row>
    <row r="1435" spans="2:8">
      <c r="B1435" s="28">
        <v>10321</v>
      </c>
      <c r="C1435" s="34" t="s">
        <v>100</v>
      </c>
      <c r="D1435" s="34" t="s">
        <v>104</v>
      </c>
      <c r="E1435" s="34" t="s">
        <v>93</v>
      </c>
      <c r="F1435" s="35">
        <v>30</v>
      </c>
      <c r="G1435" s="37">
        <v>70.55</v>
      </c>
      <c r="H1435" s="32">
        <f t="shared" si="28"/>
        <v>2116.5</v>
      </c>
    </row>
    <row r="1436" spans="2:8">
      <c r="B1436" s="28">
        <v>10332</v>
      </c>
      <c r="C1436" s="34" t="s">
        <v>252</v>
      </c>
      <c r="D1436" s="34" t="s">
        <v>104</v>
      </c>
      <c r="E1436" s="34" t="s">
        <v>93</v>
      </c>
      <c r="F1436" s="35">
        <v>23</v>
      </c>
      <c r="G1436" s="37">
        <v>56.84</v>
      </c>
      <c r="H1436" s="32">
        <f t="shared" si="28"/>
        <v>1307.3200000000002</v>
      </c>
    </row>
    <row r="1437" spans="2:8">
      <c r="B1437" s="28">
        <v>10344</v>
      </c>
      <c r="C1437" s="34" t="s">
        <v>109</v>
      </c>
      <c r="D1437" s="34" t="s">
        <v>104</v>
      </c>
      <c r="E1437" s="34" t="s">
        <v>93</v>
      </c>
      <c r="F1437" s="35">
        <v>29</v>
      </c>
      <c r="G1437" s="37">
        <v>59.53</v>
      </c>
      <c r="H1437" s="32">
        <f t="shared" si="28"/>
        <v>1726.3700000000001</v>
      </c>
    </row>
    <row r="1438" spans="2:8">
      <c r="B1438" s="28">
        <v>10367</v>
      </c>
      <c r="C1438" s="34" t="s">
        <v>100</v>
      </c>
      <c r="D1438" s="34" t="s">
        <v>104</v>
      </c>
      <c r="E1438" s="34" t="s">
        <v>526</v>
      </c>
      <c r="F1438" s="35">
        <v>21</v>
      </c>
      <c r="G1438" s="37">
        <v>60.37</v>
      </c>
      <c r="H1438" s="32">
        <f t="shared" si="28"/>
        <v>1267.77</v>
      </c>
    </row>
    <row r="1439" spans="2:8">
      <c r="B1439" s="28">
        <v>10380</v>
      </c>
      <c r="C1439" s="34" t="s">
        <v>261</v>
      </c>
      <c r="D1439" s="34" t="s">
        <v>119</v>
      </c>
      <c r="E1439" s="34" t="s">
        <v>93</v>
      </c>
      <c r="F1439" s="35">
        <v>34</v>
      </c>
      <c r="G1439" s="37">
        <v>100</v>
      </c>
      <c r="H1439" s="32">
        <f t="shared" si="28"/>
        <v>3400</v>
      </c>
    </row>
    <row r="1440" spans="2:8">
      <c r="B1440" s="28">
        <v>10407</v>
      </c>
      <c r="C1440" s="34" t="s">
        <v>100</v>
      </c>
      <c r="D1440" s="34" t="s">
        <v>104</v>
      </c>
      <c r="E1440" s="34" t="s">
        <v>518</v>
      </c>
      <c r="F1440" s="35">
        <v>26</v>
      </c>
      <c r="G1440" s="37">
        <v>76.430000000000007</v>
      </c>
      <c r="H1440" s="32">
        <f t="shared" si="28"/>
        <v>1987.1800000000003</v>
      </c>
    </row>
    <row r="1441" spans="2:8">
      <c r="B1441" s="28">
        <v>10420</v>
      </c>
      <c r="C1441" s="34" t="s">
        <v>168</v>
      </c>
      <c r="D1441" s="34" t="s">
        <v>119</v>
      </c>
      <c r="E1441" s="34" t="s">
        <v>400</v>
      </c>
      <c r="F1441" s="35">
        <v>60</v>
      </c>
      <c r="G1441" s="37">
        <v>64.67</v>
      </c>
      <c r="H1441" s="32">
        <f t="shared" si="28"/>
        <v>3880.2000000000003</v>
      </c>
    </row>
    <row r="1442" spans="2:8">
      <c r="B1442" s="28">
        <v>10104</v>
      </c>
      <c r="C1442" s="34" t="s">
        <v>261</v>
      </c>
      <c r="D1442" s="34" t="s">
        <v>104</v>
      </c>
      <c r="E1442" s="34" t="s">
        <v>93</v>
      </c>
      <c r="F1442" s="35">
        <v>35</v>
      </c>
      <c r="G1442" s="37">
        <v>55.49</v>
      </c>
      <c r="H1442" s="32">
        <f t="shared" si="28"/>
        <v>1942.15</v>
      </c>
    </row>
    <row r="1443" spans="2:8">
      <c r="B1443" s="28">
        <v>10115</v>
      </c>
      <c r="C1443" s="34" t="s">
        <v>100</v>
      </c>
      <c r="D1443" s="34" t="s">
        <v>119</v>
      </c>
      <c r="E1443" s="34" t="s">
        <v>93</v>
      </c>
      <c r="F1443" s="35">
        <v>47</v>
      </c>
      <c r="G1443" s="37">
        <v>69.36</v>
      </c>
      <c r="H1443" s="32">
        <f t="shared" si="28"/>
        <v>3259.92</v>
      </c>
    </row>
    <row r="1444" spans="2:8">
      <c r="B1444" s="28">
        <v>10127</v>
      </c>
      <c r="C1444" s="34" t="s">
        <v>100</v>
      </c>
      <c r="D1444" s="34" t="s">
        <v>104</v>
      </c>
      <c r="E1444" s="34" t="s">
        <v>93</v>
      </c>
      <c r="F1444" s="35">
        <v>20</v>
      </c>
      <c r="G1444" s="37">
        <v>60.69</v>
      </c>
      <c r="H1444" s="32">
        <f t="shared" si="28"/>
        <v>1213.8</v>
      </c>
    </row>
    <row r="1445" spans="2:8">
      <c r="B1445" s="28">
        <v>10141</v>
      </c>
      <c r="C1445" s="34" t="s">
        <v>208</v>
      </c>
      <c r="D1445" s="34" t="s">
        <v>104</v>
      </c>
      <c r="E1445" s="34" t="s">
        <v>93</v>
      </c>
      <c r="F1445" s="35">
        <v>20</v>
      </c>
      <c r="G1445" s="37">
        <v>54.33</v>
      </c>
      <c r="H1445" s="32">
        <f t="shared" si="28"/>
        <v>1086.5999999999999</v>
      </c>
    </row>
    <row r="1446" spans="2:8">
      <c r="B1446" s="28">
        <v>10152</v>
      </c>
      <c r="C1446" s="34" t="s">
        <v>168</v>
      </c>
      <c r="D1446" s="34" t="s">
        <v>104</v>
      </c>
      <c r="E1446" s="34" t="s">
        <v>93</v>
      </c>
      <c r="F1446" s="35">
        <v>25</v>
      </c>
      <c r="G1446" s="37">
        <v>65.31</v>
      </c>
      <c r="H1446" s="32">
        <f t="shared" si="28"/>
        <v>1632.75</v>
      </c>
    </row>
    <row r="1447" spans="2:8">
      <c r="B1447" s="28">
        <v>10165</v>
      </c>
      <c r="C1447" s="34" t="s">
        <v>287</v>
      </c>
      <c r="D1447" s="34" t="s">
        <v>104</v>
      </c>
      <c r="E1447" s="34" t="s">
        <v>93</v>
      </c>
      <c r="F1447" s="35">
        <v>25</v>
      </c>
      <c r="G1447" s="37">
        <v>69.36</v>
      </c>
      <c r="H1447" s="32">
        <f t="shared" si="28"/>
        <v>1734</v>
      </c>
    </row>
    <row r="1448" spans="2:8">
      <c r="B1448" s="28">
        <v>10176</v>
      </c>
      <c r="C1448" s="34" t="s">
        <v>352</v>
      </c>
      <c r="D1448" s="34" t="s">
        <v>104</v>
      </c>
      <c r="E1448" s="34" t="s">
        <v>93</v>
      </c>
      <c r="F1448" s="35">
        <v>27</v>
      </c>
      <c r="G1448" s="37">
        <v>68.78</v>
      </c>
      <c r="H1448" s="32">
        <f t="shared" si="28"/>
        <v>1857.06</v>
      </c>
    </row>
    <row r="1449" spans="2:8">
      <c r="B1449" s="28">
        <v>10184</v>
      </c>
      <c r="C1449" s="34" t="s">
        <v>261</v>
      </c>
      <c r="D1449" s="34" t="s">
        <v>104</v>
      </c>
      <c r="E1449" s="34" t="s">
        <v>93</v>
      </c>
      <c r="F1449" s="35">
        <v>31</v>
      </c>
      <c r="G1449" s="37">
        <v>60.11</v>
      </c>
      <c r="H1449" s="32">
        <f t="shared" si="28"/>
        <v>1863.41</v>
      </c>
    </row>
    <row r="1450" spans="2:8">
      <c r="B1450" s="28">
        <v>10195</v>
      </c>
      <c r="C1450" s="34" t="s">
        <v>100</v>
      </c>
      <c r="D1450" s="34" t="s">
        <v>104</v>
      </c>
      <c r="E1450" s="34" t="s">
        <v>93</v>
      </c>
      <c r="F1450" s="35">
        <v>44</v>
      </c>
      <c r="G1450" s="37">
        <v>66.47</v>
      </c>
      <c r="H1450" s="32">
        <f t="shared" si="28"/>
        <v>2924.68</v>
      </c>
    </row>
    <row r="1451" spans="2:8">
      <c r="B1451" s="28">
        <v>10207</v>
      </c>
      <c r="C1451" s="34" t="s">
        <v>100</v>
      </c>
      <c r="D1451" s="34" t="s">
        <v>104</v>
      </c>
      <c r="E1451" s="34" t="s">
        <v>93</v>
      </c>
      <c r="F1451" s="35">
        <v>49</v>
      </c>
      <c r="G1451" s="37">
        <v>46.82</v>
      </c>
      <c r="H1451" s="32">
        <f t="shared" si="28"/>
        <v>2294.1799999999998</v>
      </c>
    </row>
    <row r="1452" spans="2:8">
      <c r="B1452" s="28">
        <v>10220</v>
      </c>
      <c r="C1452" s="34" t="s">
        <v>614</v>
      </c>
      <c r="D1452" s="34" t="s">
        <v>104</v>
      </c>
      <c r="E1452" s="34" t="s">
        <v>93</v>
      </c>
      <c r="F1452" s="35">
        <v>26</v>
      </c>
      <c r="G1452" s="37">
        <v>56.07</v>
      </c>
      <c r="H1452" s="32">
        <f t="shared" si="28"/>
        <v>1457.82</v>
      </c>
    </row>
    <row r="1453" spans="2:8">
      <c r="B1453" s="28">
        <v>10230</v>
      </c>
      <c r="C1453" s="34" t="s">
        <v>566</v>
      </c>
      <c r="D1453" s="34" t="s">
        <v>104</v>
      </c>
      <c r="E1453" s="34" t="s">
        <v>93</v>
      </c>
      <c r="F1453" s="35">
        <v>36</v>
      </c>
      <c r="G1453" s="37">
        <v>54.33</v>
      </c>
      <c r="H1453" s="32">
        <f t="shared" si="28"/>
        <v>1955.8799999999999</v>
      </c>
    </row>
    <row r="1454" spans="2:8">
      <c r="B1454" s="28">
        <v>10246</v>
      </c>
      <c r="C1454" s="34" t="s">
        <v>261</v>
      </c>
      <c r="D1454" s="34" t="s">
        <v>104</v>
      </c>
      <c r="E1454" s="34" t="s">
        <v>93</v>
      </c>
      <c r="F1454" s="35">
        <v>44</v>
      </c>
      <c r="G1454" s="37">
        <v>52.6</v>
      </c>
      <c r="H1454" s="32">
        <f t="shared" si="28"/>
        <v>2314.4</v>
      </c>
    </row>
    <row r="1455" spans="2:8">
      <c r="B1455" s="28">
        <v>10259</v>
      </c>
      <c r="C1455" s="34" t="s">
        <v>287</v>
      </c>
      <c r="D1455" s="34" t="s">
        <v>104</v>
      </c>
      <c r="E1455" s="34" t="s">
        <v>93</v>
      </c>
      <c r="F1455" s="35">
        <v>28</v>
      </c>
      <c r="G1455" s="37">
        <v>46.82</v>
      </c>
      <c r="H1455" s="32">
        <f t="shared" si="28"/>
        <v>1310.96</v>
      </c>
    </row>
    <row r="1456" spans="2:8">
      <c r="B1456" s="28">
        <v>10271</v>
      </c>
      <c r="C1456" s="34" t="s">
        <v>100</v>
      </c>
      <c r="D1456" s="34" t="s">
        <v>104</v>
      </c>
      <c r="E1456" s="34" t="s">
        <v>93</v>
      </c>
      <c r="F1456" s="35">
        <v>45</v>
      </c>
      <c r="G1456" s="37">
        <v>64.739999999999995</v>
      </c>
      <c r="H1456" s="32">
        <f t="shared" si="28"/>
        <v>2913.2999999999997</v>
      </c>
    </row>
    <row r="1457" spans="2:8">
      <c r="B1457" s="28">
        <v>10282</v>
      </c>
      <c r="C1457" s="34" t="s">
        <v>100</v>
      </c>
      <c r="D1457" s="34" t="s">
        <v>104</v>
      </c>
      <c r="E1457" s="34" t="s">
        <v>93</v>
      </c>
      <c r="F1457" s="35">
        <v>29</v>
      </c>
      <c r="G1457" s="37">
        <v>46.82</v>
      </c>
      <c r="H1457" s="32">
        <f t="shared" si="28"/>
        <v>1357.78</v>
      </c>
    </row>
    <row r="1458" spans="2:8">
      <c r="B1458" s="28">
        <v>10292</v>
      </c>
      <c r="C1458" s="34" t="s">
        <v>100</v>
      </c>
      <c r="D1458" s="34" t="s">
        <v>104</v>
      </c>
      <c r="E1458" s="34" t="s">
        <v>93</v>
      </c>
      <c r="F1458" s="35">
        <v>40</v>
      </c>
      <c r="G1458" s="37">
        <v>53.75</v>
      </c>
      <c r="H1458" s="32">
        <f t="shared" si="28"/>
        <v>2150</v>
      </c>
    </row>
    <row r="1459" spans="2:8">
      <c r="B1459" s="28">
        <v>10305</v>
      </c>
      <c r="C1459" s="34" t="s">
        <v>100</v>
      </c>
      <c r="D1459" s="34" t="s">
        <v>104</v>
      </c>
      <c r="E1459" s="34" t="s">
        <v>93</v>
      </c>
      <c r="F1459" s="35">
        <v>45</v>
      </c>
      <c r="G1459" s="37">
        <v>61.85</v>
      </c>
      <c r="H1459" s="32">
        <f t="shared" si="28"/>
        <v>2783.25</v>
      </c>
    </row>
    <row r="1460" spans="2:8">
      <c r="B1460" s="28">
        <v>10314</v>
      </c>
      <c r="C1460" s="34" t="s">
        <v>429</v>
      </c>
      <c r="D1460" s="34" t="s">
        <v>104</v>
      </c>
      <c r="E1460" s="34" t="s">
        <v>93</v>
      </c>
      <c r="F1460" s="35">
        <v>44</v>
      </c>
      <c r="G1460" s="37">
        <v>53.18</v>
      </c>
      <c r="H1460" s="32">
        <f t="shared" si="28"/>
        <v>2339.92</v>
      </c>
    </row>
    <row r="1461" spans="2:8">
      <c r="B1461" s="28">
        <v>10324</v>
      </c>
      <c r="C1461" s="34" t="s">
        <v>100</v>
      </c>
      <c r="D1461" s="34" t="s">
        <v>104</v>
      </c>
      <c r="E1461" s="34" t="s">
        <v>93</v>
      </c>
      <c r="F1461" s="35">
        <v>25</v>
      </c>
      <c r="G1461" s="37">
        <v>69.16</v>
      </c>
      <c r="H1461" s="32">
        <f t="shared" si="28"/>
        <v>1729</v>
      </c>
    </row>
    <row r="1462" spans="2:8">
      <c r="B1462" s="28">
        <v>10336</v>
      </c>
      <c r="C1462" s="34" t="s">
        <v>109</v>
      </c>
      <c r="D1462" s="34" t="s">
        <v>119</v>
      </c>
      <c r="E1462" s="34" t="s">
        <v>93</v>
      </c>
      <c r="F1462" s="35">
        <v>45</v>
      </c>
      <c r="G1462" s="37">
        <v>100</v>
      </c>
      <c r="H1462" s="32">
        <f t="shared" si="28"/>
        <v>4500</v>
      </c>
    </row>
    <row r="1463" spans="2:8">
      <c r="B1463" s="28">
        <v>10349</v>
      </c>
      <c r="C1463" s="34" t="s">
        <v>100</v>
      </c>
      <c r="D1463" s="34" t="s">
        <v>104</v>
      </c>
      <c r="E1463" s="34" t="s">
        <v>93</v>
      </c>
      <c r="F1463" s="35">
        <v>48</v>
      </c>
      <c r="G1463" s="37">
        <v>47.4</v>
      </c>
      <c r="H1463" s="32">
        <f t="shared" si="28"/>
        <v>2275.1999999999998</v>
      </c>
    </row>
    <row r="1464" spans="2:8">
      <c r="B1464" s="28">
        <v>10358</v>
      </c>
      <c r="C1464" s="34" t="s">
        <v>261</v>
      </c>
      <c r="D1464" s="34" t="s">
        <v>104</v>
      </c>
      <c r="E1464" s="34" t="s">
        <v>93</v>
      </c>
      <c r="F1464" s="35">
        <v>44</v>
      </c>
      <c r="G1464" s="37">
        <v>60.76</v>
      </c>
      <c r="H1464" s="32">
        <f t="shared" si="28"/>
        <v>2673.44</v>
      </c>
    </row>
    <row r="1465" spans="2:8">
      <c r="B1465" s="28">
        <v>10371</v>
      </c>
      <c r="C1465" s="34" t="s">
        <v>100</v>
      </c>
      <c r="D1465" s="34" t="s">
        <v>104</v>
      </c>
      <c r="E1465" s="34" t="s">
        <v>93</v>
      </c>
      <c r="F1465" s="35">
        <v>25</v>
      </c>
      <c r="G1465" s="37">
        <v>97.27</v>
      </c>
      <c r="H1465" s="32">
        <f t="shared" si="28"/>
        <v>2431.75</v>
      </c>
    </row>
    <row r="1466" spans="2:8">
      <c r="B1466" s="28">
        <v>10383</v>
      </c>
      <c r="C1466" s="34" t="s">
        <v>261</v>
      </c>
      <c r="D1466" s="34" t="s">
        <v>104</v>
      </c>
      <c r="E1466" s="34" t="s">
        <v>93</v>
      </c>
      <c r="F1466" s="35">
        <v>22</v>
      </c>
      <c r="G1466" s="37">
        <v>91.76</v>
      </c>
      <c r="H1466" s="32">
        <f t="shared" si="28"/>
        <v>2018.72</v>
      </c>
    </row>
    <row r="1467" spans="2:8">
      <c r="B1467" s="28">
        <v>10394</v>
      </c>
      <c r="C1467" s="34" t="s">
        <v>261</v>
      </c>
      <c r="D1467" s="34" t="s">
        <v>104</v>
      </c>
      <c r="E1467" s="34" t="s">
        <v>93</v>
      </c>
      <c r="F1467" s="35">
        <v>31</v>
      </c>
      <c r="G1467" s="37">
        <v>50.29</v>
      </c>
      <c r="H1467" s="32">
        <f t="shared" si="28"/>
        <v>1558.99</v>
      </c>
    </row>
    <row r="1468" spans="2:8">
      <c r="B1468" s="28">
        <v>10412</v>
      </c>
      <c r="C1468" s="34" t="s">
        <v>261</v>
      </c>
      <c r="D1468" s="34" t="s">
        <v>104</v>
      </c>
      <c r="E1468" s="34" t="s">
        <v>93</v>
      </c>
      <c r="F1468" s="35">
        <v>21</v>
      </c>
      <c r="G1468" s="37">
        <v>52.6</v>
      </c>
      <c r="H1468" s="32">
        <f t="shared" si="28"/>
        <v>1104.6000000000001</v>
      </c>
    </row>
    <row r="1469" spans="2:8">
      <c r="B1469" s="28">
        <v>10425</v>
      </c>
      <c r="C1469" s="34" t="s">
        <v>109</v>
      </c>
      <c r="D1469" s="34" t="s">
        <v>104</v>
      </c>
      <c r="E1469" s="34" t="s">
        <v>400</v>
      </c>
      <c r="F1469" s="35">
        <v>55</v>
      </c>
      <c r="G1469" s="37">
        <v>46.82</v>
      </c>
      <c r="H1469" s="32">
        <f t="shared" si="28"/>
        <v>2575.1</v>
      </c>
    </row>
    <row r="1470" spans="2:8">
      <c r="B1470" s="28">
        <v>10107</v>
      </c>
      <c r="C1470" s="34" t="s">
        <v>100</v>
      </c>
      <c r="D1470" s="34" t="s">
        <v>104</v>
      </c>
      <c r="E1470" s="34" t="s">
        <v>93</v>
      </c>
      <c r="F1470" s="35">
        <v>25</v>
      </c>
      <c r="G1470" s="37">
        <v>100</v>
      </c>
      <c r="H1470" s="32">
        <f t="shared" si="28"/>
        <v>2500</v>
      </c>
    </row>
    <row r="1471" spans="2:8">
      <c r="B1471" s="28">
        <v>10120</v>
      </c>
      <c r="C1471" s="34" t="s">
        <v>168</v>
      </c>
      <c r="D1471" s="34" t="s">
        <v>119</v>
      </c>
      <c r="E1471" s="34" t="s">
        <v>93</v>
      </c>
      <c r="F1471" s="35">
        <v>35</v>
      </c>
      <c r="G1471" s="37">
        <v>98.05</v>
      </c>
      <c r="H1471" s="32">
        <f t="shared" si="28"/>
        <v>3431.75</v>
      </c>
    </row>
    <row r="1472" spans="2:8">
      <c r="B1472" s="28">
        <v>10134</v>
      </c>
      <c r="C1472" s="34" t="s">
        <v>109</v>
      </c>
      <c r="D1472" s="34" t="s">
        <v>119</v>
      </c>
      <c r="E1472" s="34" t="s">
        <v>93</v>
      </c>
      <c r="F1472" s="35">
        <v>35</v>
      </c>
      <c r="G1472" s="37">
        <v>93.54</v>
      </c>
      <c r="H1472" s="32">
        <f t="shared" si="28"/>
        <v>3273.9</v>
      </c>
    </row>
    <row r="1473" spans="2:8">
      <c r="B1473" s="28">
        <v>10145</v>
      </c>
      <c r="C1473" s="34" t="s">
        <v>100</v>
      </c>
      <c r="D1473" s="34" t="s">
        <v>119</v>
      </c>
      <c r="E1473" s="34" t="s">
        <v>93</v>
      </c>
      <c r="F1473" s="35">
        <v>43</v>
      </c>
      <c r="G1473" s="37">
        <v>95.8</v>
      </c>
      <c r="H1473" s="32">
        <f t="shared" si="28"/>
        <v>4119.3999999999996</v>
      </c>
    </row>
    <row r="1474" spans="2:8">
      <c r="B1474" s="28">
        <v>10159</v>
      </c>
      <c r="C1474" s="34" t="s">
        <v>100</v>
      </c>
      <c r="D1474" s="34" t="s">
        <v>119</v>
      </c>
      <c r="E1474" s="34" t="s">
        <v>93</v>
      </c>
      <c r="F1474" s="35">
        <v>44</v>
      </c>
      <c r="G1474" s="37">
        <v>100</v>
      </c>
      <c r="H1474" s="32">
        <f t="shared" si="28"/>
        <v>4400</v>
      </c>
    </row>
    <row r="1475" spans="2:8">
      <c r="B1475" s="28">
        <v>10168</v>
      </c>
      <c r="C1475" s="34" t="s">
        <v>100</v>
      </c>
      <c r="D1475" s="34" t="s">
        <v>119</v>
      </c>
      <c r="E1475" s="34" t="s">
        <v>93</v>
      </c>
      <c r="F1475" s="35">
        <v>50</v>
      </c>
      <c r="G1475" s="37">
        <v>100</v>
      </c>
      <c r="H1475" s="32">
        <f t="shared" si="28"/>
        <v>5000</v>
      </c>
    </row>
    <row r="1476" spans="2:8">
      <c r="B1476" s="28">
        <v>10180</v>
      </c>
      <c r="C1476" s="34" t="s">
        <v>109</v>
      </c>
      <c r="D1476" s="34" t="s">
        <v>119</v>
      </c>
      <c r="E1476" s="34" t="s">
        <v>93</v>
      </c>
      <c r="F1476" s="35">
        <v>48</v>
      </c>
      <c r="G1476" s="37">
        <v>100</v>
      </c>
      <c r="H1476" s="32">
        <f t="shared" si="28"/>
        <v>4800</v>
      </c>
    </row>
    <row r="1477" spans="2:8">
      <c r="B1477" s="28">
        <v>10188</v>
      </c>
      <c r="C1477" s="34" t="s">
        <v>149</v>
      </c>
      <c r="D1477" s="34" t="s">
        <v>104</v>
      </c>
      <c r="E1477" s="34" t="s">
        <v>93</v>
      </c>
      <c r="F1477" s="35">
        <v>25</v>
      </c>
      <c r="G1477" s="37">
        <v>100</v>
      </c>
      <c r="H1477" s="32">
        <f t="shared" ref="H1477:H1540" si="29">F1477*G1477</f>
        <v>2500</v>
      </c>
    </row>
    <row r="1478" spans="2:8">
      <c r="B1478" s="28">
        <v>10201</v>
      </c>
      <c r="C1478" s="34" t="s">
        <v>100</v>
      </c>
      <c r="D1478" s="34" t="s">
        <v>119</v>
      </c>
      <c r="E1478" s="34" t="s">
        <v>93</v>
      </c>
      <c r="F1478" s="35">
        <v>39</v>
      </c>
      <c r="G1478" s="37">
        <v>100</v>
      </c>
      <c r="H1478" s="32">
        <f t="shared" si="29"/>
        <v>3900</v>
      </c>
    </row>
    <row r="1479" spans="2:8">
      <c r="B1479" s="28">
        <v>10211</v>
      </c>
      <c r="C1479" s="34" t="s">
        <v>109</v>
      </c>
      <c r="D1479" s="34" t="s">
        <v>104</v>
      </c>
      <c r="E1479" s="34" t="s">
        <v>93</v>
      </c>
      <c r="F1479" s="35">
        <v>25</v>
      </c>
      <c r="G1479" s="37">
        <v>90.16</v>
      </c>
      <c r="H1479" s="32">
        <f t="shared" si="29"/>
        <v>2254</v>
      </c>
    </row>
    <row r="1480" spans="2:8">
      <c r="B1480" s="28">
        <v>10223</v>
      </c>
      <c r="C1480" s="34" t="s">
        <v>168</v>
      </c>
      <c r="D1480" s="34" t="s">
        <v>104</v>
      </c>
      <c r="E1480" s="34" t="s">
        <v>93</v>
      </c>
      <c r="F1480" s="35">
        <v>32</v>
      </c>
      <c r="G1480" s="37">
        <v>91.29</v>
      </c>
      <c r="H1480" s="32">
        <f t="shared" si="29"/>
        <v>2921.28</v>
      </c>
    </row>
    <row r="1481" spans="2:8">
      <c r="B1481" s="28">
        <v>10237</v>
      </c>
      <c r="C1481" s="34" t="s">
        <v>100</v>
      </c>
      <c r="D1481" s="34" t="s">
        <v>104</v>
      </c>
      <c r="E1481" s="34" t="s">
        <v>93</v>
      </c>
      <c r="F1481" s="35">
        <v>20</v>
      </c>
      <c r="G1481" s="37">
        <v>100</v>
      </c>
      <c r="H1481" s="32">
        <f t="shared" si="29"/>
        <v>2000</v>
      </c>
    </row>
    <row r="1482" spans="2:8">
      <c r="B1482" s="28">
        <v>10251</v>
      </c>
      <c r="C1482" s="34" t="s">
        <v>100</v>
      </c>
      <c r="D1482" s="34" t="s">
        <v>104</v>
      </c>
      <c r="E1482" s="34" t="s">
        <v>93</v>
      </c>
      <c r="F1482" s="35">
        <v>26</v>
      </c>
      <c r="G1482" s="37">
        <v>100</v>
      </c>
      <c r="H1482" s="32">
        <f t="shared" si="29"/>
        <v>2600</v>
      </c>
    </row>
    <row r="1483" spans="2:8">
      <c r="B1483" s="28">
        <v>10263</v>
      </c>
      <c r="C1483" s="34" t="s">
        <v>100</v>
      </c>
      <c r="D1483" s="34" t="s">
        <v>119</v>
      </c>
      <c r="E1483" s="34" t="s">
        <v>93</v>
      </c>
      <c r="F1483" s="35">
        <v>42</v>
      </c>
      <c r="G1483" s="37">
        <v>100</v>
      </c>
      <c r="H1483" s="32">
        <f t="shared" si="29"/>
        <v>4200</v>
      </c>
    </row>
    <row r="1484" spans="2:8">
      <c r="B1484" s="28">
        <v>10275</v>
      </c>
      <c r="C1484" s="34" t="s">
        <v>109</v>
      </c>
      <c r="D1484" s="34" t="s">
        <v>104</v>
      </c>
      <c r="E1484" s="34" t="s">
        <v>93</v>
      </c>
      <c r="F1484" s="35">
        <v>21</v>
      </c>
      <c r="G1484" s="37">
        <v>100</v>
      </c>
      <c r="H1484" s="32">
        <f t="shared" si="29"/>
        <v>2100</v>
      </c>
    </row>
    <row r="1485" spans="2:8">
      <c r="B1485" s="28">
        <v>10285</v>
      </c>
      <c r="C1485" s="34" t="s">
        <v>100</v>
      </c>
      <c r="D1485" s="34" t="s">
        <v>119</v>
      </c>
      <c r="E1485" s="34" t="s">
        <v>93</v>
      </c>
      <c r="F1485" s="35">
        <v>34</v>
      </c>
      <c r="G1485" s="37">
        <v>100</v>
      </c>
      <c r="H1485" s="32">
        <f t="shared" si="29"/>
        <v>3400</v>
      </c>
    </row>
    <row r="1486" spans="2:8">
      <c r="B1486" s="28">
        <v>10299</v>
      </c>
      <c r="C1486" s="34" t="s">
        <v>208</v>
      </c>
      <c r="D1486" s="34" t="s">
        <v>119</v>
      </c>
      <c r="E1486" s="34" t="s">
        <v>93</v>
      </c>
      <c r="F1486" s="35">
        <v>47</v>
      </c>
      <c r="G1486" s="37">
        <v>100</v>
      </c>
      <c r="H1486" s="32">
        <f t="shared" si="29"/>
        <v>4700</v>
      </c>
    </row>
    <row r="1487" spans="2:8">
      <c r="B1487" s="28">
        <v>10309</v>
      </c>
      <c r="C1487" s="34" t="s">
        <v>149</v>
      </c>
      <c r="D1487" s="34" t="s">
        <v>104</v>
      </c>
      <c r="E1487" s="34" t="s">
        <v>93</v>
      </c>
      <c r="F1487" s="35">
        <v>21</v>
      </c>
      <c r="G1487" s="37">
        <v>100</v>
      </c>
      <c r="H1487" s="32">
        <f t="shared" si="29"/>
        <v>2100</v>
      </c>
    </row>
    <row r="1488" spans="2:8">
      <c r="B1488" s="28">
        <v>10318</v>
      </c>
      <c r="C1488" s="34" t="s">
        <v>100</v>
      </c>
      <c r="D1488" s="34" t="s">
        <v>119</v>
      </c>
      <c r="E1488" s="34" t="s">
        <v>93</v>
      </c>
      <c r="F1488" s="35">
        <v>48</v>
      </c>
      <c r="G1488" s="37">
        <v>100</v>
      </c>
      <c r="H1488" s="32">
        <f t="shared" si="29"/>
        <v>4800</v>
      </c>
    </row>
    <row r="1489" spans="2:8">
      <c r="B1489" s="28">
        <v>10329</v>
      </c>
      <c r="C1489" s="34" t="s">
        <v>100</v>
      </c>
      <c r="D1489" s="34" t="s">
        <v>104</v>
      </c>
      <c r="E1489" s="34" t="s">
        <v>93</v>
      </c>
      <c r="F1489" s="35">
        <v>30</v>
      </c>
      <c r="G1489" s="37">
        <v>87.78</v>
      </c>
      <c r="H1489" s="32">
        <f t="shared" si="29"/>
        <v>2633.4</v>
      </c>
    </row>
    <row r="1490" spans="2:8">
      <c r="B1490" s="28">
        <v>10339</v>
      </c>
      <c r="C1490" s="34" t="s">
        <v>288</v>
      </c>
      <c r="D1490" s="34" t="s">
        <v>104</v>
      </c>
      <c r="E1490" s="34" t="s">
        <v>93</v>
      </c>
      <c r="F1490" s="35">
        <v>27</v>
      </c>
      <c r="G1490" s="37">
        <v>84.39</v>
      </c>
      <c r="H1490" s="32">
        <f t="shared" si="29"/>
        <v>2278.5300000000002</v>
      </c>
    </row>
    <row r="1491" spans="2:8">
      <c r="B1491" s="28">
        <v>10362</v>
      </c>
      <c r="C1491" s="34" t="s">
        <v>100</v>
      </c>
      <c r="D1491" s="34" t="s">
        <v>119</v>
      </c>
      <c r="E1491" s="34" t="s">
        <v>93</v>
      </c>
      <c r="F1491" s="35">
        <v>50</v>
      </c>
      <c r="G1491" s="37">
        <v>96.92</v>
      </c>
      <c r="H1491" s="32">
        <f t="shared" si="29"/>
        <v>4846</v>
      </c>
    </row>
    <row r="1492" spans="2:8">
      <c r="B1492" s="28">
        <v>10374</v>
      </c>
      <c r="C1492" s="34" t="s">
        <v>168</v>
      </c>
      <c r="D1492" s="34" t="s">
        <v>119</v>
      </c>
      <c r="E1492" s="34" t="s">
        <v>93</v>
      </c>
      <c r="F1492" s="35">
        <v>38</v>
      </c>
      <c r="G1492" s="37">
        <v>100</v>
      </c>
      <c r="H1492" s="32">
        <f t="shared" si="29"/>
        <v>3800</v>
      </c>
    </row>
    <row r="1493" spans="2:8">
      <c r="B1493" s="28">
        <v>10389</v>
      </c>
      <c r="C1493" s="34" t="s">
        <v>273</v>
      </c>
      <c r="D1493" s="34" t="s">
        <v>119</v>
      </c>
      <c r="E1493" s="34" t="s">
        <v>93</v>
      </c>
      <c r="F1493" s="35">
        <v>45</v>
      </c>
      <c r="G1493" s="37">
        <v>100</v>
      </c>
      <c r="H1493" s="32">
        <f t="shared" si="29"/>
        <v>4500</v>
      </c>
    </row>
    <row r="1494" spans="2:8">
      <c r="B1494" s="28">
        <v>10403</v>
      </c>
      <c r="C1494" s="34" t="s">
        <v>252</v>
      </c>
      <c r="D1494" s="34" t="s">
        <v>119</v>
      </c>
      <c r="E1494" s="34" t="s">
        <v>93</v>
      </c>
      <c r="F1494" s="35">
        <v>46</v>
      </c>
      <c r="G1494" s="37">
        <v>100</v>
      </c>
      <c r="H1494" s="32">
        <f t="shared" si="29"/>
        <v>4600</v>
      </c>
    </row>
    <row r="1495" spans="2:8">
      <c r="B1495" s="28">
        <v>10417</v>
      </c>
      <c r="C1495" s="34" t="s">
        <v>261</v>
      </c>
      <c r="D1495" s="34" t="s">
        <v>119</v>
      </c>
      <c r="E1495" s="34" t="s">
        <v>256</v>
      </c>
      <c r="F1495" s="35">
        <v>35</v>
      </c>
      <c r="G1495" s="37">
        <v>100</v>
      </c>
      <c r="H1495" s="32">
        <f t="shared" si="29"/>
        <v>3500</v>
      </c>
    </row>
    <row r="1496" spans="2:8">
      <c r="B1496" s="28">
        <v>10110</v>
      </c>
      <c r="C1496" s="34" t="s">
        <v>252</v>
      </c>
      <c r="D1496" s="34" t="s">
        <v>104</v>
      </c>
      <c r="E1496" s="34" t="s">
        <v>93</v>
      </c>
      <c r="F1496" s="35">
        <v>29</v>
      </c>
      <c r="G1496" s="37">
        <v>59.37</v>
      </c>
      <c r="H1496" s="32">
        <f t="shared" si="29"/>
        <v>1721.73</v>
      </c>
    </row>
    <row r="1497" spans="2:8">
      <c r="B1497" s="28">
        <v>10123</v>
      </c>
      <c r="C1497" s="34" t="s">
        <v>109</v>
      </c>
      <c r="D1497" s="34" t="s">
        <v>104</v>
      </c>
      <c r="E1497" s="34" t="s">
        <v>93</v>
      </c>
      <c r="F1497" s="35">
        <v>50</v>
      </c>
      <c r="G1497" s="37">
        <v>59.87</v>
      </c>
      <c r="H1497" s="32">
        <f t="shared" si="29"/>
        <v>2993.5</v>
      </c>
    </row>
    <row r="1498" spans="2:8">
      <c r="B1498" s="28">
        <v>10137</v>
      </c>
      <c r="C1498" s="34" t="s">
        <v>109</v>
      </c>
      <c r="D1498" s="34" t="s">
        <v>104</v>
      </c>
      <c r="E1498" s="34" t="s">
        <v>93</v>
      </c>
      <c r="F1498" s="35">
        <v>26</v>
      </c>
      <c r="G1498" s="37">
        <v>49.81</v>
      </c>
      <c r="H1498" s="32">
        <f t="shared" si="29"/>
        <v>1295.06</v>
      </c>
    </row>
    <row r="1499" spans="2:8">
      <c r="B1499" s="28">
        <v>10148</v>
      </c>
      <c r="C1499" s="34" t="s">
        <v>168</v>
      </c>
      <c r="D1499" s="34" t="s">
        <v>104</v>
      </c>
      <c r="E1499" s="34" t="s">
        <v>93</v>
      </c>
      <c r="F1499" s="35">
        <v>47</v>
      </c>
      <c r="G1499" s="37">
        <v>56.85</v>
      </c>
      <c r="H1499" s="32">
        <f t="shared" si="29"/>
        <v>2671.9500000000003</v>
      </c>
    </row>
    <row r="1500" spans="2:8">
      <c r="B1500" s="28">
        <v>10161</v>
      </c>
      <c r="C1500" s="34" t="s">
        <v>429</v>
      </c>
      <c r="D1500" s="34" t="s">
        <v>104</v>
      </c>
      <c r="E1500" s="34" t="s">
        <v>93</v>
      </c>
      <c r="F1500" s="35">
        <v>23</v>
      </c>
      <c r="G1500" s="37">
        <v>53.33</v>
      </c>
      <c r="H1500" s="32">
        <f t="shared" si="29"/>
        <v>1226.5899999999999</v>
      </c>
    </row>
    <row r="1501" spans="2:8">
      <c r="B1501" s="28">
        <v>10172</v>
      </c>
      <c r="C1501" s="34" t="s">
        <v>100</v>
      </c>
      <c r="D1501" s="34" t="s">
        <v>104</v>
      </c>
      <c r="E1501" s="34" t="s">
        <v>93</v>
      </c>
      <c r="F1501" s="35">
        <v>34</v>
      </c>
      <c r="G1501" s="37">
        <v>42.76</v>
      </c>
      <c r="H1501" s="32">
        <f t="shared" si="29"/>
        <v>1453.84</v>
      </c>
    </row>
    <row r="1502" spans="2:8">
      <c r="B1502" s="28">
        <v>10181</v>
      </c>
      <c r="C1502" s="34" t="s">
        <v>149</v>
      </c>
      <c r="D1502" s="34" t="s">
        <v>104</v>
      </c>
      <c r="E1502" s="34" t="s">
        <v>93</v>
      </c>
      <c r="F1502" s="35">
        <v>34</v>
      </c>
      <c r="G1502" s="37">
        <v>53.83</v>
      </c>
      <c r="H1502" s="32">
        <f t="shared" si="29"/>
        <v>1830.22</v>
      </c>
    </row>
    <row r="1503" spans="2:8">
      <c r="B1503" s="28">
        <v>10192</v>
      </c>
      <c r="C1503" s="34" t="s">
        <v>100</v>
      </c>
      <c r="D1503" s="34" t="s">
        <v>104</v>
      </c>
      <c r="E1503" s="34" t="s">
        <v>93</v>
      </c>
      <c r="F1503" s="35">
        <v>47</v>
      </c>
      <c r="G1503" s="37">
        <v>53.83</v>
      </c>
      <c r="H1503" s="32">
        <f t="shared" si="29"/>
        <v>2530.0099999999998</v>
      </c>
    </row>
    <row r="1504" spans="2:8">
      <c r="B1504" s="28">
        <v>10204</v>
      </c>
      <c r="C1504" s="34" t="s">
        <v>100</v>
      </c>
      <c r="D1504" s="34" t="s">
        <v>104</v>
      </c>
      <c r="E1504" s="34" t="s">
        <v>93</v>
      </c>
      <c r="F1504" s="35">
        <v>45</v>
      </c>
      <c r="G1504" s="37">
        <v>49.81</v>
      </c>
      <c r="H1504" s="32">
        <f t="shared" si="29"/>
        <v>2241.4500000000003</v>
      </c>
    </row>
    <row r="1505" spans="2:8">
      <c r="B1505" s="28">
        <v>10212</v>
      </c>
      <c r="C1505" s="34" t="s">
        <v>261</v>
      </c>
      <c r="D1505" s="34" t="s">
        <v>104</v>
      </c>
      <c r="E1505" s="34" t="s">
        <v>93</v>
      </c>
      <c r="F1505" s="35">
        <v>45</v>
      </c>
      <c r="G1505" s="37">
        <v>53.33</v>
      </c>
      <c r="H1505" s="32">
        <f t="shared" si="29"/>
        <v>2399.85</v>
      </c>
    </row>
    <row r="1506" spans="2:8">
      <c r="B1506" s="28">
        <v>10226</v>
      </c>
      <c r="C1506" s="34" t="s">
        <v>100</v>
      </c>
      <c r="D1506" s="34" t="s">
        <v>104</v>
      </c>
      <c r="E1506" s="34" t="s">
        <v>93</v>
      </c>
      <c r="F1506" s="35">
        <v>36</v>
      </c>
      <c r="G1506" s="37">
        <v>43.27</v>
      </c>
      <c r="H1506" s="32">
        <f t="shared" si="29"/>
        <v>1557.72</v>
      </c>
    </row>
    <row r="1507" spans="2:8">
      <c r="B1507" s="28">
        <v>10241</v>
      </c>
      <c r="C1507" s="34" t="s">
        <v>109</v>
      </c>
      <c r="D1507" s="34" t="s">
        <v>104</v>
      </c>
      <c r="E1507" s="34" t="s">
        <v>93</v>
      </c>
      <c r="F1507" s="35">
        <v>21</v>
      </c>
      <c r="G1507" s="37">
        <v>40.25</v>
      </c>
      <c r="H1507" s="32">
        <f t="shared" si="29"/>
        <v>845.25</v>
      </c>
    </row>
    <row r="1508" spans="2:8">
      <c r="B1508" s="28">
        <v>10266</v>
      </c>
      <c r="C1508" s="34" t="s">
        <v>352</v>
      </c>
      <c r="D1508" s="34" t="s">
        <v>104</v>
      </c>
      <c r="E1508" s="34" t="s">
        <v>93</v>
      </c>
      <c r="F1508" s="35">
        <v>28</v>
      </c>
      <c r="G1508" s="37">
        <v>48.3</v>
      </c>
      <c r="H1508" s="32">
        <f t="shared" si="29"/>
        <v>1352.3999999999999</v>
      </c>
    </row>
    <row r="1509" spans="2:8">
      <c r="B1509" s="28">
        <v>10278</v>
      </c>
      <c r="C1509" s="34" t="s">
        <v>100</v>
      </c>
      <c r="D1509" s="34" t="s">
        <v>104</v>
      </c>
      <c r="E1509" s="34" t="s">
        <v>93</v>
      </c>
      <c r="F1509" s="35">
        <v>35</v>
      </c>
      <c r="G1509" s="37">
        <v>45.28</v>
      </c>
      <c r="H1509" s="32">
        <f t="shared" si="29"/>
        <v>1584.8</v>
      </c>
    </row>
    <row r="1510" spans="2:8">
      <c r="B1510" s="28">
        <v>10288</v>
      </c>
      <c r="C1510" s="34" t="s">
        <v>287</v>
      </c>
      <c r="D1510" s="34" t="s">
        <v>104</v>
      </c>
      <c r="E1510" s="34" t="s">
        <v>93</v>
      </c>
      <c r="F1510" s="35">
        <v>50</v>
      </c>
      <c r="G1510" s="37">
        <v>52.32</v>
      </c>
      <c r="H1510" s="32">
        <f t="shared" si="29"/>
        <v>2616</v>
      </c>
    </row>
    <row r="1511" spans="2:8">
      <c r="B1511" s="28">
        <v>10301</v>
      </c>
      <c r="C1511" s="34" t="s">
        <v>149</v>
      </c>
      <c r="D1511" s="34" t="s">
        <v>104</v>
      </c>
      <c r="E1511" s="34" t="s">
        <v>93</v>
      </c>
      <c r="F1511" s="35">
        <v>22</v>
      </c>
      <c r="G1511" s="37">
        <v>51.32</v>
      </c>
      <c r="H1511" s="32">
        <f t="shared" si="29"/>
        <v>1129.04</v>
      </c>
    </row>
    <row r="1512" spans="2:8">
      <c r="B1512" s="28">
        <v>10311</v>
      </c>
      <c r="C1512" s="34" t="s">
        <v>261</v>
      </c>
      <c r="D1512" s="34" t="s">
        <v>104</v>
      </c>
      <c r="E1512" s="34" t="s">
        <v>93</v>
      </c>
      <c r="F1512" s="35">
        <v>45</v>
      </c>
      <c r="G1512" s="37">
        <v>49.3</v>
      </c>
      <c r="H1512" s="32">
        <f t="shared" si="29"/>
        <v>2218.5</v>
      </c>
    </row>
    <row r="1513" spans="2:8">
      <c r="B1513" s="28">
        <v>10321</v>
      </c>
      <c r="C1513" s="34" t="s">
        <v>100</v>
      </c>
      <c r="D1513" s="34" t="s">
        <v>104</v>
      </c>
      <c r="E1513" s="34" t="s">
        <v>93</v>
      </c>
      <c r="F1513" s="35">
        <v>48</v>
      </c>
      <c r="G1513" s="37">
        <v>42.26</v>
      </c>
      <c r="H1513" s="32">
        <f t="shared" si="29"/>
        <v>2028.48</v>
      </c>
    </row>
    <row r="1514" spans="2:8">
      <c r="B1514" s="28">
        <v>10332</v>
      </c>
      <c r="C1514" s="34" t="s">
        <v>252</v>
      </c>
      <c r="D1514" s="34" t="s">
        <v>104</v>
      </c>
      <c r="E1514" s="34" t="s">
        <v>93</v>
      </c>
      <c r="F1514" s="35">
        <v>20</v>
      </c>
      <c r="G1514" s="37">
        <v>87.96</v>
      </c>
      <c r="H1514" s="32">
        <f t="shared" si="29"/>
        <v>1759.1999999999998</v>
      </c>
    </row>
    <row r="1515" spans="2:8">
      <c r="B1515" s="28">
        <v>10343</v>
      </c>
      <c r="C1515" s="34" t="s">
        <v>109</v>
      </c>
      <c r="D1515" s="34" t="s">
        <v>104</v>
      </c>
      <c r="E1515" s="34" t="s">
        <v>93</v>
      </c>
      <c r="F1515" s="35">
        <v>27</v>
      </c>
      <c r="G1515" s="37">
        <v>36.21</v>
      </c>
      <c r="H1515" s="32">
        <f t="shared" si="29"/>
        <v>977.67000000000007</v>
      </c>
    </row>
    <row r="1516" spans="2:8">
      <c r="B1516" s="28">
        <v>10367</v>
      </c>
      <c r="C1516" s="34" t="s">
        <v>100</v>
      </c>
      <c r="D1516" s="34" t="s">
        <v>104</v>
      </c>
      <c r="E1516" s="34" t="s">
        <v>526</v>
      </c>
      <c r="F1516" s="35">
        <v>38</v>
      </c>
      <c r="G1516" s="37">
        <v>38.5</v>
      </c>
      <c r="H1516" s="32">
        <f t="shared" si="29"/>
        <v>1463</v>
      </c>
    </row>
    <row r="1517" spans="2:8">
      <c r="B1517" s="28">
        <v>10379</v>
      </c>
      <c r="C1517" s="34" t="s">
        <v>261</v>
      </c>
      <c r="D1517" s="34" t="s">
        <v>119</v>
      </c>
      <c r="E1517" s="34" t="s">
        <v>93</v>
      </c>
      <c r="F1517" s="35">
        <v>32</v>
      </c>
      <c r="G1517" s="37">
        <v>100</v>
      </c>
      <c r="H1517" s="32">
        <f t="shared" si="29"/>
        <v>3200</v>
      </c>
    </row>
    <row r="1518" spans="2:8">
      <c r="B1518" s="28">
        <v>10407</v>
      </c>
      <c r="C1518" s="34" t="s">
        <v>100</v>
      </c>
      <c r="D1518" s="34" t="s">
        <v>104</v>
      </c>
      <c r="E1518" s="34" t="s">
        <v>518</v>
      </c>
      <c r="F1518" s="35">
        <v>64</v>
      </c>
      <c r="G1518" s="37">
        <v>40.25</v>
      </c>
      <c r="H1518" s="32">
        <f t="shared" si="29"/>
        <v>2576</v>
      </c>
    </row>
    <row r="1519" spans="2:8">
      <c r="B1519" s="28">
        <v>10420</v>
      </c>
      <c r="C1519" s="34" t="s">
        <v>168</v>
      </c>
      <c r="D1519" s="34" t="s">
        <v>104</v>
      </c>
      <c r="E1519" s="34" t="s">
        <v>400</v>
      </c>
      <c r="F1519" s="35">
        <v>37</v>
      </c>
      <c r="G1519" s="37">
        <v>60.37</v>
      </c>
      <c r="H1519" s="32">
        <f t="shared" si="29"/>
        <v>2233.69</v>
      </c>
    </row>
    <row r="1520" spans="2:8">
      <c r="B1520" s="28">
        <v>10106</v>
      </c>
      <c r="C1520" s="34" t="s">
        <v>352</v>
      </c>
      <c r="D1520" s="34" t="s">
        <v>104</v>
      </c>
      <c r="E1520" s="34" t="s">
        <v>93</v>
      </c>
      <c r="F1520" s="35">
        <v>28</v>
      </c>
      <c r="G1520" s="37">
        <v>88.63</v>
      </c>
      <c r="H1520" s="32">
        <f t="shared" si="29"/>
        <v>2481.64</v>
      </c>
    </row>
    <row r="1521" spans="2:8">
      <c r="B1521" s="28">
        <v>10120</v>
      </c>
      <c r="C1521" s="34" t="s">
        <v>168</v>
      </c>
      <c r="D1521" s="34" t="s">
        <v>119</v>
      </c>
      <c r="E1521" s="34" t="s">
        <v>93</v>
      </c>
      <c r="F1521" s="35">
        <v>39</v>
      </c>
      <c r="G1521" s="37">
        <v>100</v>
      </c>
      <c r="H1521" s="32">
        <f t="shared" si="29"/>
        <v>3900</v>
      </c>
    </row>
    <row r="1522" spans="2:8">
      <c r="B1522" s="28">
        <v>10133</v>
      </c>
      <c r="C1522" s="34" t="s">
        <v>261</v>
      </c>
      <c r="D1522" s="34" t="s">
        <v>119</v>
      </c>
      <c r="E1522" s="34" t="s">
        <v>93</v>
      </c>
      <c r="F1522" s="35">
        <v>41</v>
      </c>
      <c r="G1522" s="37">
        <v>94.1</v>
      </c>
      <c r="H1522" s="32">
        <f t="shared" si="29"/>
        <v>3858.1</v>
      </c>
    </row>
    <row r="1523" spans="2:8">
      <c r="B1523" s="28">
        <v>10145</v>
      </c>
      <c r="C1523" s="34" t="s">
        <v>100</v>
      </c>
      <c r="D1523" s="34" t="s">
        <v>119</v>
      </c>
      <c r="E1523" s="34" t="s">
        <v>93</v>
      </c>
      <c r="F1523" s="35">
        <v>40</v>
      </c>
      <c r="G1523" s="37">
        <v>87.54</v>
      </c>
      <c r="H1523" s="32">
        <f t="shared" si="29"/>
        <v>3501.6000000000004</v>
      </c>
    </row>
    <row r="1524" spans="2:8">
      <c r="B1524" s="28">
        <v>10168</v>
      </c>
      <c r="C1524" s="34" t="s">
        <v>100</v>
      </c>
      <c r="D1524" s="34" t="s">
        <v>119</v>
      </c>
      <c r="E1524" s="34" t="s">
        <v>93</v>
      </c>
      <c r="F1524" s="35">
        <v>49</v>
      </c>
      <c r="G1524" s="37">
        <v>100</v>
      </c>
      <c r="H1524" s="32">
        <f t="shared" si="29"/>
        <v>4900</v>
      </c>
    </row>
    <row r="1525" spans="2:8">
      <c r="B1525" s="28">
        <v>10210</v>
      </c>
      <c r="C1525" s="34" t="s">
        <v>288</v>
      </c>
      <c r="D1525" s="34" t="s">
        <v>104</v>
      </c>
      <c r="E1525" s="34" t="s">
        <v>93</v>
      </c>
      <c r="F1525" s="35">
        <v>27</v>
      </c>
      <c r="G1525" s="37">
        <v>98.48</v>
      </c>
      <c r="H1525" s="32">
        <f t="shared" si="29"/>
        <v>2658.96</v>
      </c>
    </row>
    <row r="1526" spans="2:8">
      <c r="B1526" s="28">
        <v>10223</v>
      </c>
      <c r="C1526" s="34" t="s">
        <v>168</v>
      </c>
      <c r="D1526" s="34" t="s">
        <v>119</v>
      </c>
      <c r="E1526" s="34" t="s">
        <v>93</v>
      </c>
      <c r="F1526" s="35">
        <v>34</v>
      </c>
      <c r="G1526" s="37">
        <v>100</v>
      </c>
      <c r="H1526" s="32">
        <f t="shared" si="29"/>
        <v>3400</v>
      </c>
    </row>
    <row r="1527" spans="2:8">
      <c r="B1527" s="28">
        <v>10235</v>
      </c>
      <c r="C1527" s="34" t="s">
        <v>322</v>
      </c>
      <c r="D1527" s="34" t="s">
        <v>104</v>
      </c>
      <c r="E1527" s="34" t="s">
        <v>93</v>
      </c>
      <c r="F1527" s="35">
        <v>23</v>
      </c>
      <c r="G1527" s="37">
        <v>96.29</v>
      </c>
      <c r="H1527" s="32">
        <f t="shared" si="29"/>
        <v>2214.67</v>
      </c>
    </row>
    <row r="1528" spans="2:8">
      <c r="B1528" s="28">
        <v>10250</v>
      </c>
      <c r="C1528" s="34" t="s">
        <v>100</v>
      </c>
      <c r="D1528" s="34" t="s">
        <v>104</v>
      </c>
      <c r="E1528" s="34" t="s">
        <v>93</v>
      </c>
      <c r="F1528" s="35">
        <v>31</v>
      </c>
      <c r="G1528" s="37">
        <v>88.63</v>
      </c>
      <c r="H1528" s="32">
        <f t="shared" si="29"/>
        <v>2747.5299999999997</v>
      </c>
    </row>
    <row r="1529" spans="2:8">
      <c r="B1529" s="28">
        <v>10262</v>
      </c>
      <c r="C1529" s="34" t="s">
        <v>261</v>
      </c>
      <c r="D1529" s="34" t="s">
        <v>119</v>
      </c>
      <c r="E1529" s="34" t="s">
        <v>444</v>
      </c>
      <c r="F1529" s="35">
        <v>34</v>
      </c>
      <c r="G1529" s="37">
        <v>97.38</v>
      </c>
      <c r="H1529" s="32">
        <f t="shared" si="29"/>
        <v>3310.92</v>
      </c>
    </row>
    <row r="1530" spans="2:8">
      <c r="B1530" s="28">
        <v>10275</v>
      </c>
      <c r="C1530" s="34" t="s">
        <v>109</v>
      </c>
      <c r="D1530" s="34" t="s">
        <v>104</v>
      </c>
      <c r="E1530" s="34" t="s">
        <v>93</v>
      </c>
      <c r="F1530" s="35">
        <v>25</v>
      </c>
      <c r="G1530" s="37">
        <v>95.2</v>
      </c>
      <c r="H1530" s="32">
        <f t="shared" si="29"/>
        <v>2380</v>
      </c>
    </row>
    <row r="1531" spans="2:8">
      <c r="B1531" s="28">
        <v>10284</v>
      </c>
      <c r="C1531" s="34" t="s">
        <v>149</v>
      </c>
      <c r="D1531" s="34" t="s">
        <v>104</v>
      </c>
      <c r="E1531" s="34" t="s">
        <v>93</v>
      </c>
      <c r="F1531" s="35">
        <v>22</v>
      </c>
      <c r="G1531" s="37">
        <v>100</v>
      </c>
      <c r="H1531" s="32">
        <f t="shared" si="29"/>
        <v>2200</v>
      </c>
    </row>
    <row r="1532" spans="2:8">
      <c r="B1532" s="28">
        <v>10297</v>
      </c>
      <c r="C1532" s="34" t="s">
        <v>614</v>
      </c>
      <c r="D1532" s="34" t="s">
        <v>119</v>
      </c>
      <c r="E1532" s="34" t="s">
        <v>93</v>
      </c>
      <c r="F1532" s="35">
        <v>32</v>
      </c>
      <c r="G1532" s="37">
        <v>100</v>
      </c>
      <c r="H1532" s="32">
        <f t="shared" si="29"/>
        <v>3200</v>
      </c>
    </row>
    <row r="1533" spans="2:8">
      <c r="B1533" s="28">
        <v>10308</v>
      </c>
      <c r="C1533" s="34" t="s">
        <v>100</v>
      </c>
      <c r="D1533" s="34" t="s">
        <v>119</v>
      </c>
      <c r="E1533" s="34" t="s">
        <v>93</v>
      </c>
      <c r="F1533" s="35">
        <v>31</v>
      </c>
      <c r="G1533" s="37">
        <v>100</v>
      </c>
      <c r="H1533" s="32">
        <f t="shared" si="29"/>
        <v>3100</v>
      </c>
    </row>
    <row r="1534" spans="2:8">
      <c r="B1534" s="28">
        <v>10316</v>
      </c>
      <c r="C1534" s="34" t="s">
        <v>252</v>
      </c>
      <c r="D1534" s="34" t="s">
        <v>104</v>
      </c>
      <c r="E1534" s="34" t="s">
        <v>93</v>
      </c>
      <c r="F1534" s="35">
        <v>25</v>
      </c>
      <c r="G1534" s="37">
        <v>100</v>
      </c>
      <c r="H1534" s="32">
        <f t="shared" si="29"/>
        <v>2500</v>
      </c>
    </row>
    <row r="1535" spans="2:8">
      <c r="B1535" s="28">
        <v>10328</v>
      </c>
      <c r="C1535" s="34" t="s">
        <v>352</v>
      </c>
      <c r="D1535" s="34" t="s">
        <v>119</v>
      </c>
      <c r="E1535" s="34" t="s">
        <v>93</v>
      </c>
      <c r="F1535" s="35">
        <v>47</v>
      </c>
      <c r="G1535" s="37">
        <v>87.54</v>
      </c>
      <c r="H1535" s="32">
        <f t="shared" si="29"/>
        <v>4114.38</v>
      </c>
    </row>
    <row r="1536" spans="2:8">
      <c r="B1536" s="28">
        <v>10339</v>
      </c>
      <c r="C1536" s="34" t="s">
        <v>288</v>
      </c>
      <c r="D1536" s="34" t="s">
        <v>104</v>
      </c>
      <c r="E1536" s="34" t="s">
        <v>93</v>
      </c>
      <c r="F1536" s="35">
        <v>21</v>
      </c>
      <c r="G1536" s="37">
        <v>50.65</v>
      </c>
      <c r="H1536" s="32">
        <f t="shared" si="29"/>
        <v>1063.6499999999999</v>
      </c>
    </row>
    <row r="1537" spans="2:8">
      <c r="B1537" s="28">
        <v>10353</v>
      </c>
      <c r="C1537" s="34" t="s">
        <v>100</v>
      </c>
      <c r="D1537" s="34" t="s">
        <v>104</v>
      </c>
      <c r="E1537" s="34" t="s">
        <v>93</v>
      </c>
      <c r="F1537" s="35">
        <v>28</v>
      </c>
      <c r="G1537" s="37">
        <v>71.73</v>
      </c>
      <c r="H1537" s="32">
        <f t="shared" si="29"/>
        <v>2008.44</v>
      </c>
    </row>
    <row r="1538" spans="2:8">
      <c r="B1538" s="28">
        <v>10374</v>
      </c>
      <c r="C1538" s="34" t="s">
        <v>168</v>
      </c>
      <c r="D1538" s="34" t="s">
        <v>119</v>
      </c>
      <c r="E1538" s="34" t="s">
        <v>93</v>
      </c>
      <c r="F1538" s="35">
        <v>46</v>
      </c>
      <c r="G1538" s="37">
        <v>94.1</v>
      </c>
      <c r="H1538" s="32">
        <f t="shared" si="29"/>
        <v>4328.5999999999995</v>
      </c>
    </row>
    <row r="1539" spans="2:8">
      <c r="B1539" s="28">
        <v>10386</v>
      </c>
      <c r="C1539" s="34" t="s">
        <v>261</v>
      </c>
      <c r="D1539" s="34" t="s">
        <v>104</v>
      </c>
      <c r="E1539" s="34" t="s">
        <v>526</v>
      </c>
      <c r="F1539" s="35">
        <v>33</v>
      </c>
      <c r="G1539" s="37">
        <v>41.71</v>
      </c>
      <c r="H1539" s="32">
        <f t="shared" si="29"/>
        <v>1376.43</v>
      </c>
    </row>
    <row r="1540" spans="2:8">
      <c r="B1540" s="28">
        <v>10398</v>
      </c>
      <c r="C1540" s="34" t="s">
        <v>109</v>
      </c>
      <c r="D1540" s="34" t="s">
        <v>119</v>
      </c>
      <c r="E1540" s="34" t="s">
        <v>93</v>
      </c>
      <c r="F1540" s="35">
        <v>43</v>
      </c>
      <c r="G1540" s="37">
        <v>100</v>
      </c>
      <c r="H1540" s="32">
        <f t="shared" si="29"/>
        <v>4300</v>
      </c>
    </row>
    <row r="1541" spans="2:8">
      <c r="B1541" s="28">
        <v>10401</v>
      </c>
      <c r="C1541" s="34" t="s">
        <v>100</v>
      </c>
      <c r="D1541" s="34" t="s">
        <v>119</v>
      </c>
      <c r="E1541" s="34" t="s">
        <v>518</v>
      </c>
      <c r="F1541" s="35">
        <v>38</v>
      </c>
      <c r="G1541" s="37">
        <v>96.29</v>
      </c>
      <c r="H1541" s="32">
        <f t="shared" ref="H1541:H1604" si="30">F1541*G1541</f>
        <v>3659.0200000000004</v>
      </c>
    </row>
    <row r="1542" spans="2:8">
      <c r="B1542" s="28">
        <v>10416</v>
      </c>
      <c r="C1542" s="34" t="s">
        <v>352</v>
      </c>
      <c r="D1542" s="34" t="s">
        <v>119</v>
      </c>
      <c r="E1542" s="34" t="s">
        <v>93</v>
      </c>
      <c r="F1542" s="35">
        <v>47</v>
      </c>
      <c r="G1542" s="37">
        <v>88.63</v>
      </c>
      <c r="H1542" s="32">
        <f t="shared" si="30"/>
        <v>4165.6099999999997</v>
      </c>
    </row>
    <row r="1543" spans="2:8">
      <c r="B1543" s="28">
        <v>10101</v>
      </c>
      <c r="C1543" s="34" t="s">
        <v>566</v>
      </c>
      <c r="D1543" s="34" t="s">
        <v>104</v>
      </c>
      <c r="E1543" s="34" t="s">
        <v>93</v>
      </c>
      <c r="F1543" s="35">
        <v>45</v>
      </c>
      <c r="G1543" s="37">
        <v>31.2</v>
      </c>
      <c r="H1543" s="32">
        <f t="shared" si="30"/>
        <v>1404</v>
      </c>
    </row>
    <row r="1544" spans="2:8">
      <c r="B1544" s="28">
        <v>10110</v>
      </c>
      <c r="C1544" s="34" t="s">
        <v>252</v>
      </c>
      <c r="D1544" s="34" t="s">
        <v>104</v>
      </c>
      <c r="E1544" s="34" t="s">
        <v>93</v>
      </c>
      <c r="F1544" s="35">
        <v>20</v>
      </c>
      <c r="G1544" s="37">
        <v>35.51</v>
      </c>
      <c r="H1544" s="32">
        <f t="shared" si="30"/>
        <v>710.19999999999993</v>
      </c>
    </row>
    <row r="1545" spans="2:8">
      <c r="B1545" s="28">
        <v>10124</v>
      </c>
      <c r="C1545" s="34" t="s">
        <v>100</v>
      </c>
      <c r="D1545" s="34" t="s">
        <v>104</v>
      </c>
      <c r="E1545" s="34" t="s">
        <v>93</v>
      </c>
      <c r="F1545" s="35">
        <v>45</v>
      </c>
      <c r="G1545" s="37">
        <v>37.840000000000003</v>
      </c>
      <c r="H1545" s="32">
        <f t="shared" si="30"/>
        <v>1702.8000000000002</v>
      </c>
    </row>
    <row r="1546" spans="2:8">
      <c r="B1546" s="28">
        <v>10149</v>
      </c>
      <c r="C1546" s="34" t="s">
        <v>100</v>
      </c>
      <c r="D1546" s="34" t="s">
        <v>104</v>
      </c>
      <c r="E1546" s="34" t="s">
        <v>93</v>
      </c>
      <c r="F1546" s="35">
        <v>36</v>
      </c>
      <c r="G1546" s="37">
        <v>33.19</v>
      </c>
      <c r="H1546" s="32">
        <f t="shared" si="30"/>
        <v>1194.8399999999999</v>
      </c>
    </row>
    <row r="1547" spans="2:8">
      <c r="B1547" s="28">
        <v>10162</v>
      </c>
      <c r="C1547" s="34" t="s">
        <v>100</v>
      </c>
      <c r="D1547" s="34" t="s">
        <v>104</v>
      </c>
      <c r="E1547" s="34" t="s">
        <v>93</v>
      </c>
      <c r="F1547" s="35">
        <v>37</v>
      </c>
      <c r="G1547" s="37">
        <v>27.22</v>
      </c>
      <c r="H1547" s="32">
        <f t="shared" si="30"/>
        <v>1007.14</v>
      </c>
    </row>
    <row r="1548" spans="2:8">
      <c r="B1548" s="28">
        <v>10173</v>
      </c>
      <c r="C1548" s="34" t="s">
        <v>352</v>
      </c>
      <c r="D1548" s="34" t="s">
        <v>104</v>
      </c>
      <c r="E1548" s="34" t="s">
        <v>93</v>
      </c>
      <c r="F1548" s="35">
        <v>31</v>
      </c>
      <c r="G1548" s="37">
        <v>31.53</v>
      </c>
      <c r="H1548" s="32">
        <f t="shared" si="30"/>
        <v>977.43000000000006</v>
      </c>
    </row>
    <row r="1549" spans="2:8">
      <c r="B1549" s="28">
        <v>10182</v>
      </c>
      <c r="C1549" s="34" t="s">
        <v>100</v>
      </c>
      <c r="D1549" s="34" t="s">
        <v>104</v>
      </c>
      <c r="E1549" s="34" t="s">
        <v>93</v>
      </c>
      <c r="F1549" s="35">
        <v>39</v>
      </c>
      <c r="G1549" s="37">
        <v>36.840000000000003</v>
      </c>
      <c r="H1549" s="32">
        <f t="shared" si="30"/>
        <v>1436.7600000000002</v>
      </c>
    </row>
    <row r="1550" spans="2:8">
      <c r="B1550" s="28">
        <v>10193</v>
      </c>
      <c r="C1550" s="34" t="s">
        <v>168</v>
      </c>
      <c r="D1550" s="34" t="s">
        <v>104</v>
      </c>
      <c r="E1550" s="34" t="s">
        <v>93</v>
      </c>
      <c r="F1550" s="35">
        <v>26</v>
      </c>
      <c r="G1550" s="37">
        <v>29.21</v>
      </c>
      <c r="H1550" s="32">
        <f t="shared" si="30"/>
        <v>759.46</v>
      </c>
    </row>
    <row r="1551" spans="2:8">
      <c r="B1551" s="28">
        <v>10205</v>
      </c>
      <c r="C1551" s="34" t="s">
        <v>261</v>
      </c>
      <c r="D1551" s="34" t="s">
        <v>104</v>
      </c>
      <c r="E1551" s="34" t="s">
        <v>93</v>
      </c>
      <c r="F1551" s="35">
        <v>32</v>
      </c>
      <c r="G1551" s="37">
        <v>37.17</v>
      </c>
      <c r="H1551" s="32">
        <f t="shared" si="30"/>
        <v>1189.44</v>
      </c>
    </row>
    <row r="1552" spans="2:8">
      <c r="B1552" s="28">
        <v>10214</v>
      </c>
      <c r="C1552" s="34" t="s">
        <v>261</v>
      </c>
      <c r="D1552" s="34" t="s">
        <v>104</v>
      </c>
      <c r="E1552" s="34" t="s">
        <v>93</v>
      </c>
      <c r="F1552" s="35">
        <v>20</v>
      </c>
      <c r="G1552" s="37">
        <v>34.19</v>
      </c>
      <c r="H1552" s="32">
        <f t="shared" si="30"/>
        <v>683.8</v>
      </c>
    </row>
    <row r="1553" spans="2:8">
      <c r="B1553" s="28">
        <v>10227</v>
      </c>
      <c r="C1553" s="34" t="s">
        <v>109</v>
      </c>
      <c r="D1553" s="34" t="s">
        <v>104</v>
      </c>
      <c r="E1553" s="34" t="s">
        <v>93</v>
      </c>
      <c r="F1553" s="35">
        <v>42</v>
      </c>
      <c r="G1553" s="37">
        <v>29.21</v>
      </c>
      <c r="H1553" s="32">
        <f t="shared" si="30"/>
        <v>1226.82</v>
      </c>
    </row>
    <row r="1554" spans="2:8">
      <c r="B1554" s="28">
        <v>10243</v>
      </c>
      <c r="C1554" s="34" t="s">
        <v>100</v>
      </c>
      <c r="D1554" s="34" t="s">
        <v>104</v>
      </c>
      <c r="E1554" s="34" t="s">
        <v>93</v>
      </c>
      <c r="F1554" s="35">
        <v>33</v>
      </c>
      <c r="G1554" s="37">
        <v>29.54</v>
      </c>
      <c r="H1554" s="32">
        <f t="shared" si="30"/>
        <v>974.81999999999994</v>
      </c>
    </row>
    <row r="1555" spans="2:8">
      <c r="B1555" s="28">
        <v>10280</v>
      </c>
      <c r="C1555" s="34" t="s">
        <v>352</v>
      </c>
      <c r="D1555" s="34" t="s">
        <v>104</v>
      </c>
      <c r="E1555" s="34" t="s">
        <v>93</v>
      </c>
      <c r="F1555" s="35">
        <v>20</v>
      </c>
      <c r="G1555" s="37">
        <v>28.88</v>
      </c>
      <c r="H1555" s="32">
        <f t="shared" si="30"/>
        <v>577.6</v>
      </c>
    </row>
    <row r="1556" spans="2:8">
      <c r="B1556" s="28">
        <v>10288</v>
      </c>
      <c r="C1556" s="34" t="s">
        <v>287</v>
      </c>
      <c r="D1556" s="34" t="s">
        <v>104</v>
      </c>
      <c r="E1556" s="34" t="s">
        <v>93</v>
      </c>
      <c r="F1556" s="35">
        <v>29</v>
      </c>
      <c r="G1556" s="37">
        <v>38.17</v>
      </c>
      <c r="H1556" s="32">
        <f t="shared" si="30"/>
        <v>1106.93</v>
      </c>
    </row>
    <row r="1557" spans="2:8">
      <c r="B1557" s="28">
        <v>10304</v>
      </c>
      <c r="C1557" s="34" t="s">
        <v>109</v>
      </c>
      <c r="D1557" s="34" t="s">
        <v>104</v>
      </c>
      <c r="E1557" s="34" t="s">
        <v>93</v>
      </c>
      <c r="F1557" s="35">
        <v>23</v>
      </c>
      <c r="G1557" s="37">
        <v>30.2</v>
      </c>
      <c r="H1557" s="32">
        <f t="shared" si="30"/>
        <v>694.6</v>
      </c>
    </row>
    <row r="1558" spans="2:8">
      <c r="B1558" s="28">
        <v>10312</v>
      </c>
      <c r="C1558" s="34" t="s">
        <v>100</v>
      </c>
      <c r="D1558" s="34" t="s">
        <v>104</v>
      </c>
      <c r="E1558" s="34" t="s">
        <v>93</v>
      </c>
      <c r="F1558" s="35">
        <v>39</v>
      </c>
      <c r="G1558" s="37">
        <v>29.54</v>
      </c>
      <c r="H1558" s="32">
        <f t="shared" si="30"/>
        <v>1152.06</v>
      </c>
    </row>
    <row r="1559" spans="2:8">
      <c r="B1559" s="28">
        <v>10322</v>
      </c>
      <c r="C1559" s="34" t="s">
        <v>100</v>
      </c>
      <c r="D1559" s="34" t="s">
        <v>104</v>
      </c>
      <c r="E1559" s="34" t="s">
        <v>93</v>
      </c>
      <c r="F1559" s="35">
        <v>20</v>
      </c>
      <c r="G1559" s="37">
        <v>100</v>
      </c>
      <c r="H1559" s="32">
        <f t="shared" si="30"/>
        <v>2000</v>
      </c>
    </row>
    <row r="1560" spans="2:8">
      <c r="B1560" s="28">
        <v>10332</v>
      </c>
      <c r="C1560" s="34" t="s">
        <v>252</v>
      </c>
      <c r="D1560" s="34" t="s">
        <v>119</v>
      </c>
      <c r="E1560" s="34" t="s">
        <v>93</v>
      </c>
      <c r="F1560" s="35">
        <v>45</v>
      </c>
      <c r="G1560" s="37">
        <v>81.91</v>
      </c>
      <c r="H1560" s="32">
        <f t="shared" si="30"/>
        <v>3685.95</v>
      </c>
    </row>
    <row r="1561" spans="2:8">
      <c r="B1561" s="28">
        <v>10344</v>
      </c>
      <c r="C1561" s="34" t="s">
        <v>109</v>
      </c>
      <c r="D1561" s="34" t="s">
        <v>104</v>
      </c>
      <c r="E1561" s="34" t="s">
        <v>93</v>
      </c>
      <c r="F1561" s="35">
        <v>20</v>
      </c>
      <c r="G1561" s="37">
        <v>35.18</v>
      </c>
      <c r="H1561" s="32">
        <f t="shared" si="30"/>
        <v>703.6</v>
      </c>
    </row>
    <row r="1562" spans="2:8">
      <c r="B1562" s="28">
        <v>10356</v>
      </c>
      <c r="C1562" s="34" t="s">
        <v>109</v>
      </c>
      <c r="D1562" s="34" t="s">
        <v>232</v>
      </c>
      <c r="E1562" s="34" t="s">
        <v>93</v>
      </c>
      <c r="F1562" s="35">
        <v>48</v>
      </c>
      <c r="G1562" s="37">
        <v>100</v>
      </c>
      <c r="H1562" s="32">
        <f t="shared" si="30"/>
        <v>4800</v>
      </c>
    </row>
    <row r="1563" spans="2:8">
      <c r="B1563" s="28">
        <v>10367</v>
      </c>
      <c r="C1563" s="34" t="s">
        <v>100</v>
      </c>
      <c r="D1563" s="34" t="s">
        <v>104</v>
      </c>
      <c r="E1563" s="34" t="s">
        <v>526</v>
      </c>
      <c r="F1563" s="35">
        <v>23</v>
      </c>
      <c r="G1563" s="37">
        <v>36.29</v>
      </c>
      <c r="H1563" s="32">
        <f t="shared" si="30"/>
        <v>834.67</v>
      </c>
    </row>
    <row r="1564" spans="2:8">
      <c r="B1564" s="28">
        <v>10380</v>
      </c>
      <c r="C1564" s="34" t="s">
        <v>261</v>
      </c>
      <c r="D1564" s="34" t="s">
        <v>104</v>
      </c>
      <c r="E1564" s="34" t="s">
        <v>93</v>
      </c>
      <c r="F1564" s="35">
        <v>32</v>
      </c>
      <c r="G1564" s="37">
        <v>70.56</v>
      </c>
      <c r="H1564" s="32">
        <f t="shared" si="30"/>
        <v>2257.92</v>
      </c>
    </row>
    <row r="1565" spans="2:8">
      <c r="B1565" s="28">
        <v>10391</v>
      </c>
      <c r="C1565" s="34" t="s">
        <v>168</v>
      </c>
      <c r="D1565" s="34" t="s">
        <v>232</v>
      </c>
      <c r="E1565" s="34" t="s">
        <v>93</v>
      </c>
      <c r="F1565" s="35">
        <v>33</v>
      </c>
      <c r="G1565" s="37">
        <v>100</v>
      </c>
      <c r="H1565" s="32">
        <f t="shared" si="30"/>
        <v>3300</v>
      </c>
    </row>
    <row r="1566" spans="2:8">
      <c r="B1566" s="28">
        <v>10409</v>
      </c>
      <c r="C1566" s="34" t="s">
        <v>287</v>
      </c>
      <c r="D1566" s="34" t="s">
        <v>104</v>
      </c>
      <c r="E1566" s="34" t="s">
        <v>93</v>
      </c>
      <c r="F1566" s="35">
        <v>61</v>
      </c>
      <c r="G1566" s="37">
        <v>29.54</v>
      </c>
      <c r="H1566" s="32">
        <f t="shared" si="30"/>
        <v>1801.94</v>
      </c>
    </row>
    <row r="1567" spans="2:8">
      <c r="B1567" s="28">
        <v>10420</v>
      </c>
      <c r="C1567" s="34" t="s">
        <v>168</v>
      </c>
      <c r="D1567" s="34" t="s">
        <v>104</v>
      </c>
      <c r="E1567" s="34" t="s">
        <v>400</v>
      </c>
      <c r="F1567" s="35">
        <v>45</v>
      </c>
      <c r="G1567" s="37">
        <v>26.88</v>
      </c>
      <c r="H1567" s="32">
        <f t="shared" si="30"/>
        <v>1209.5999999999999</v>
      </c>
    </row>
    <row r="1568" spans="2:8">
      <c r="B1568" s="28">
        <v>10107</v>
      </c>
      <c r="C1568" s="34" t="s">
        <v>100</v>
      </c>
      <c r="D1568" s="34" t="s">
        <v>119</v>
      </c>
      <c r="E1568" s="34" t="s">
        <v>93</v>
      </c>
      <c r="F1568" s="35">
        <v>38</v>
      </c>
      <c r="G1568" s="37">
        <v>83.03</v>
      </c>
      <c r="H1568" s="32">
        <f t="shared" si="30"/>
        <v>3155.14</v>
      </c>
    </row>
    <row r="1569" spans="2:8">
      <c r="B1569" s="28">
        <v>10120</v>
      </c>
      <c r="C1569" s="34" t="s">
        <v>168</v>
      </c>
      <c r="D1569" s="34" t="s">
        <v>104</v>
      </c>
      <c r="E1569" s="34" t="s">
        <v>93</v>
      </c>
      <c r="F1569" s="35">
        <v>34</v>
      </c>
      <c r="G1569" s="37">
        <v>83.79</v>
      </c>
      <c r="H1569" s="32">
        <f t="shared" si="30"/>
        <v>2848.86</v>
      </c>
    </row>
    <row r="1570" spans="2:8">
      <c r="B1570" s="28">
        <v>10134</v>
      </c>
      <c r="C1570" s="34" t="s">
        <v>109</v>
      </c>
      <c r="D1570" s="34" t="s">
        <v>119</v>
      </c>
      <c r="E1570" s="34" t="s">
        <v>93</v>
      </c>
      <c r="F1570" s="35">
        <v>43</v>
      </c>
      <c r="G1570" s="37">
        <v>83.03</v>
      </c>
      <c r="H1570" s="32">
        <f t="shared" si="30"/>
        <v>3570.29</v>
      </c>
    </row>
    <row r="1571" spans="2:8">
      <c r="B1571" s="28">
        <v>10145</v>
      </c>
      <c r="C1571" s="34" t="s">
        <v>100</v>
      </c>
      <c r="D1571" s="34" t="s">
        <v>119</v>
      </c>
      <c r="E1571" s="34" t="s">
        <v>93</v>
      </c>
      <c r="F1571" s="35">
        <v>47</v>
      </c>
      <c r="G1571" s="37">
        <v>83.03</v>
      </c>
      <c r="H1571" s="32">
        <f t="shared" si="30"/>
        <v>3902.41</v>
      </c>
    </row>
    <row r="1572" spans="2:8">
      <c r="B1572" s="28">
        <v>10158</v>
      </c>
      <c r="C1572" s="34" t="s">
        <v>149</v>
      </c>
      <c r="D1572" s="34" t="s">
        <v>104</v>
      </c>
      <c r="E1572" s="34" t="s">
        <v>93</v>
      </c>
      <c r="F1572" s="35">
        <v>22</v>
      </c>
      <c r="G1572" s="37">
        <v>67.03</v>
      </c>
      <c r="H1572" s="32">
        <f t="shared" si="30"/>
        <v>1474.66</v>
      </c>
    </row>
    <row r="1573" spans="2:8">
      <c r="B1573" s="28">
        <v>10168</v>
      </c>
      <c r="C1573" s="34" t="s">
        <v>100</v>
      </c>
      <c r="D1573" s="34" t="s">
        <v>104</v>
      </c>
      <c r="E1573" s="34" t="s">
        <v>93</v>
      </c>
      <c r="F1573" s="35">
        <v>29</v>
      </c>
      <c r="G1573" s="37">
        <v>75.41</v>
      </c>
      <c r="H1573" s="32">
        <f t="shared" si="30"/>
        <v>2186.89</v>
      </c>
    </row>
    <row r="1574" spans="2:8">
      <c r="B1574" s="28">
        <v>10180</v>
      </c>
      <c r="C1574" s="34" t="s">
        <v>109</v>
      </c>
      <c r="D1574" s="34" t="s">
        <v>104</v>
      </c>
      <c r="E1574" s="34" t="s">
        <v>93</v>
      </c>
      <c r="F1574" s="35">
        <v>28</v>
      </c>
      <c r="G1574" s="37">
        <v>68.55</v>
      </c>
      <c r="H1574" s="32">
        <f t="shared" si="30"/>
        <v>1919.3999999999999</v>
      </c>
    </row>
    <row r="1575" spans="2:8">
      <c r="B1575" s="28">
        <v>10188</v>
      </c>
      <c r="C1575" s="34" t="s">
        <v>149</v>
      </c>
      <c r="D1575" s="34" t="s">
        <v>119</v>
      </c>
      <c r="E1575" s="34" t="s">
        <v>93</v>
      </c>
      <c r="F1575" s="35">
        <v>40</v>
      </c>
      <c r="G1575" s="37">
        <v>91.4</v>
      </c>
      <c r="H1575" s="32">
        <f t="shared" si="30"/>
        <v>3656</v>
      </c>
    </row>
    <row r="1576" spans="2:8">
      <c r="B1576" s="28">
        <v>10201</v>
      </c>
      <c r="C1576" s="34" t="s">
        <v>100</v>
      </c>
      <c r="D1576" s="34" t="s">
        <v>104</v>
      </c>
      <c r="E1576" s="34" t="s">
        <v>93</v>
      </c>
      <c r="F1576" s="35">
        <v>25</v>
      </c>
      <c r="G1576" s="37">
        <v>73.88</v>
      </c>
      <c r="H1576" s="32">
        <f t="shared" si="30"/>
        <v>1847</v>
      </c>
    </row>
    <row r="1577" spans="2:8">
      <c r="B1577" s="28">
        <v>10210</v>
      </c>
      <c r="C1577" s="34" t="s">
        <v>288</v>
      </c>
      <c r="D1577" s="34" t="s">
        <v>104</v>
      </c>
      <c r="E1577" s="34" t="s">
        <v>93</v>
      </c>
      <c r="F1577" s="35">
        <v>30</v>
      </c>
      <c r="G1577" s="37">
        <v>61.7</v>
      </c>
      <c r="H1577" s="32">
        <f t="shared" si="30"/>
        <v>1851</v>
      </c>
    </row>
    <row r="1578" spans="2:8">
      <c r="B1578" s="28">
        <v>10223</v>
      </c>
      <c r="C1578" s="34" t="s">
        <v>168</v>
      </c>
      <c r="D1578" s="34" t="s">
        <v>104</v>
      </c>
      <c r="E1578" s="34" t="s">
        <v>93</v>
      </c>
      <c r="F1578" s="35">
        <v>38</v>
      </c>
      <c r="G1578" s="37">
        <v>69.31</v>
      </c>
      <c r="H1578" s="32">
        <f t="shared" si="30"/>
        <v>2633.78</v>
      </c>
    </row>
    <row r="1579" spans="2:8">
      <c r="B1579" s="28">
        <v>10236</v>
      </c>
      <c r="C1579" s="34" t="s">
        <v>100</v>
      </c>
      <c r="D1579" s="34" t="s">
        <v>119</v>
      </c>
      <c r="E1579" s="34" t="s">
        <v>93</v>
      </c>
      <c r="F1579" s="35">
        <v>36</v>
      </c>
      <c r="G1579" s="37">
        <v>87.6</v>
      </c>
      <c r="H1579" s="32">
        <f t="shared" si="30"/>
        <v>3153.6</v>
      </c>
    </row>
    <row r="1580" spans="2:8">
      <c r="B1580" s="28">
        <v>10250</v>
      </c>
      <c r="C1580" s="34" t="s">
        <v>100</v>
      </c>
      <c r="D1580" s="34" t="s">
        <v>104</v>
      </c>
      <c r="E1580" s="34" t="s">
        <v>93</v>
      </c>
      <c r="F1580" s="35">
        <v>32</v>
      </c>
      <c r="G1580" s="37">
        <v>87.6</v>
      </c>
      <c r="H1580" s="32">
        <f t="shared" si="30"/>
        <v>2803.2</v>
      </c>
    </row>
    <row r="1581" spans="2:8">
      <c r="B1581" s="28">
        <v>10263</v>
      </c>
      <c r="C1581" s="34" t="s">
        <v>100</v>
      </c>
      <c r="D1581" s="34" t="s">
        <v>104</v>
      </c>
      <c r="E1581" s="34" t="s">
        <v>93</v>
      </c>
      <c r="F1581" s="35">
        <v>37</v>
      </c>
      <c r="G1581" s="37">
        <v>62.46</v>
      </c>
      <c r="H1581" s="32">
        <f t="shared" si="30"/>
        <v>2311.02</v>
      </c>
    </row>
    <row r="1582" spans="2:8">
      <c r="B1582" s="28">
        <v>10275</v>
      </c>
      <c r="C1582" s="34" t="s">
        <v>109</v>
      </c>
      <c r="D1582" s="34" t="s">
        <v>104</v>
      </c>
      <c r="E1582" s="34" t="s">
        <v>93</v>
      </c>
      <c r="F1582" s="35">
        <v>30</v>
      </c>
      <c r="G1582" s="37">
        <v>79.98</v>
      </c>
      <c r="H1582" s="32">
        <f t="shared" si="30"/>
        <v>2399.4</v>
      </c>
    </row>
    <row r="1583" spans="2:8">
      <c r="B1583" s="28">
        <v>10285</v>
      </c>
      <c r="C1583" s="34" t="s">
        <v>100</v>
      </c>
      <c r="D1583" s="34" t="s">
        <v>104</v>
      </c>
      <c r="E1583" s="34" t="s">
        <v>93</v>
      </c>
      <c r="F1583" s="35">
        <v>39</v>
      </c>
      <c r="G1583" s="37">
        <v>70.08</v>
      </c>
      <c r="H1583" s="32">
        <f t="shared" si="30"/>
        <v>2733.12</v>
      </c>
    </row>
    <row r="1584" spans="2:8">
      <c r="B1584" s="28">
        <v>10297</v>
      </c>
      <c r="C1584" s="34" t="s">
        <v>614</v>
      </c>
      <c r="D1584" s="34" t="s">
        <v>104</v>
      </c>
      <c r="E1584" s="34" t="s">
        <v>93</v>
      </c>
      <c r="F1584" s="35">
        <v>32</v>
      </c>
      <c r="G1584" s="37">
        <v>65.510000000000005</v>
      </c>
      <c r="H1584" s="32">
        <f t="shared" si="30"/>
        <v>2096.3200000000002</v>
      </c>
    </row>
    <row r="1585" spans="2:8">
      <c r="B1585" s="28">
        <v>10308</v>
      </c>
      <c r="C1585" s="34" t="s">
        <v>100</v>
      </c>
      <c r="D1585" s="34" t="s">
        <v>104</v>
      </c>
      <c r="E1585" s="34" t="s">
        <v>93</v>
      </c>
      <c r="F1585" s="35">
        <v>47</v>
      </c>
      <c r="G1585" s="37">
        <v>63.22</v>
      </c>
      <c r="H1585" s="32">
        <f t="shared" si="30"/>
        <v>2971.34</v>
      </c>
    </row>
    <row r="1586" spans="2:8">
      <c r="B1586" s="28">
        <v>10318</v>
      </c>
      <c r="C1586" s="34" t="s">
        <v>100</v>
      </c>
      <c r="D1586" s="34" t="s">
        <v>104</v>
      </c>
      <c r="E1586" s="34" t="s">
        <v>93</v>
      </c>
      <c r="F1586" s="35">
        <v>26</v>
      </c>
      <c r="G1586" s="37">
        <v>86.83</v>
      </c>
      <c r="H1586" s="32">
        <f t="shared" si="30"/>
        <v>2257.58</v>
      </c>
    </row>
    <row r="1587" spans="2:8">
      <c r="B1587" s="28">
        <v>10329</v>
      </c>
      <c r="C1587" s="34" t="s">
        <v>100</v>
      </c>
      <c r="D1587" s="34" t="s">
        <v>119</v>
      </c>
      <c r="E1587" s="34" t="s">
        <v>93</v>
      </c>
      <c r="F1587" s="35">
        <v>37</v>
      </c>
      <c r="G1587" s="37">
        <v>94.43</v>
      </c>
      <c r="H1587" s="32">
        <f t="shared" si="30"/>
        <v>3493.9100000000003</v>
      </c>
    </row>
    <row r="1588" spans="2:8">
      <c r="B1588" s="28">
        <v>10340</v>
      </c>
      <c r="C1588" s="34" t="s">
        <v>261</v>
      </c>
      <c r="D1588" s="34" t="s">
        <v>119</v>
      </c>
      <c r="E1588" s="34" t="s">
        <v>93</v>
      </c>
      <c r="F1588" s="35">
        <v>55</v>
      </c>
      <c r="G1588" s="37">
        <v>79.98</v>
      </c>
      <c r="H1588" s="32">
        <f t="shared" si="30"/>
        <v>4398.9000000000005</v>
      </c>
    </row>
    <row r="1589" spans="2:8">
      <c r="B1589" s="28">
        <v>10363</v>
      </c>
      <c r="C1589" s="34" t="s">
        <v>208</v>
      </c>
      <c r="D1589" s="34" t="s">
        <v>119</v>
      </c>
      <c r="E1589" s="34" t="s">
        <v>93</v>
      </c>
      <c r="F1589" s="35">
        <v>21</v>
      </c>
      <c r="G1589" s="37">
        <v>100</v>
      </c>
      <c r="H1589" s="32">
        <f t="shared" si="30"/>
        <v>2100</v>
      </c>
    </row>
    <row r="1590" spans="2:8">
      <c r="B1590" s="28">
        <v>10375</v>
      </c>
      <c r="C1590" s="34" t="s">
        <v>109</v>
      </c>
      <c r="D1590" s="34" t="s">
        <v>104</v>
      </c>
      <c r="E1590" s="34" t="s">
        <v>93</v>
      </c>
      <c r="F1590" s="35">
        <v>23</v>
      </c>
      <c r="G1590" s="37">
        <v>100</v>
      </c>
      <c r="H1590" s="32">
        <f t="shared" si="30"/>
        <v>2300</v>
      </c>
    </row>
    <row r="1591" spans="2:8">
      <c r="B1591" s="28">
        <v>10389</v>
      </c>
      <c r="C1591" s="34" t="s">
        <v>273</v>
      </c>
      <c r="D1591" s="34" t="s">
        <v>119</v>
      </c>
      <c r="E1591" s="34" t="s">
        <v>93</v>
      </c>
      <c r="F1591" s="35">
        <v>49</v>
      </c>
      <c r="G1591" s="37">
        <v>81.400000000000006</v>
      </c>
      <c r="H1591" s="32">
        <f t="shared" si="30"/>
        <v>3988.6000000000004</v>
      </c>
    </row>
    <row r="1592" spans="2:8">
      <c r="B1592" s="28">
        <v>10402</v>
      </c>
      <c r="C1592" s="34" t="s">
        <v>109</v>
      </c>
      <c r="D1592" s="34" t="s">
        <v>119</v>
      </c>
      <c r="E1592" s="34" t="s">
        <v>93</v>
      </c>
      <c r="F1592" s="35">
        <v>59</v>
      </c>
      <c r="G1592" s="37">
        <v>87.6</v>
      </c>
      <c r="H1592" s="32">
        <f t="shared" si="30"/>
        <v>5168.3999999999996</v>
      </c>
    </row>
    <row r="1593" spans="2:8">
      <c r="B1593" s="28">
        <v>10416</v>
      </c>
      <c r="C1593" s="34" t="s">
        <v>352</v>
      </c>
      <c r="D1593" s="34" t="s">
        <v>104</v>
      </c>
      <c r="E1593" s="34" t="s">
        <v>93</v>
      </c>
      <c r="F1593" s="35">
        <v>32</v>
      </c>
      <c r="G1593" s="37">
        <v>87.6</v>
      </c>
      <c r="H1593" s="32">
        <f t="shared" si="30"/>
        <v>2803.2</v>
      </c>
    </row>
    <row r="1594" spans="2:8">
      <c r="B1594" s="28">
        <v>10105</v>
      </c>
      <c r="C1594" s="34" t="s">
        <v>429</v>
      </c>
      <c r="D1594" s="34" t="s">
        <v>119</v>
      </c>
      <c r="E1594" s="34" t="s">
        <v>93</v>
      </c>
      <c r="F1594" s="35">
        <v>43</v>
      </c>
      <c r="G1594" s="37">
        <v>100</v>
      </c>
      <c r="H1594" s="32">
        <f t="shared" si="30"/>
        <v>4300</v>
      </c>
    </row>
    <row r="1595" spans="2:8">
      <c r="B1595" s="28">
        <v>10117</v>
      </c>
      <c r="C1595" s="34" t="s">
        <v>287</v>
      </c>
      <c r="D1595" s="34" t="s">
        <v>119</v>
      </c>
      <c r="E1595" s="34" t="s">
        <v>93</v>
      </c>
      <c r="F1595" s="35">
        <v>41</v>
      </c>
      <c r="G1595" s="37">
        <v>100</v>
      </c>
      <c r="H1595" s="32">
        <f t="shared" si="30"/>
        <v>4100</v>
      </c>
    </row>
    <row r="1596" spans="2:8">
      <c r="B1596" s="28">
        <v>10129</v>
      </c>
      <c r="C1596" s="34" t="s">
        <v>252</v>
      </c>
      <c r="D1596" s="34" t="s">
        <v>119</v>
      </c>
      <c r="E1596" s="34" t="s">
        <v>93</v>
      </c>
      <c r="F1596" s="35">
        <v>45</v>
      </c>
      <c r="G1596" s="37">
        <v>100</v>
      </c>
      <c r="H1596" s="32">
        <f t="shared" si="30"/>
        <v>4500</v>
      </c>
    </row>
    <row r="1597" spans="2:8">
      <c r="B1597" s="28">
        <v>10142</v>
      </c>
      <c r="C1597" s="34" t="s">
        <v>100</v>
      </c>
      <c r="D1597" s="34" t="s">
        <v>119</v>
      </c>
      <c r="E1597" s="34" t="s">
        <v>93</v>
      </c>
      <c r="F1597" s="35">
        <v>33</v>
      </c>
      <c r="G1597" s="37">
        <v>100</v>
      </c>
      <c r="H1597" s="32">
        <f t="shared" si="30"/>
        <v>3300</v>
      </c>
    </row>
    <row r="1598" spans="2:8">
      <c r="B1598" s="28">
        <v>10153</v>
      </c>
      <c r="C1598" s="34" t="s">
        <v>261</v>
      </c>
      <c r="D1598" s="34" t="s">
        <v>119</v>
      </c>
      <c r="E1598" s="34" t="s">
        <v>93</v>
      </c>
      <c r="F1598" s="35">
        <v>40</v>
      </c>
      <c r="G1598" s="37">
        <v>100</v>
      </c>
      <c r="H1598" s="32">
        <f t="shared" si="30"/>
        <v>4000</v>
      </c>
    </row>
    <row r="1599" spans="2:8">
      <c r="B1599" s="28">
        <v>10167</v>
      </c>
      <c r="C1599" s="34" t="s">
        <v>273</v>
      </c>
      <c r="D1599" s="34" t="s">
        <v>119</v>
      </c>
      <c r="E1599" s="34" t="s">
        <v>444</v>
      </c>
      <c r="F1599" s="35">
        <v>33</v>
      </c>
      <c r="G1599" s="37">
        <v>100</v>
      </c>
      <c r="H1599" s="32">
        <f t="shared" si="30"/>
        <v>3300</v>
      </c>
    </row>
    <row r="1600" spans="2:8">
      <c r="B1600" s="28">
        <v>10177</v>
      </c>
      <c r="C1600" s="34" t="s">
        <v>261</v>
      </c>
      <c r="D1600" s="34" t="s">
        <v>119</v>
      </c>
      <c r="E1600" s="34" t="s">
        <v>93</v>
      </c>
      <c r="F1600" s="35">
        <v>50</v>
      </c>
      <c r="G1600" s="37">
        <v>100</v>
      </c>
      <c r="H1600" s="32">
        <f t="shared" si="30"/>
        <v>5000</v>
      </c>
    </row>
    <row r="1601" spans="2:8">
      <c r="B1601" s="28">
        <v>10185</v>
      </c>
      <c r="C1601" s="34" t="s">
        <v>100</v>
      </c>
      <c r="D1601" s="34" t="s">
        <v>119</v>
      </c>
      <c r="E1601" s="34" t="s">
        <v>93</v>
      </c>
      <c r="F1601" s="35">
        <v>30</v>
      </c>
      <c r="G1601" s="37">
        <v>100</v>
      </c>
      <c r="H1601" s="32">
        <f t="shared" si="30"/>
        <v>3000</v>
      </c>
    </row>
    <row r="1602" spans="2:8">
      <c r="B1602" s="28">
        <v>10197</v>
      </c>
      <c r="C1602" s="34" t="s">
        <v>261</v>
      </c>
      <c r="D1602" s="34" t="s">
        <v>119</v>
      </c>
      <c r="E1602" s="34" t="s">
        <v>93</v>
      </c>
      <c r="F1602" s="35">
        <v>41</v>
      </c>
      <c r="G1602" s="37">
        <v>100</v>
      </c>
      <c r="H1602" s="32">
        <f t="shared" si="30"/>
        <v>4100</v>
      </c>
    </row>
    <row r="1603" spans="2:8">
      <c r="B1603" s="28">
        <v>10208</v>
      </c>
      <c r="C1603" s="34" t="s">
        <v>109</v>
      </c>
      <c r="D1603" s="34" t="s">
        <v>119</v>
      </c>
      <c r="E1603" s="34" t="s">
        <v>93</v>
      </c>
      <c r="F1603" s="35">
        <v>35</v>
      </c>
      <c r="G1603" s="37">
        <v>100</v>
      </c>
      <c r="H1603" s="32">
        <f t="shared" si="30"/>
        <v>3500</v>
      </c>
    </row>
    <row r="1604" spans="2:8">
      <c r="B1604" s="28">
        <v>10221</v>
      </c>
      <c r="C1604" s="34" t="s">
        <v>480</v>
      </c>
      <c r="D1604" s="34" t="s">
        <v>119</v>
      </c>
      <c r="E1604" s="34" t="s">
        <v>93</v>
      </c>
      <c r="F1604" s="35">
        <v>49</v>
      </c>
      <c r="G1604" s="37">
        <v>100</v>
      </c>
      <c r="H1604" s="32">
        <f t="shared" si="30"/>
        <v>4900</v>
      </c>
    </row>
    <row r="1605" spans="2:8">
      <c r="B1605" s="28">
        <v>10232</v>
      </c>
      <c r="C1605" s="34" t="s">
        <v>252</v>
      </c>
      <c r="D1605" s="34" t="s">
        <v>119</v>
      </c>
      <c r="E1605" s="34" t="s">
        <v>93</v>
      </c>
      <c r="F1605" s="35">
        <v>46</v>
      </c>
      <c r="G1605" s="37">
        <v>100</v>
      </c>
      <c r="H1605" s="32">
        <f t="shared" ref="H1605:H1668" si="31">F1605*G1605</f>
        <v>4600</v>
      </c>
    </row>
    <row r="1606" spans="2:8">
      <c r="B1606" s="28">
        <v>10248</v>
      </c>
      <c r="C1606" s="34" t="s">
        <v>100</v>
      </c>
      <c r="D1606" s="34" t="s">
        <v>119</v>
      </c>
      <c r="E1606" s="34" t="s">
        <v>444</v>
      </c>
      <c r="F1606" s="35">
        <v>48</v>
      </c>
      <c r="G1606" s="37">
        <v>100</v>
      </c>
      <c r="H1606" s="32">
        <f t="shared" si="31"/>
        <v>4800</v>
      </c>
    </row>
    <row r="1607" spans="2:8">
      <c r="B1607" s="28">
        <v>10261</v>
      </c>
      <c r="C1607" s="34" t="s">
        <v>322</v>
      </c>
      <c r="D1607" s="34" t="s">
        <v>119</v>
      </c>
      <c r="E1607" s="34" t="s">
        <v>93</v>
      </c>
      <c r="F1607" s="35">
        <v>36</v>
      </c>
      <c r="G1607" s="37">
        <v>100</v>
      </c>
      <c r="H1607" s="32">
        <f t="shared" si="31"/>
        <v>3600</v>
      </c>
    </row>
    <row r="1608" spans="2:8">
      <c r="B1608" s="28">
        <v>10273</v>
      </c>
      <c r="C1608" s="34" t="s">
        <v>480</v>
      </c>
      <c r="D1608" s="34" t="s">
        <v>104</v>
      </c>
      <c r="E1608" s="34" t="s">
        <v>93</v>
      </c>
      <c r="F1608" s="35">
        <v>22</v>
      </c>
      <c r="G1608" s="37">
        <v>100</v>
      </c>
      <c r="H1608" s="32">
        <f t="shared" si="31"/>
        <v>2200</v>
      </c>
    </row>
    <row r="1609" spans="2:8">
      <c r="B1609" s="28">
        <v>10283</v>
      </c>
      <c r="C1609" s="34" t="s">
        <v>322</v>
      </c>
      <c r="D1609" s="34" t="s">
        <v>119</v>
      </c>
      <c r="E1609" s="34" t="s">
        <v>93</v>
      </c>
      <c r="F1609" s="35">
        <v>42</v>
      </c>
      <c r="G1609" s="37">
        <v>100</v>
      </c>
      <c r="H1609" s="32">
        <f t="shared" si="31"/>
        <v>4200</v>
      </c>
    </row>
    <row r="1610" spans="2:8">
      <c r="B1610" s="28">
        <v>10293</v>
      </c>
      <c r="C1610" s="34" t="s">
        <v>352</v>
      </c>
      <c r="D1610" s="34" t="s">
        <v>104</v>
      </c>
      <c r="E1610" s="34" t="s">
        <v>93</v>
      </c>
      <c r="F1610" s="35">
        <v>21</v>
      </c>
      <c r="G1610" s="37">
        <v>100</v>
      </c>
      <c r="H1610" s="32">
        <f t="shared" si="31"/>
        <v>2100</v>
      </c>
    </row>
    <row r="1611" spans="2:8">
      <c r="B1611" s="28">
        <v>10306</v>
      </c>
      <c r="C1611" s="34" t="s">
        <v>252</v>
      </c>
      <c r="D1611" s="34" t="s">
        <v>119</v>
      </c>
      <c r="E1611" s="34" t="s">
        <v>93</v>
      </c>
      <c r="F1611" s="35">
        <v>29</v>
      </c>
      <c r="G1611" s="37">
        <v>100</v>
      </c>
      <c r="H1611" s="32">
        <f t="shared" si="31"/>
        <v>2900</v>
      </c>
    </row>
    <row r="1612" spans="2:8">
      <c r="B1612" s="28">
        <v>10315</v>
      </c>
      <c r="C1612" s="34" t="s">
        <v>109</v>
      </c>
      <c r="D1612" s="34" t="s">
        <v>119</v>
      </c>
      <c r="E1612" s="34" t="s">
        <v>93</v>
      </c>
      <c r="F1612" s="35">
        <v>35</v>
      </c>
      <c r="G1612" s="37">
        <v>100</v>
      </c>
      <c r="H1612" s="32">
        <f t="shared" si="31"/>
        <v>3500</v>
      </c>
    </row>
    <row r="1613" spans="2:8">
      <c r="B1613" s="28">
        <v>10326</v>
      </c>
      <c r="C1613" s="34" t="s">
        <v>273</v>
      </c>
      <c r="D1613" s="34" t="s">
        <v>119</v>
      </c>
      <c r="E1613" s="34" t="s">
        <v>93</v>
      </c>
      <c r="F1613" s="35">
        <v>41</v>
      </c>
      <c r="G1613" s="37">
        <v>100</v>
      </c>
      <c r="H1613" s="32">
        <f t="shared" si="31"/>
        <v>4100</v>
      </c>
    </row>
    <row r="1614" spans="2:8">
      <c r="B1614" s="28">
        <v>10337</v>
      </c>
      <c r="C1614" s="34" t="s">
        <v>100</v>
      </c>
      <c r="D1614" s="34" t="s">
        <v>104</v>
      </c>
      <c r="E1614" s="34" t="s">
        <v>93</v>
      </c>
      <c r="F1614" s="35">
        <v>29</v>
      </c>
      <c r="G1614" s="37">
        <v>71.97</v>
      </c>
      <c r="H1614" s="32">
        <f t="shared" si="31"/>
        <v>2087.13</v>
      </c>
    </row>
    <row r="1615" spans="2:8">
      <c r="B1615" s="28">
        <v>10350</v>
      </c>
      <c r="C1615" s="34" t="s">
        <v>261</v>
      </c>
      <c r="D1615" s="34" t="s">
        <v>104</v>
      </c>
      <c r="E1615" s="34" t="s">
        <v>93</v>
      </c>
      <c r="F1615" s="35">
        <v>34</v>
      </c>
      <c r="G1615" s="37">
        <v>50.33</v>
      </c>
      <c r="H1615" s="32">
        <f t="shared" si="31"/>
        <v>1711.22</v>
      </c>
    </row>
    <row r="1616" spans="2:8">
      <c r="B1616" s="28">
        <v>10372</v>
      </c>
      <c r="C1616" s="34" t="s">
        <v>288</v>
      </c>
      <c r="D1616" s="34" t="s">
        <v>119</v>
      </c>
      <c r="E1616" s="34" t="s">
        <v>93</v>
      </c>
      <c r="F1616" s="35">
        <v>37</v>
      </c>
      <c r="G1616" s="37">
        <v>100</v>
      </c>
      <c r="H1616" s="32">
        <f t="shared" si="31"/>
        <v>3700</v>
      </c>
    </row>
    <row r="1617" spans="2:8">
      <c r="B1617" s="28">
        <v>10384</v>
      </c>
      <c r="C1617" s="34" t="s">
        <v>100</v>
      </c>
      <c r="D1617" s="34" t="s">
        <v>104</v>
      </c>
      <c r="E1617" s="34" t="s">
        <v>93</v>
      </c>
      <c r="F1617" s="35">
        <v>28</v>
      </c>
      <c r="G1617" s="37">
        <v>80.540000000000006</v>
      </c>
      <c r="H1617" s="32">
        <f t="shared" si="31"/>
        <v>2255.1200000000003</v>
      </c>
    </row>
    <row r="1618" spans="2:8">
      <c r="B1618" s="28">
        <v>10396</v>
      </c>
      <c r="C1618" s="34" t="s">
        <v>100</v>
      </c>
      <c r="D1618" s="34" t="s">
        <v>119</v>
      </c>
      <c r="E1618" s="34" t="s">
        <v>93</v>
      </c>
      <c r="F1618" s="35">
        <v>49</v>
      </c>
      <c r="G1618" s="37">
        <v>100</v>
      </c>
      <c r="H1618" s="32">
        <f t="shared" si="31"/>
        <v>4900</v>
      </c>
    </row>
    <row r="1619" spans="2:8">
      <c r="B1619" s="28">
        <v>10414</v>
      </c>
      <c r="C1619" s="34" t="s">
        <v>100</v>
      </c>
      <c r="D1619" s="34" t="s">
        <v>119</v>
      </c>
      <c r="E1619" s="34" t="s">
        <v>518</v>
      </c>
      <c r="F1619" s="35">
        <v>23</v>
      </c>
      <c r="G1619" s="37">
        <v>100</v>
      </c>
      <c r="H1619" s="32">
        <f t="shared" si="31"/>
        <v>2300</v>
      </c>
    </row>
    <row r="1620" spans="2:8">
      <c r="B1620" s="28">
        <v>10101</v>
      </c>
      <c r="C1620" s="34" t="s">
        <v>566</v>
      </c>
      <c r="D1620" s="34" t="s">
        <v>104</v>
      </c>
      <c r="E1620" s="34" t="s">
        <v>93</v>
      </c>
      <c r="F1620" s="35">
        <v>46</v>
      </c>
      <c r="G1620" s="37">
        <v>53.76</v>
      </c>
      <c r="H1620" s="32">
        <f t="shared" si="31"/>
        <v>2472.96</v>
      </c>
    </row>
    <row r="1621" spans="2:8">
      <c r="B1621" s="28">
        <v>10110</v>
      </c>
      <c r="C1621" s="34" t="s">
        <v>252</v>
      </c>
      <c r="D1621" s="34" t="s">
        <v>104</v>
      </c>
      <c r="E1621" s="34" t="s">
        <v>93</v>
      </c>
      <c r="F1621" s="35">
        <v>39</v>
      </c>
      <c r="G1621" s="37">
        <v>44.35</v>
      </c>
      <c r="H1621" s="32">
        <f t="shared" si="31"/>
        <v>1729.65</v>
      </c>
    </row>
    <row r="1622" spans="2:8">
      <c r="B1622" s="28">
        <v>10124</v>
      </c>
      <c r="C1622" s="34" t="s">
        <v>100</v>
      </c>
      <c r="D1622" s="34" t="s">
        <v>104</v>
      </c>
      <c r="E1622" s="34" t="s">
        <v>93</v>
      </c>
      <c r="F1622" s="35">
        <v>22</v>
      </c>
      <c r="G1622" s="37">
        <v>45.25</v>
      </c>
      <c r="H1622" s="32">
        <f t="shared" si="31"/>
        <v>995.5</v>
      </c>
    </row>
    <row r="1623" spans="2:8">
      <c r="B1623" s="28">
        <v>10149</v>
      </c>
      <c r="C1623" s="34" t="s">
        <v>100</v>
      </c>
      <c r="D1623" s="34" t="s">
        <v>104</v>
      </c>
      <c r="E1623" s="34" t="s">
        <v>93</v>
      </c>
      <c r="F1623" s="35">
        <v>49</v>
      </c>
      <c r="G1623" s="37">
        <v>49.28</v>
      </c>
      <c r="H1623" s="32">
        <f t="shared" si="31"/>
        <v>2414.7200000000003</v>
      </c>
    </row>
    <row r="1624" spans="2:8">
      <c r="B1624" s="28">
        <v>10162</v>
      </c>
      <c r="C1624" s="34" t="s">
        <v>100</v>
      </c>
      <c r="D1624" s="34" t="s">
        <v>104</v>
      </c>
      <c r="E1624" s="34" t="s">
        <v>93</v>
      </c>
      <c r="F1624" s="35">
        <v>43</v>
      </c>
      <c r="G1624" s="37">
        <v>36.29</v>
      </c>
      <c r="H1624" s="32">
        <f t="shared" si="31"/>
        <v>1560.47</v>
      </c>
    </row>
    <row r="1625" spans="2:8">
      <c r="B1625" s="28">
        <v>10173</v>
      </c>
      <c r="C1625" s="34" t="s">
        <v>352</v>
      </c>
      <c r="D1625" s="34" t="s">
        <v>104</v>
      </c>
      <c r="E1625" s="34" t="s">
        <v>93</v>
      </c>
      <c r="F1625" s="35">
        <v>27</v>
      </c>
      <c r="G1625" s="37">
        <v>41.22</v>
      </c>
      <c r="H1625" s="32">
        <f t="shared" si="31"/>
        <v>1112.94</v>
      </c>
    </row>
    <row r="1626" spans="2:8">
      <c r="B1626" s="28">
        <v>10182</v>
      </c>
      <c r="C1626" s="34" t="s">
        <v>100</v>
      </c>
      <c r="D1626" s="34" t="s">
        <v>104</v>
      </c>
      <c r="E1626" s="34" t="s">
        <v>93</v>
      </c>
      <c r="F1626" s="35">
        <v>31</v>
      </c>
      <c r="G1626" s="37">
        <v>36.74</v>
      </c>
      <c r="H1626" s="32">
        <f t="shared" si="31"/>
        <v>1138.94</v>
      </c>
    </row>
    <row r="1627" spans="2:8">
      <c r="B1627" s="28">
        <v>10193</v>
      </c>
      <c r="C1627" s="34" t="s">
        <v>168</v>
      </c>
      <c r="D1627" s="34" t="s">
        <v>104</v>
      </c>
      <c r="E1627" s="34" t="s">
        <v>93</v>
      </c>
      <c r="F1627" s="35">
        <v>20</v>
      </c>
      <c r="G1627" s="37">
        <v>50.62</v>
      </c>
      <c r="H1627" s="32">
        <f t="shared" si="31"/>
        <v>1012.4</v>
      </c>
    </row>
    <row r="1628" spans="2:8">
      <c r="B1628" s="28">
        <v>10205</v>
      </c>
      <c r="C1628" s="34" t="s">
        <v>261</v>
      </c>
      <c r="D1628" s="34" t="s">
        <v>104</v>
      </c>
      <c r="E1628" s="34" t="s">
        <v>93</v>
      </c>
      <c r="F1628" s="35">
        <v>24</v>
      </c>
      <c r="G1628" s="37">
        <v>38.08</v>
      </c>
      <c r="H1628" s="32">
        <f t="shared" si="31"/>
        <v>913.92</v>
      </c>
    </row>
    <row r="1629" spans="2:8">
      <c r="B1629" s="28">
        <v>10214</v>
      </c>
      <c r="C1629" s="34" t="s">
        <v>261</v>
      </c>
      <c r="D1629" s="34" t="s">
        <v>104</v>
      </c>
      <c r="E1629" s="34" t="s">
        <v>93</v>
      </c>
      <c r="F1629" s="35">
        <v>49</v>
      </c>
      <c r="G1629" s="37">
        <v>47.94</v>
      </c>
      <c r="H1629" s="32">
        <f t="shared" si="31"/>
        <v>2349.06</v>
      </c>
    </row>
    <row r="1630" spans="2:8">
      <c r="B1630" s="28">
        <v>10227</v>
      </c>
      <c r="C1630" s="34" t="s">
        <v>109</v>
      </c>
      <c r="D1630" s="34" t="s">
        <v>104</v>
      </c>
      <c r="E1630" s="34" t="s">
        <v>93</v>
      </c>
      <c r="F1630" s="35">
        <v>24</v>
      </c>
      <c r="G1630" s="37">
        <v>48.38</v>
      </c>
      <c r="H1630" s="32">
        <f t="shared" si="31"/>
        <v>1161.1200000000001</v>
      </c>
    </row>
    <row r="1631" spans="2:8">
      <c r="B1631" s="28">
        <v>10244</v>
      </c>
      <c r="C1631" s="34" t="s">
        <v>261</v>
      </c>
      <c r="D1631" s="34" t="s">
        <v>104</v>
      </c>
      <c r="E1631" s="34" t="s">
        <v>93</v>
      </c>
      <c r="F1631" s="35">
        <v>39</v>
      </c>
      <c r="G1631" s="37">
        <v>45.25</v>
      </c>
      <c r="H1631" s="32">
        <f t="shared" si="31"/>
        <v>1764.75</v>
      </c>
    </row>
    <row r="1632" spans="2:8">
      <c r="B1632" s="28">
        <v>10255</v>
      </c>
      <c r="C1632" s="34" t="s">
        <v>109</v>
      </c>
      <c r="D1632" s="34" t="s">
        <v>104</v>
      </c>
      <c r="E1632" s="34" t="s">
        <v>93</v>
      </c>
      <c r="F1632" s="35">
        <v>37</v>
      </c>
      <c r="G1632" s="37">
        <v>45.7</v>
      </c>
      <c r="H1632" s="32">
        <f t="shared" si="31"/>
        <v>1690.9</v>
      </c>
    </row>
    <row r="1633" spans="2:8">
      <c r="B1633" s="28">
        <v>10280</v>
      </c>
      <c r="C1633" s="34" t="s">
        <v>352</v>
      </c>
      <c r="D1633" s="34" t="s">
        <v>104</v>
      </c>
      <c r="E1633" s="34" t="s">
        <v>93</v>
      </c>
      <c r="F1633" s="35">
        <v>45</v>
      </c>
      <c r="G1633" s="37">
        <v>47.49</v>
      </c>
      <c r="H1633" s="32">
        <f t="shared" si="31"/>
        <v>2137.0500000000002</v>
      </c>
    </row>
    <row r="1634" spans="2:8">
      <c r="B1634" s="28">
        <v>10289</v>
      </c>
      <c r="C1634" s="34" t="s">
        <v>149</v>
      </c>
      <c r="D1634" s="34" t="s">
        <v>104</v>
      </c>
      <c r="E1634" s="34" t="s">
        <v>93</v>
      </c>
      <c r="F1634" s="35">
        <v>45</v>
      </c>
      <c r="G1634" s="37">
        <v>48.38</v>
      </c>
      <c r="H1634" s="32">
        <f t="shared" si="31"/>
        <v>2177.1</v>
      </c>
    </row>
    <row r="1635" spans="2:8">
      <c r="B1635" s="28">
        <v>10304</v>
      </c>
      <c r="C1635" s="34" t="s">
        <v>109</v>
      </c>
      <c r="D1635" s="34" t="s">
        <v>104</v>
      </c>
      <c r="E1635" s="34" t="s">
        <v>93</v>
      </c>
      <c r="F1635" s="35">
        <v>44</v>
      </c>
      <c r="G1635" s="37">
        <v>39.42</v>
      </c>
      <c r="H1635" s="32">
        <f t="shared" si="31"/>
        <v>1734.48</v>
      </c>
    </row>
    <row r="1636" spans="2:8">
      <c r="B1636" s="28">
        <v>10312</v>
      </c>
      <c r="C1636" s="34" t="s">
        <v>100</v>
      </c>
      <c r="D1636" s="34" t="s">
        <v>104</v>
      </c>
      <c r="E1636" s="34" t="s">
        <v>93</v>
      </c>
      <c r="F1636" s="35">
        <v>23</v>
      </c>
      <c r="G1636" s="37">
        <v>37.630000000000003</v>
      </c>
      <c r="H1636" s="32">
        <f t="shared" si="31"/>
        <v>865.49</v>
      </c>
    </row>
    <row r="1637" spans="2:8">
      <c r="B1637" s="28">
        <v>10322</v>
      </c>
      <c r="C1637" s="34" t="s">
        <v>100</v>
      </c>
      <c r="D1637" s="34" t="s">
        <v>119</v>
      </c>
      <c r="E1637" s="34" t="s">
        <v>93</v>
      </c>
      <c r="F1637" s="35">
        <v>30</v>
      </c>
      <c r="G1637" s="37">
        <v>100</v>
      </c>
      <c r="H1637" s="32">
        <f t="shared" si="31"/>
        <v>3000</v>
      </c>
    </row>
    <row r="1638" spans="2:8">
      <c r="B1638" s="28">
        <v>10332</v>
      </c>
      <c r="C1638" s="34" t="s">
        <v>252</v>
      </c>
      <c r="D1638" s="34" t="s">
        <v>104</v>
      </c>
      <c r="E1638" s="34" t="s">
        <v>93</v>
      </c>
      <c r="F1638" s="35">
        <v>26</v>
      </c>
      <c r="G1638" s="37">
        <v>85.52</v>
      </c>
      <c r="H1638" s="32">
        <f t="shared" si="31"/>
        <v>2223.52</v>
      </c>
    </row>
    <row r="1639" spans="2:8">
      <c r="B1639" s="28">
        <v>10345</v>
      </c>
      <c r="C1639" s="34" t="s">
        <v>109</v>
      </c>
      <c r="D1639" s="34" t="s">
        <v>104</v>
      </c>
      <c r="E1639" s="34" t="s">
        <v>93</v>
      </c>
      <c r="F1639" s="35">
        <v>43</v>
      </c>
      <c r="G1639" s="37">
        <v>53.76</v>
      </c>
      <c r="H1639" s="32">
        <f t="shared" si="31"/>
        <v>2311.6799999999998</v>
      </c>
    </row>
    <row r="1640" spans="2:8">
      <c r="B1640" s="28">
        <v>10356</v>
      </c>
      <c r="C1640" s="34" t="s">
        <v>109</v>
      </c>
      <c r="D1640" s="34" t="s">
        <v>104</v>
      </c>
      <c r="E1640" s="34" t="s">
        <v>93</v>
      </c>
      <c r="F1640" s="35">
        <v>26</v>
      </c>
      <c r="G1640" s="37">
        <v>31.86</v>
      </c>
      <c r="H1640" s="32">
        <f t="shared" si="31"/>
        <v>828.36</v>
      </c>
    </row>
    <row r="1641" spans="2:8">
      <c r="B1641" s="28">
        <v>10367</v>
      </c>
      <c r="C1641" s="34" t="s">
        <v>100</v>
      </c>
      <c r="D1641" s="34" t="s">
        <v>104</v>
      </c>
      <c r="E1641" s="34" t="s">
        <v>526</v>
      </c>
      <c r="F1641" s="35">
        <v>28</v>
      </c>
      <c r="G1641" s="37">
        <v>30.59</v>
      </c>
      <c r="H1641" s="32">
        <f t="shared" si="31"/>
        <v>856.52</v>
      </c>
    </row>
    <row r="1642" spans="2:8">
      <c r="B1642" s="28">
        <v>10380</v>
      </c>
      <c r="C1642" s="34" t="s">
        <v>261</v>
      </c>
      <c r="D1642" s="34" t="s">
        <v>104</v>
      </c>
      <c r="E1642" s="34" t="s">
        <v>93</v>
      </c>
      <c r="F1642" s="35">
        <v>27</v>
      </c>
      <c r="G1642" s="37">
        <v>68.349999999999994</v>
      </c>
      <c r="H1642" s="32">
        <f t="shared" si="31"/>
        <v>1845.4499999999998</v>
      </c>
    </row>
    <row r="1643" spans="2:8">
      <c r="B1643" s="28">
        <v>10391</v>
      </c>
      <c r="C1643" s="34" t="s">
        <v>168</v>
      </c>
      <c r="D1643" s="34" t="s">
        <v>119</v>
      </c>
      <c r="E1643" s="34" t="s">
        <v>93</v>
      </c>
      <c r="F1643" s="35">
        <v>24</v>
      </c>
      <c r="G1643" s="37">
        <v>100</v>
      </c>
      <c r="H1643" s="32">
        <f t="shared" si="31"/>
        <v>2400</v>
      </c>
    </row>
    <row r="1644" spans="2:8">
      <c r="B1644" s="28">
        <v>10421</v>
      </c>
      <c r="C1644" s="34" t="s">
        <v>100</v>
      </c>
      <c r="D1644" s="34" t="s">
        <v>104</v>
      </c>
      <c r="E1644" s="34" t="s">
        <v>400</v>
      </c>
      <c r="F1644" s="35">
        <v>40</v>
      </c>
      <c r="G1644" s="37">
        <v>45.7</v>
      </c>
      <c r="H1644" s="32">
        <f t="shared" si="31"/>
        <v>1828</v>
      </c>
    </row>
    <row r="1645" spans="2:8">
      <c r="B1645" s="28">
        <v>10103</v>
      </c>
      <c r="C1645" s="34" t="s">
        <v>149</v>
      </c>
      <c r="D1645" s="34" t="s">
        <v>119</v>
      </c>
      <c r="E1645" s="34" t="s">
        <v>93</v>
      </c>
      <c r="F1645" s="35">
        <v>36</v>
      </c>
      <c r="G1645" s="37">
        <v>100</v>
      </c>
      <c r="H1645" s="32">
        <f t="shared" si="31"/>
        <v>3600</v>
      </c>
    </row>
    <row r="1646" spans="2:8">
      <c r="B1646" s="28">
        <v>10114</v>
      </c>
      <c r="C1646" s="34" t="s">
        <v>109</v>
      </c>
      <c r="D1646" s="34" t="s">
        <v>104</v>
      </c>
      <c r="E1646" s="34" t="s">
        <v>93</v>
      </c>
      <c r="F1646" s="35">
        <v>21</v>
      </c>
      <c r="G1646" s="37">
        <v>100</v>
      </c>
      <c r="H1646" s="32">
        <f t="shared" si="31"/>
        <v>2100</v>
      </c>
    </row>
    <row r="1647" spans="2:8">
      <c r="B1647" s="28">
        <v>10126</v>
      </c>
      <c r="C1647" s="34" t="s">
        <v>261</v>
      </c>
      <c r="D1647" s="34" t="s">
        <v>119</v>
      </c>
      <c r="E1647" s="34" t="s">
        <v>93</v>
      </c>
      <c r="F1647" s="35">
        <v>27</v>
      </c>
      <c r="G1647" s="37">
        <v>100</v>
      </c>
      <c r="H1647" s="32">
        <f t="shared" si="31"/>
        <v>2700</v>
      </c>
    </row>
    <row r="1648" spans="2:8">
      <c r="B1648" s="28">
        <v>10140</v>
      </c>
      <c r="C1648" s="34" t="s">
        <v>100</v>
      </c>
      <c r="D1648" s="34" t="s">
        <v>119</v>
      </c>
      <c r="E1648" s="34" t="s">
        <v>93</v>
      </c>
      <c r="F1648" s="35">
        <v>47</v>
      </c>
      <c r="G1648" s="37">
        <v>100</v>
      </c>
      <c r="H1648" s="32">
        <f t="shared" si="31"/>
        <v>4700</v>
      </c>
    </row>
    <row r="1649" spans="2:8">
      <c r="B1649" s="28">
        <v>10151</v>
      </c>
      <c r="C1649" s="34" t="s">
        <v>208</v>
      </c>
      <c r="D1649" s="34" t="s">
        <v>119</v>
      </c>
      <c r="E1649" s="34" t="s">
        <v>93</v>
      </c>
      <c r="F1649" s="35">
        <v>42</v>
      </c>
      <c r="G1649" s="37">
        <v>100</v>
      </c>
      <c r="H1649" s="32">
        <f t="shared" si="31"/>
        <v>4200</v>
      </c>
    </row>
    <row r="1650" spans="2:8">
      <c r="B1650" s="28">
        <v>10165</v>
      </c>
      <c r="C1650" s="34" t="s">
        <v>287</v>
      </c>
      <c r="D1650" s="34" t="s">
        <v>119</v>
      </c>
      <c r="E1650" s="34" t="s">
        <v>93</v>
      </c>
      <c r="F1650" s="35">
        <v>32</v>
      </c>
      <c r="G1650" s="37">
        <v>100</v>
      </c>
      <c r="H1650" s="32">
        <f t="shared" si="31"/>
        <v>3200</v>
      </c>
    </row>
    <row r="1651" spans="2:8">
      <c r="B1651" s="28">
        <v>10175</v>
      </c>
      <c r="C1651" s="34" t="s">
        <v>252</v>
      </c>
      <c r="D1651" s="34" t="s">
        <v>104</v>
      </c>
      <c r="E1651" s="34" t="s">
        <v>93</v>
      </c>
      <c r="F1651" s="35">
        <v>28</v>
      </c>
      <c r="G1651" s="37">
        <v>100</v>
      </c>
      <c r="H1651" s="32">
        <f t="shared" si="31"/>
        <v>2800</v>
      </c>
    </row>
    <row r="1652" spans="2:8">
      <c r="B1652" s="28">
        <v>10184</v>
      </c>
      <c r="C1652" s="34" t="s">
        <v>261</v>
      </c>
      <c r="D1652" s="34" t="s">
        <v>119</v>
      </c>
      <c r="E1652" s="34" t="s">
        <v>93</v>
      </c>
      <c r="F1652" s="35">
        <v>24</v>
      </c>
      <c r="G1652" s="37">
        <v>100</v>
      </c>
      <c r="H1652" s="32">
        <f t="shared" si="31"/>
        <v>2400</v>
      </c>
    </row>
    <row r="1653" spans="2:8">
      <c r="B1653" s="28">
        <v>10194</v>
      </c>
      <c r="C1653" s="34" t="s">
        <v>109</v>
      </c>
      <c r="D1653" s="34" t="s">
        <v>119</v>
      </c>
      <c r="E1653" s="34" t="s">
        <v>93</v>
      </c>
      <c r="F1653" s="35">
        <v>49</v>
      </c>
      <c r="G1653" s="37">
        <v>100</v>
      </c>
      <c r="H1653" s="32">
        <f t="shared" si="31"/>
        <v>4900</v>
      </c>
    </row>
    <row r="1654" spans="2:8">
      <c r="B1654" s="28">
        <v>10207</v>
      </c>
      <c r="C1654" s="34" t="s">
        <v>100</v>
      </c>
      <c r="D1654" s="34" t="s">
        <v>119</v>
      </c>
      <c r="E1654" s="34" t="s">
        <v>93</v>
      </c>
      <c r="F1654" s="35">
        <v>46</v>
      </c>
      <c r="G1654" s="37">
        <v>100</v>
      </c>
      <c r="H1654" s="32">
        <f t="shared" si="31"/>
        <v>4600</v>
      </c>
    </row>
    <row r="1655" spans="2:8">
      <c r="B1655" s="28">
        <v>10217</v>
      </c>
      <c r="C1655" s="34" t="s">
        <v>287</v>
      </c>
      <c r="D1655" s="34" t="s">
        <v>119</v>
      </c>
      <c r="E1655" s="34" t="s">
        <v>93</v>
      </c>
      <c r="F1655" s="35">
        <v>28</v>
      </c>
      <c r="G1655" s="37">
        <v>100</v>
      </c>
      <c r="H1655" s="32">
        <f t="shared" si="31"/>
        <v>2800</v>
      </c>
    </row>
    <row r="1656" spans="2:8">
      <c r="B1656" s="28">
        <v>10229</v>
      </c>
      <c r="C1656" s="34" t="s">
        <v>100</v>
      </c>
      <c r="D1656" s="34" t="s">
        <v>119</v>
      </c>
      <c r="E1656" s="34" t="s">
        <v>93</v>
      </c>
      <c r="F1656" s="35">
        <v>48</v>
      </c>
      <c r="G1656" s="37">
        <v>100</v>
      </c>
      <c r="H1656" s="32">
        <f t="shared" si="31"/>
        <v>4800</v>
      </c>
    </row>
    <row r="1657" spans="2:8">
      <c r="B1657" s="28">
        <v>10246</v>
      </c>
      <c r="C1657" s="34" t="s">
        <v>261</v>
      </c>
      <c r="D1657" s="34" t="s">
        <v>119</v>
      </c>
      <c r="E1657" s="34" t="s">
        <v>93</v>
      </c>
      <c r="F1657" s="35">
        <v>29</v>
      </c>
      <c r="G1657" s="37">
        <v>100</v>
      </c>
      <c r="H1657" s="32">
        <f t="shared" si="31"/>
        <v>2900</v>
      </c>
    </row>
    <row r="1658" spans="2:8">
      <c r="B1658" s="28">
        <v>10259</v>
      </c>
      <c r="C1658" s="34" t="s">
        <v>287</v>
      </c>
      <c r="D1658" s="34" t="s">
        <v>119</v>
      </c>
      <c r="E1658" s="34" t="s">
        <v>93</v>
      </c>
      <c r="F1658" s="35">
        <v>47</v>
      </c>
      <c r="G1658" s="37">
        <v>100</v>
      </c>
      <c r="H1658" s="32">
        <f t="shared" si="31"/>
        <v>4700</v>
      </c>
    </row>
    <row r="1659" spans="2:8">
      <c r="B1659" s="28">
        <v>10271</v>
      </c>
      <c r="C1659" s="34" t="s">
        <v>100</v>
      </c>
      <c r="D1659" s="34" t="s">
        <v>119</v>
      </c>
      <c r="E1659" s="34" t="s">
        <v>93</v>
      </c>
      <c r="F1659" s="35">
        <v>43</v>
      </c>
      <c r="G1659" s="37">
        <v>100</v>
      </c>
      <c r="H1659" s="32">
        <f t="shared" si="31"/>
        <v>4300</v>
      </c>
    </row>
    <row r="1660" spans="2:8">
      <c r="B1660" s="28">
        <v>10281</v>
      </c>
      <c r="C1660" s="34" t="s">
        <v>100</v>
      </c>
      <c r="D1660" s="34" t="s">
        <v>104</v>
      </c>
      <c r="E1660" s="34" t="s">
        <v>93</v>
      </c>
      <c r="F1660" s="35">
        <v>25</v>
      </c>
      <c r="G1660" s="37">
        <v>100</v>
      </c>
      <c r="H1660" s="32">
        <f t="shared" si="31"/>
        <v>2500</v>
      </c>
    </row>
    <row r="1661" spans="2:8">
      <c r="B1661" s="28">
        <v>10291</v>
      </c>
      <c r="C1661" s="34" t="s">
        <v>273</v>
      </c>
      <c r="D1661" s="34" t="s">
        <v>119</v>
      </c>
      <c r="E1661" s="34" t="s">
        <v>93</v>
      </c>
      <c r="F1661" s="35">
        <v>48</v>
      </c>
      <c r="G1661" s="37">
        <v>100</v>
      </c>
      <c r="H1661" s="32">
        <f t="shared" si="31"/>
        <v>4800</v>
      </c>
    </row>
    <row r="1662" spans="2:8">
      <c r="B1662" s="28">
        <v>10305</v>
      </c>
      <c r="C1662" s="34" t="s">
        <v>100</v>
      </c>
      <c r="D1662" s="34" t="s">
        <v>119</v>
      </c>
      <c r="E1662" s="34" t="s">
        <v>93</v>
      </c>
      <c r="F1662" s="35">
        <v>24</v>
      </c>
      <c r="G1662" s="37">
        <v>100</v>
      </c>
      <c r="H1662" s="32">
        <f t="shared" si="31"/>
        <v>2400</v>
      </c>
    </row>
    <row r="1663" spans="2:8">
      <c r="B1663" s="28">
        <v>10313</v>
      </c>
      <c r="C1663" s="34" t="s">
        <v>322</v>
      </c>
      <c r="D1663" s="34" t="s">
        <v>119</v>
      </c>
      <c r="E1663" s="34" t="s">
        <v>93</v>
      </c>
      <c r="F1663" s="35">
        <v>42</v>
      </c>
      <c r="G1663" s="37">
        <v>100</v>
      </c>
      <c r="H1663" s="32">
        <f t="shared" si="31"/>
        <v>4200</v>
      </c>
    </row>
    <row r="1664" spans="2:8">
      <c r="B1664" s="28">
        <v>10324</v>
      </c>
      <c r="C1664" s="34" t="s">
        <v>100</v>
      </c>
      <c r="D1664" s="34" t="s">
        <v>119</v>
      </c>
      <c r="E1664" s="34" t="s">
        <v>93</v>
      </c>
      <c r="F1664" s="35">
        <v>31</v>
      </c>
      <c r="G1664" s="37">
        <v>100</v>
      </c>
      <c r="H1664" s="32">
        <f t="shared" si="31"/>
        <v>3100</v>
      </c>
    </row>
    <row r="1665" spans="2:8">
      <c r="B1665" s="28">
        <v>10334</v>
      </c>
      <c r="C1665" s="34" t="s">
        <v>273</v>
      </c>
      <c r="D1665" s="34" t="s">
        <v>119</v>
      </c>
      <c r="E1665" s="34" t="s">
        <v>518</v>
      </c>
      <c r="F1665" s="35">
        <v>42</v>
      </c>
      <c r="G1665" s="37">
        <v>100</v>
      </c>
      <c r="H1665" s="32">
        <f t="shared" si="31"/>
        <v>4200</v>
      </c>
    </row>
    <row r="1666" spans="2:8">
      <c r="B1666" s="28">
        <v>10348</v>
      </c>
      <c r="C1666" s="34" t="s">
        <v>261</v>
      </c>
      <c r="D1666" s="34" t="s">
        <v>119</v>
      </c>
      <c r="E1666" s="34" t="s">
        <v>93</v>
      </c>
      <c r="F1666" s="35">
        <v>37</v>
      </c>
      <c r="G1666" s="37">
        <v>100</v>
      </c>
      <c r="H1666" s="32">
        <f t="shared" si="31"/>
        <v>3700</v>
      </c>
    </row>
    <row r="1667" spans="2:8">
      <c r="B1667" s="28">
        <v>10358</v>
      </c>
      <c r="C1667" s="34" t="s">
        <v>261</v>
      </c>
      <c r="D1667" s="34" t="s">
        <v>119</v>
      </c>
      <c r="E1667" s="34" t="s">
        <v>93</v>
      </c>
      <c r="F1667" s="35">
        <v>41</v>
      </c>
      <c r="G1667" s="37">
        <v>100</v>
      </c>
      <c r="H1667" s="32">
        <f t="shared" si="31"/>
        <v>4100</v>
      </c>
    </row>
    <row r="1668" spans="2:8">
      <c r="B1668" s="28">
        <v>10371</v>
      </c>
      <c r="C1668" s="34" t="s">
        <v>100</v>
      </c>
      <c r="D1668" s="34" t="s">
        <v>119</v>
      </c>
      <c r="E1668" s="34" t="s">
        <v>93</v>
      </c>
      <c r="F1668" s="35">
        <v>20</v>
      </c>
      <c r="G1668" s="37">
        <v>100</v>
      </c>
      <c r="H1668" s="32">
        <f t="shared" si="31"/>
        <v>2000</v>
      </c>
    </row>
    <row r="1669" spans="2:8">
      <c r="B1669" s="28">
        <v>10382</v>
      </c>
      <c r="C1669" s="34" t="s">
        <v>100</v>
      </c>
      <c r="D1669" s="34" t="s">
        <v>104</v>
      </c>
      <c r="E1669" s="34" t="s">
        <v>93</v>
      </c>
      <c r="F1669" s="35">
        <v>20</v>
      </c>
      <c r="G1669" s="37">
        <v>100</v>
      </c>
      <c r="H1669" s="32">
        <f t="shared" ref="H1669:H1732" si="32">F1669*G1669</f>
        <v>2000</v>
      </c>
    </row>
    <row r="1670" spans="2:8">
      <c r="B1670" s="28">
        <v>10412</v>
      </c>
      <c r="C1670" s="34" t="s">
        <v>261</v>
      </c>
      <c r="D1670" s="34" t="s">
        <v>232</v>
      </c>
      <c r="E1670" s="34" t="s">
        <v>93</v>
      </c>
      <c r="F1670" s="35">
        <v>70</v>
      </c>
      <c r="G1670" s="37">
        <v>100</v>
      </c>
      <c r="H1670" s="32">
        <f t="shared" si="32"/>
        <v>7000</v>
      </c>
    </row>
    <row r="1671" spans="2:8">
      <c r="B1671" s="28">
        <v>10425</v>
      </c>
      <c r="C1671" s="34" t="s">
        <v>109</v>
      </c>
      <c r="D1671" s="34" t="s">
        <v>119</v>
      </c>
      <c r="E1671" s="34" t="s">
        <v>400</v>
      </c>
      <c r="F1671" s="35">
        <v>49</v>
      </c>
      <c r="G1671" s="37">
        <v>100</v>
      </c>
      <c r="H1671" s="32">
        <f t="shared" si="32"/>
        <v>4900</v>
      </c>
    </row>
    <row r="1672" spans="2:8">
      <c r="B1672" s="28">
        <v>10108</v>
      </c>
      <c r="C1672" s="34" t="s">
        <v>552</v>
      </c>
      <c r="D1672" s="34" t="s">
        <v>104</v>
      </c>
      <c r="E1672" s="34" t="s">
        <v>93</v>
      </c>
      <c r="F1672" s="35">
        <v>35</v>
      </c>
      <c r="G1672" s="37">
        <v>58.87</v>
      </c>
      <c r="H1672" s="32">
        <f t="shared" si="32"/>
        <v>2060.4499999999998</v>
      </c>
    </row>
    <row r="1673" spans="2:8">
      <c r="B1673" s="28">
        <v>10121</v>
      </c>
      <c r="C1673" s="34" t="s">
        <v>109</v>
      </c>
      <c r="D1673" s="34" t="s">
        <v>104</v>
      </c>
      <c r="E1673" s="34" t="s">
        <v>93</v>
      </c>
      <c r="F1673" s="35">
        <v>32</v>
      </c>
      <c r="G1673" s="37">
        <v>76.88</v>
      </c>
      <c r="H1673" s="32">
        <f t="shared" si="32"/>
        <v>2460.16</v>
      </c>
    </row>
    <row r="1674" spans="2:8">
      <c r="B1674" s="28">
        <v>10135</v>
      </c>
      <c r="C1674" s="34" t="s">
        <v>100</v>
      </c>
      <c r="D1674" s="34" t="s">
        <v>104</v>
      </c>
      <c r="E1674" s="34" t="s">
        <v>93</v>
      </c>
      <c r="F1674" s="35">
        <v>29</v>
      </c>
      <c r="G1674" s="37">
        <v>61.64</v>
      </c>
      <c r="H1674" s="32">
        <f t="shared" si="32"/>
        <v>1787.56</v>
      </c>
    </row>
    <row r="1675" spans="2:8">
      <c r="B1675" s="28">
        <v>10145</v>
      </c>
      <c r="C1675" s="34" t="s">
        <v>100</v>
      </c>
      <c r="D1675" s="34" t="s">
        <v>104</v>
      </c>
      <c r="E1675" s="34" t="s">
        <v>93</v>
      </c>
      <c r="F1675" s="35">
        <v>27</v>
      </c>
      <c r="G1675" s="37">
        <v>60.95</v>
      </c>
      <c r="H1675" s="32">
        <f t="shared" si="32"/>
        <v>1645.65</v>
      </c>
    </row>
    <row r="1676" spans="2:8">
      <c r="B1676" s="28">
        <v>10159</v>
      </c>
      <c r="C1676" s="34" t="s">
        <v>100</v>
      </c>
      <c r="D1676" s="34" t="s">
        <v>104</v>
      </c>
      <c r="E1676" s="34" t="s">
        <v>93</v>
      </c>
      <c r="F1676" s="35">
        <v>27</v>
      </c>
      <c r="G1676" s="37">
        <v>80.34</v>
      </c>
      <c r="H1676" s="32">
        <f t="shared" si="32"/>
        <v>2169.1800000000003</v>
      </c>
    </row>
    <row r="1677" spans="2:8">
      <c r="B1677" s="28">
        <v>10169</v>
      </c>
      <c r="C1677" s="34" t="s">
        <v>168</v>
      </c>
      <c r="D1677" s="34" t="s">
        <v>104</v>
      </c>
      <c r="E1677" s="34" t="s">
        <v>93</v>
      </c>
      <c r="F1677" s="35">
        <v>38</v>
      </c>
      <c r="G1677" s="37">
        <v>74.11</v>
      </c>
      <c r="H1677" s="32">
        <f t="shared" si="32"/>
        <v>2816.18</v>
      </c>
    </row>
    <row r="1678" spans="2:8">
      <c r="B1678" s="28">
        <v>10180</v>
      </c>
      <c r="C1678" s="34" t="s">
        <v>109</v>
      </c>
      <c r="D1678" s="34" t="s">
        <v>104</v>
      </c>
      <c r="E1678" s="34" t="s">
        <v>93</v>
      </c>
      <c r="F1678" s="35">
        <v>35</v>
      </c>
      <c r="G1678" s="37">
        <v>72.03</v>
      </c>
      <c r="H1678" s="32">
        <f t="shared" si="32"/>
        <v>2521.0500000000002</v>
      </c>
    </row>
    <row r="1679" spans="2:8">
      <c r="B1679" s="28">
        <v>10190</v>
      </c>
      <c r="C1679" s="34" t="s">
        <v>261</v>
      </c>
      <c r="D1679" s="34" t="s">
        <v>119</v>
      </c>
      <c r="E1679" s="34" t="s">
        <v>93</v>
      </c>
      <c r="F1679" s="35">
        <v>42</v>
      </c>
      <c r="G1679" s="37">
        <v>76.19</v>
      </c>
      <c r="H1679" s="32">
        <f t="shared" si="32"/>
        <v>3199.98</v>
      </c>
    </row>
    <row r="1680" spans="2:8">
      <c r="B1680" s="28">
        <v>10211</v>
      </c>
      <c r="C1680" s="34" t="s">
        <v>109</v>
      </c>
      <c r="D1680" s="34" t="s">
        <v>104</v>
      </c>
      <c r="E1680" s="34" t="s">
        <v>93</v>
      </c>
      <c r="F1680" s="35">
        <v>21</v>
      </c>
      <c r="G1680" s="37">
        <v>63.72</v>
      </c>
      <c r="H1680" s="32">
        <f t="shared" si="32"/>
        <v>1338.12</v>
      </c>
    </row>
    <row r="1681" spans="2:8">
      <c r="B1681" s="28">
        <v>10224</v>
      </c>
      <c r="C1681" s="34" t="s">
        <v>109</v>
      </c>
      <c r="D1681" s="34" t="s">
        <v>104</v>
      </c>
      <c r="E1681" s="34" t="s">
        <v>93</v>
      </c>
      <c r="F1681" s="35">
        <v>37</v>
      </c>
      <c r="G1681" s="37">
        <v>80.34</v>
      </c>
      <c r="H1681" s="32">
        <f t="shared" si="32"/>
        <v>2972.58</v>
      </c>
    </row>
    <row r="1682" spans="2:8">
      <c r="B1682" s="28">
        <v>10237</v>
      </c>
      <c r="C1682" s="34" t="s">
        <v>100</v>
      </c>
      <c r="D1682" s="34" t="s">
        <v>104</v>
      </c>
      <c r="E1682" s="34" t="s">
        <v>93</v>
      </c>
      <c r="F1682" s="35">
        <v>26</v>
      </c>
      <c r="G1682" s="37">
        <v>79.650000000000006</v>
      </c>
      <c r="H1682" s="32">
        <f t="shared" si="32"/>
        <v>2070.9</v>
      </c>
    </row>
    <row r="1683" spans="2:8">
      <c r="B1683" s="28">
        <v>10252</v>
      </c>
      <c r="C1683" s="34" t="s">
        <v>109</v>
      </c>
      <c r="D1683" s="34" t="s">
        <v>119</v>
      </c>
      <c r="E1683" s="34" t="s">
        <v>93</v>
      </c>
      <c r="F1683" s="35">
        <v>47</v>
      </c>
      <c r="G1683" s="37">
        <v>65.8</v>
      </c>
      <c r="H1683" s="32">
        <f t="shared" si="32"/>
        <v>3092.6</v>
      </c>
    </row>
    <row r="1684" spans="2:8">
      <c r="B1684" s="28">
        <v>10264</v>
      </c>
      <c r="C1684" s="34" t="s">
        <v>100</v>
      </c>
      <c r="D1684" s="34" t="s">
        <v>104</v>
      </c>
      <c r="E1684" s="34" t="s">
        <v>93</v>
      </c>
      <c r="F1684" s="35">
        <v>37</v>
      </c>
      <c r="G1684" s="37">
        <v>65.099999999999994</v>
      </c>
      <c r="H1684" s="32">
        <f t="shared" si="32"/>
        <v>2408.6999999999998</v>
      </c>
    </row>
    <row r="1685" spans="2:8">
      <c r="B1685" s="28">
        <v>10276</v>
      </c>
      <c r="C1685" s="34" t="s">
        <v>100</v>
      </c>
      <c r="D1685" s="34" t="s">
        <v>119</v>
      </c>
      <c r="E1685" s="34" t="s">
        <v>93</v>
      </c>
      <c r="F1685" s="35">
        <v>46</v>
      </c>
      <c r="G1685" s="37">
        <v>75.489999999999995</v>
      </c>
      <c r="H1685" s="32">
        <f t="shared" si="32"/>
        <v>3472.54</v>
      </c>
    </row>
    <row r="1686" spans="2:8">
      <c r="B1686" s="28">
        <v>10285</v>
      </c>
      <c r="C1686" s="34" t="s">
        <v>100</v>
      </c>
      <c r="D1686" s="34" t="s">
        <v>104</v>
      </c>
      <c r="E1686" s="34" t="s">
        <v>93</v>
      </c>
      <c r="F1686" s="35">
        <v>38</v>
      </c>
      <c r="G1686" s="37">
        <v>59.56</v>
      </c>
      <c r="H1686" s="32">
        <f t="shared" si="32"/>
        <v>2263.2800000000002</v>
      </c>
    </row>
    <row r="1687" spans="2:8">
      <c r="B1687" s="28">
        <v>10299</v>
      </c>
      <c r="C1687" s="34" t="s">
        <v>208</v>
      </c>
      <c r="D1687" s="34" t="s">
        <v>104</v>
      </c>
      <c r="E1687" s="34" t="s">
        <v>93</v>
      </c>
      <c r="F1687" s="35">
        <v>33</v>
      </c>
      <c r="G1687" s="37">
        <v>66.489999999999995</v>
      </c>
      <c r="H1687" s="32">
        <f t="shared" si="32"/>
        <v>2194.1699999999996</v>
      </c>
    </row>
    <row r="1688" spans="2:8">
      <c r="B1688" s="28">
        <v>10309</v>
      </c>
      <c r="C1688" s="34" t="s">
        <v>149</v>
      </c>
      <c r="D1688" s="34" t="s">
        <v>104</v>
      </c>
      <c r="E1688" s="34" t="s">
        <v>93</v>
      </c>
      <c r="F1688" s="35">
        <v>24</v>
      </c>
      <c r="G1688" s="37">
        <v>56.1</v>
      </c>
      <c r="H1688" s="32">
        <f t="shared" si="32"/>
        <v>1346.4</v>
      </c>
    </row>
    <row r="1689" spans="2:8">
      <c r="B1689" s="28">
        <v>10319</v>
      </c>
      <c r="C1689" s="34" t="s">
        <v>100</v>
      </c>
      <c r="D1689" s="34" t="s">
        <v>104</v>
      </c>
      <c r="E1689" s="34" t="s">
        <v>93</v>
      </c>
      <c r="F1689" s="35">
        <v>31</v>
      </c>
      <c r="G1689" s="37">
        <v>81.73</v>
      </c>
      <c r="H1689" s="32">
        <f t="shared" si="32"/>
        <v>2533.63</v>
      </c>
    </row>
    <row r="1690" spans="2:8">
      <c r="B1690" s="28">
        <v>10330</v>
      </c>
      <c r="C1690" s="34" t="s">
        <v>552</v>
      </c>
      <c r="D1690" s="34" t="s">
        <v>119</v>
      </c>
      <c r="E1690" s="34" t="s">
        <v>93</v>
      </c>
      <c r="F1690" s="35">
        <v>42</v>
      </c>
      <c r="G1690" s="37">
        <v>81.03</v>
      </c>
      <c r="H1690" s="32">
        <f t="shared" si="32"/>
        <v>3403.26</v>
      </c>
    </row>
    <row r="1691" spans="2:8">
      <c r="B1691" s="28">
        <v>10341</v>
      </c>
      <c r="C1691" s="34" t="s">
        <v>229</v>
      </c>
      <c r="D1691" s="34" t="s">
        <v>119</v>
      </c>
      <c r="E1691" s="34" t="s">
        <v>93</v>
      </c>
      <c r="F1691" s="35">
        <v>32</v>
      </c>
      <c r="G1691" s="37">
        <v>100</v>
      </c>
      <c r="H1691" s="32">
        <f t="shared" si="32"/>
        <v>3200</v>
      </c>
    </row>
    <row r="1692" spans="2:8">
      <c r="B1692" s="28">
        <v>10355</v>
      </c>
      <c r="C1692" s="34" t="s">
        <v>261</v>
      </c>
      <c r="D1692" s="34" t="s">
        <v>104</v>
      </c>
      <c r="E1692" s="34" t="s">
        <v>93</v>
      </c>
      <c r="F1692" s="35">
        <v>41</v>
      </c>
      <c r="G1692" s="37">
        <v>70.650000000000006</v>
      </c>
      <c r="H1692" s="32">
        <f t="shared" si="32"/>
        <v>2896.65</v>
      </c>
    </row>
    <row r="1693" spans="2:8">
      <c r="B1693" s="28">
        <v>10363</v>
      </c>
      <c r="C1693" s="34" t="s">
        <v>208</v>
      </c>
      <c r="D1693" s="34" t="s">
        <v>104</v>
      </c>
      <c r="E1693" s="34" t="s">
        <v>93</v>
      </c>
      <c r="F1693" s="35">
        <v>43</v>
      </c>
      <c r="G1693" s="37">
        <v>61.23</v>
      </c>
      <c r="H1693" s="32">
        <f t="shared" si="32"/>
        <v>2632.89</v>
      </c>
    </row>
    <row r="1694" spans="2:8">
      <c r="B1694" s="28">
        <v>10375</v>
      </c>
      <c r="C1694" s="34" t="s">
        <v>109</v>
      </c>
      <c r="D1694" s="34" t="s">
        <v>104</v>
      </c>
      <c r="E1694" s="34" t="s">
        <v>93</v>
      </c>
      <c r="F1694" s="35">
        <v>20</v>
      </c>
      <c r="G1694" s="37">
        <v>100</v>
      </c>
      <c r="H1694" s="32">
        <f t="shared" si="32"/>
        <v>2000</v>
      </c>
    </row>
    <row r="1695" spans="2:8">
      <c r="B1695" s="28">
        <v>10390</v>
      </c>
      <c r="C1695" s="34" t="s">
        <v>100</v>
      </c>
      <c r="D1695" s="34" t="s">
        <v>104</v>
      </c>
      <c r="E1695" s="34" t="s">
        <v>93</v>
      </c>
      <c r="F1695" s="35">
        <v>35</v>
      </c>
      <c r="G1695" s="37">
        <v>65.13</v>
      </c>
      <c r="H1695" s="32">
        <f t="shared" si="32"/>
        <v>2279.5499999999997</v>
      </c>
    </row>
    <row r="1696" spans="2:8">
      <c r="B1696" s="28">
        <v>10403</v>
      </c>
      <c r="C1696" s="34" t="s">
        <v>252</v>
      </c>
      <c r="D1696" s="34" t="s">
        <v>104</v>
      </c>
      <c r="E1696" s="34" t="s">
        <v>93</v>
      </c>
      <c r="F1696" s="35">
        <v>27</v>
      </c>
      <c r="G1696" s="37">
        <v>79.650000000000006</v>
      </c>
      <c r="H1696" s="32">
        <f t="shared" si="32"/>
        <v>2150.5500000000002</v>
      </c>
    </row>
    <row r="1697" spans="2:8">
      <c r="B1697" s="28">
        <v>10110</v>
      </c>
      <c r="C1697" s="34" t="s">
        <v>252</v>
      </c>
      <c r="D1697" s="34" t="s">
        <v>119</v>
      </c>
      <c r="E1697" s="34" t="s">
        <v>93</v>
      </c>
      <c r="F1697" s="35">
        <v>43</v>
      </c>
      <c r="G1697" s="37">
        <v>78.150000000000006</v>
      </c>
      <c r="H1697" s="32">
        <f t="shared" si="32"/>
        <v>3360.4500000000003</v>
      </c>
    </row>
    <row r="1698" spans="2:8">
      <c r="B1698" s="28">
        <v>10124</v>
      </c>
      <c r="C1698" s="34" t="s">
        <v>100</v>
      </c>
      <c r="D1698" s="34" t="s">
        <v>104</v>
      </c>
      <c r="E1698" s="34" t="s">
        <v>93</v>
      </c>
      <c r="F1698" s="35">
        <v>32</v>
      </c>
      <c r="G1698" s="37">
        <v>72.7</v>
      </c>
      <c r="H1698" s="32">
        <f t="shared" si="32"/>
        <v>2326.4</v>
      </c>
    </row>
    <row r="1699" spans="2:8">
      <c r="B1699" s="28">
        <v>10148</v>
      </c>
      <c r="C1699" s="34" t="s">
        <v>168</v>
      </c>
      <c r="D1699" s="34" t="s">
        <v>104</v>
      </c>
      <c r="E1699" s="34" t="s">
        <v>93</v>
      </c>
      <c r="F1699" s="35">
        <v>21</v>
      </c>
      <c r="G1699" s="37">
        <v>73.599999999999994</v>
      </c>
      <c r="H1699" s="32">
        <f t="shared" si="32"/>
        <v>1545.6</v>
      </c>
    </row>
    <row r="1700" spans="2:8">
      <c r="B1700" s="28">
        <v>10161</v>
      </c>
      <c r="C1700" s="34" t="s">
        <v>429</v>
      </c>
      <c r="D1700" s="34" t="s">
        <v>104</v>
      </c>
      <c r="E1700" s="34" t="s">
        <v>93</v>
      </c>
      <c r="F1700" s="35">
        <v>20</v>
      </c>
      <c r="G1700" s="37">
        <v>100</v>
      </c>
      <c r="H1700" s="32">
        <f t="shared" si="32"/>
        <v>2000</v>
      </c>
    </row>
    <row r="1701" spans="2:8">
      <c r="B1701" s="28">
        <v>10172</v>
      </c>
      <c r="C1701" s="34" t="s">
        <v>100</v>
      </c>
      <c r="D1701" s="34" t="s">
        <v>104</v>
      </c>
      <c r="E1701" s="34" t="s">
        <v>93</v>
      </c>
      <c r="F1701" s="35">
        <v>22</v>
      </c>
      <c r="G1701" s="37">
        <v>74.510000000000005</v>
      </c>
      <c r="H1701" s="32">
        <f t="shared" si="32"/>
        <v>1639.22</v>
      </c>
    </row>
    <row r="1702" spans="2:8">
      <c r="B1702" s="28">
        <v>10182</v>
      </c>
      <c r="C1702" s="34" t="s">
        <v>100</v>
      </c>
      <c r="D1702" s="34" t="s">
        <v>104</v>
      </c>
      <c r="E1702" s="34" t="s">
        <v>93</v>
      </c>
      <c r="F1702" s="35">
        <v>36</v>
      </c>
      <c r="G1702" s="37">
        <v>73.599999999999994</v>
      </c>
      <c r="H1702" s="32">
        <f t="shared" si="32"/>
        <v>2649.6</v>
      </c>
    </row>
    <row r="1703" spans="2:8">
      <c r="B1703" s="28">
        <v>10192</v>
      </c>
      <c r="C1703" s="34" t="s">
        <v>100</v>
      </c>
      <c r="D1703" s="34" t="s">
        <v>119</v>
      </c>
      <c r="E1703" s="34" t="s">
        <v>93</v>
      </c>
      <c r="F1703" s="35">
        <v>46</v>
      </c>
      <c r="G1703" s="37">
        <v>83.6</v>
      </c>
      <c r="H1703" s="32">
        <f t="shared" si="32"/>
        <v>3845.6</v>
      </c>
    </row>
    <row r="1704" spans="2:8">
      <c r="B1704" s="28">
        <v>10204</v>
      </c>
      <c r="C1704" s="34" t="s">
        <v>100</v>
      </c>
      <c r="D1704" s="34" t="s">
        <v>119</v>
      </c>
      <c r="E1704" s="34" t="s">
        <v>93</v>
      </c>
      <c r="F1704" s="35">
        <v>47</v>
      </c>
      <c r="G1704" s="37">
        <v>96.32</v>
      </c>
      <c r="H1704" s="32">
        <f t="shared" si="32"/>
        <v>4527.04</v>
      </c>
    </row>
    <row r="1705" spans="2:8">
      <c r="B1705" s="28">
        <v>10212</v>
      </c>
      <c r="C1705" s="34" t="s">
        <v>261</v>
      </c>
      <c r="D1705" s="34" t="s">
        <v>119</v>
      </c>
      <c r="E1705" s="34" t="s">
        <v>93</v>
      </c>
      <c r="F1705" s="35">
        <v>45</v>
      </c>
      <c r="G1705" s="37">
        <v>88.14</v>
      </c>
      <c r="H1705" s="32">
        <f t="shared" si="32"/>
        <v>3966.3</v>
      </c>
    </row>
    <row r="1706" spans="2:8">
      <c r="B1706" s="28">
        <v>10227</v>
      </c>
      <c r="C1706" s="34" t="s">
        <v>109</v>
      </c>
      <c r="D1706" s="34" t="s">
        <v>119</v>
      </c>
      <c r="E1706" s="34" t="s">
        <v>93</v>
      </c>
      <c r="F1706" s="35">
        <v>47</v>
      </c>
      <c r="G1706" s="37">
        <v>88.14</v>
      </c>
      <c r="H1706" s="32">
        <f t="shared" si="32"/>
        <v>4142.58</v>
      </c>
    </row>
    <row r="1707" spans="2:8">
      <c r="B1707" s="28">
        <v>10241</v>
      </c>
      <c r="C1707" s="34" t="s">
        <v>109</v>
      </c>
      <c r="D1707" s="34" t="s">
        <v>119</v>
      </c>
      <c r="E1707" s="34" t="s">
        <v>93</v>
      </c>
      <c r="F1707" s="35">
        <v>47</v>
      </c>
      <c r="G1707" s="37">
        <v>94.5</v>
      </c>
      <c r="H1707" s="32">
        <f t="shared" si="32"/>
        <v>4441.5</v>
      </c>
    </row>
    <row r="1708" spans="2:8">
      <c r="B1708" s="28">
        <v>10267</v>
      </c>
      <c r="C1708" s="34" t="s">
        <v>100</v>
      </c>
      <c r="D1708" s="34" t="s">
        <v>119</v>
      </c>
      <c r="E1708" s="34" t="s">
        <v>93</v>
      </c>
      <c r="F1708" s="35">
        <v>38</v>
      </c>
      <c r="G1708" s="37">
        <v>87.24</v>
      </c>
      <c r="H1708" s="32">
        <f t="shared" si="32"/>
        <v>3315.12</v>
      </c>
    </row>
    <row r="1709" spans="2:8">
      <c r="B1709" s="28">
        <v>10279</v>
      </c>
      <c r="C1709" s="34" t="s">
        <v>261</v>
      </c>
      <c r="D1709" s="34" t="s">
        <v>119</v>
      </c>
      <c r="E1709" s="34" t="s">
        <v>93</v>
      </c>
      <c r="F1709" s="35">
        <v>49</v>
      </c>
      <c r="G1709" s="37">
        <v>79.97</v>
      </c>
      <c r="H1709" s="32">
        <f t="shared" si="32"/>
        <v>3918.5299999999997</v>
      </c>
    </row>
    <row r="1710" spans="2:8">
      <c r="B1710" s="28">
        <v>10288</v>
      </c>
      <c r="C1710" s="34" t="s">
        <v>287</v>
      </c>
      <c r="D1710" s="34" t="s">
        <v>104</v>
      </c>
      <c r="E1710" s="34" t="s">
        <v>93</v>
      </c>
      <c r="F1710" s="35">
        <v>35</v>
      </c>
      <c r="G1710" s="37">
        <v>80.87</v>
      </c>
      <c r="H1710" s="32">
        <f t="shared" si="32"/>
        <v>2830.4500000000003</v>
      </c>
    </row>
    <row r="1711" spans="2:8">
      <c r="B1711" s="28">
        <v>10302</v>
      </c>
      <c r="C1711" s="34" t="s">
        <v>252</v>
      </c>
      <c r="D1711" s="34" t="s">
        <v>119</v>
      </c>
      <c r="E1711" s="34" t="s">
        <v>93</v>
      </c>
      <c r="F1711" s="35">
        <v>49</v>
      </c>
      <c r="G1711" s="37">
        <v>100</v>
      </c>
      <c r="H1711" s="32">
        <f t="shared" si="32"/>
        <v>4900</v>
      </c>
    </row>
    <row r="1712" spans="2:8">
      <c r="B1712" s="28">
        <v>10311</v>
      </c>
      <c r="C1712" s="34" t="s">
        <v>261</v>
      </c>
      <c r="D1712" s="34" t="s">
        <v>104</v>
      </c>
      <c r="E1712" s="34" t="s">
        <v>93</v>
      </c>
      <c r="F1712" s="35">
        <v>28</v>
      </c>
      <c r="G1712" s="37">
        <v>93.6</v>
      </c>
      <c r="H1712" s="32">
        <f t="shared" si="32"/>
        <v>2620.7999999999997</v>
      </c>
    </row>
    <row r="1713" spans="2:8">
      <c r="B1713" s="28">
        <v>10321</v>
      </c>
      <c r="C1713" s="34" t="s">
        <v>100</v>
      </c>
      <c r="D1713" s="34" t="s">
        <v>104</v>
      </c>
      <c r="E1713" s="34" t="s">
        <v>93</v>
      </c>
      <c r="F1713" s="35">
        <v>30</v>
      </c>
      <c r="G1713" s="37">
        <v>72.7</v>
      </c>
      <c r="H1713" s="32">
        <f t="shared" si="32"/>
        <v>2181</v>
      </c>
    </row>
    <row r="1714" spans="2:8">
      <c r="B1714" s="28">
        <v>10332</v>
      </c>
      <c r="C1714" s="34" t="s">
        <v>252</v>
      </c>
      <c r="D1714" s="34" t="s">
        <v>119</v>
      </c>
      <c r="E1714" s="34" t="s">
        <v>93</v>
      </c>
      <c r="F1714" s="35">
        <v>39</v>
      </c>
      <c r="G1714" s="37">
        <v>86.72</v>
      </c>
      <c r="H1714" s="32">
        <f t="shared" si="32"/>
        <v>3382.08</v>
      </c>
    </row>
    <row r="1715" spans="2:8">
      <c r="B1715" s="28">
        <v>10346</v>
      </c>
      <c r="C1715" s="34" t="s">
        <v>100</v>
      </c>
      <c r="D1715" s="34" t="s">
        <v>104</v>
      </c>
      <c r="E1715" s="34" t="s">
        <v>93</v>
      </c>
      <c r="F1715" s="35">
        <v>25</v>
      </c>
      <c r="G1715" s="37">
        <v>100</v>
      </c>
      <c r="H1715" s="32">
        <f t="shared" si="32"/>
        <v>2500</v>
      </c>
    </row>
    <row r="1716" spans="2:8">
      <c r="B1716" s="28">
        <v>10368</v>
      </c>
      <c r="C1716" s="34" t="s">
        <v>100</v>
      </c>
      <c r="D1716" s="34" t="s">
        <v>119</v>
      </c>
      <c r="E1716" s="34" t="s">
        <v>93</v>
      </c>
      <c r="F1716" s="35">
        <v>40</v>
      </c>
      <c r="G1716" s="37">
        <v>100</v>
      </c>
      <c r="H1716" s="32">
        <f t="shared" si="32"/>
        <v>4000</v>
      </c>
    </row>
    <row r="1717" spans="2:8">
      <c r="B1717" s="28">
        <v>10380</v>
      </c>
      <c r="C1717" s="34" t="s">
        <v>261</v>
      </c>
      <c r="D1717" s="34" t="s">
        <v>104</v>
      </c>
      <c r="E1717" s="34" t="s">
        <v>93</v>
      </c>
      <c r="F1717" s="35">
        <v>36</v>
      </c>
      <c r="G1717" s="37">
        <v>37.5</v>
      </c>
      <c r="H1717" s="32">
        <f t="shared" si="32"/>
        <v>1350</v>
      </c>
    </row>
    <row r="1718" spans="2:8">
      <c r="B1718" s="28">
        <v>10407</v>
      </c>
      <c r="C1718" s="34" t="s">
        <v>100</v>
      </c>
      <c r="D1718" s="34" t="s">
        <v>232</v>
      </c>
      <c r="E1718" s="34" t="s">
        <v>518</v>
      </c>
      <c r="F1718" s="35">
        <v>76</v>
      </c>
      <c r="G1718" s="37">
        <v>94.5</v>
      </c>
      <c r="H1718" s="32">
        <f t="shared" si="32"/>
        <v>7182</v>
      </c>
    </row>
    <row r="1719" spans="2:8">
      <c r="B1719" s="28">
        <v>10420</v>
      </c>
      <c r="C1719" s="34" t="s">
        <v>168</v>
      </c>
      <c r="D1719" s="34" t="s">
        <v>119</v>
      </c>
      <c r="E1719" s="34" t="s">
        <v>400</v>
      </c>
      <c r="F1719" s="35">
        <v>39</v>
      </c>
      <c r="G1719" s="37">
        <v>100</v>
      </c>
      <c r="H1719" s="32">
        <f t="shared" si="32"/>
        <v>3900</v>
      </c>
    </row>
    <row r="1720" spans="2:8">
      <c r="B1720" s="28">
        <v>10104</v>
      </c>
      <c r="C1720" s="34" t="s">
        <v>261</v>
      </c>
      <c r="D1720" s="34" t="s">
        <v>104</v>
      </c>
      <c r="E1720" s="34" t="s">
        <v>93</v>
      </c>
      <c r="F1720" s="35">
        <v>44</v>
      </c>
      <c r="G1720" s="37">
        <v>39.6</v>
      </c>
      <c r="H1720" s="32">
        <f t="shared" si="32"/>
        <v>1742.4</v>
      </c>
    </row>
    <row r="1721" spans="2:8">
      <c r="B1721" s="28">
        <v>10114</v>
      </c>
      <c r="C1721" s="34" t="s">
        <v>109</v>
      </c>
      <c r="D1721" s="34" t="s">
        <v>104</v>
      </c>
      <c r="E1721" s="34" t="s">
        <v>93</v>
      </c>
      <c r="F1721" s="35">
        <v>24</v>
      </c>
      <c r="G1721" s="37">
        <v>30.06</v>
      </c>
      <c r="H1721" s="32">
        <f t="shared" si="32"/>
        <v>721.43999999999994</v>
      </c>
    </row>
    <row r="1722" spans="2:8">
      <c r="B1722" s="28">
        <v>10127</v>
      </c>
      <c r="C1722" s="34" t="s">
        <v>100</v>
      </c>
      <c r="D1722" s="34" t="s">
        <v>104</v>
      </c>
      <c r="E1722" s="34" t="s">
        <v>93</v>
      </c>
      <c r="F1722" s="35">
        <v>39</v>
      </c>
      <c r="G1722" s="37">
        <v>38.19</v>
      </c>
      <c r="H1722" s="32">
        <f t="shared" si="32"/>
        <v>1489.4099999999999</v>
      </c>
    </row>
    <row r="1723" spans="2:8">
      <c r="B1723" s="28">
        <v>10141</v>
      </c>
      <c r="C1723" s="34" t="s">
        <v>208</v>
      </c>
      <c r="D1723" s="34" t="s">
        <v>104</v>
      </c>
      <c r="E1723" s="34" t="s">
        <v>93</v>
      </c>
      <c r="F1723" s="35">
        <v>21</v>
      </c>
      <c r="G1723" s="37">
        <v>42.43</v>
      </c>
      <c r="H1723" s="32">
        <f t="shared" si="32"/>
        <v>891.03</v>
      </c>
    </row>
    <row r="1724" spans="2:8">
      <c r="B1724" s="28">
        <v>10151</v>
      </c>
      <c r="C1724" s="34" t="s">
        <v>208</v>
      </c>
      <c r="D1724" s="34" t="s">
        <v>104</v>
      </c>
      <c r="E1724" s="34" t="s">
        <v>93</v>
      </c>
      <c r="F1724" s="35">
        <v>30</v>
      </c>
      <c r="G1724" s="37">
        <v>40.31</v>
      </c>
      <c r="H1724" s="32">
        <f t="shared" si="32"/>
        <v>1209.3000000000002</v>
      </c>
    </row>
    <row r="1725" spans="2:8">
      <c r="B1725" s="28">
        <v>10165</v>
      </c>
      <c r="C1725" s="34" t="s">
        <v>287</v>
      </c>
      <c r="D1725" s="34" t="s">
        <v>104</v>
      </c>
      <c r="E1725" s="34" t="s">
        <v>93</v>
      </c>
      <c r="F1725" s="35">
        <v>27</v>
      </c>
      <c r="G1725" s="37">
        <v>31.82</v>
      </c>
      <c r="H1725" s="32">
        <f t="shared" si="32"/>
        <v>859.14</v>
      </c>
    </row>
    <row r="1726" spans="2:8">
      <c r="B1726" s="28">
        <v>10175</v>
      </c>
      <c r="C1726" s="34" t="s">
        <v>252</v>
      </c>
      <c r="D1726" s="34" t="s">
        <v>104</v>
      </c>
      <c r="E1726" s="34" t="s">
        <v>93</v>
      </c>
      <c r="F1726" s="35">
        <v>37</v>
      </c>
      <c r="G1726" s="37">
        <v>31.12</v>
      </c>
      <c r="H1726" s="32">
        <f t="shared" si="32"/>
        <v>1151.44</v>
      </c>
    </row>
    <row r="1727" spans="2:8">
      <c r="B1727" s="28">
        <v>10184</v>
      </c>
      <c r="C1727" s="34" t="s">
        <v>261</v>
      </c>
      <c r="D1727" s="34" t="s">
        <v>104</v>
      </c>
      <c r="E1727" s="34" t="s">
        <v>93</v>
      </c>
      <c r="F1727" s="35">
        <v>42</v>
      </c>
      <c r="G1727" s="37">
        <v>31.82</v>
      </c>
      <c r="H1727" s="32">
        <f t="shared" si="32"/>
        <v>1336.44</v>
      </c>
    </row>
    <row r="1728" spans="2:8">
      <c r="B1728" s="28">
        <v>10195</v>
      </c>
      <c r="C1728" s="34" t="s">
        <v>100</v>
      </c>
      <c r="D1728" s="34" t="s">
        <v>104</v>
      </c>
      <c r="E1728" s="34" t="s">
        <v>93</v>
      </c>
      <c r="F1728" s="35">
        <v>32</v>
      </c>
      <c r="G1728" s="37">
        <v>28.29</v>
      </c>
      <c r="H1728" s="32">
        <f t="shared" si="32"/>
        <v>905.28</v>
      </c>
    </row>
    <row r="1729" spans="2:8">
      <c r="B1729" s="28">
        <v>10207</v>
      </c>
      <c r="C1729" s="34" t="s">
        <v>100</v>
      </c>
      <c r="D1729" s="34" t="s">
        <v>104</v>
      </c>
      <c r="E1729" s="34" t="s">
        <v>93</v>
      </c>
      <c r="F1729" s="35">
        <v>42</v>
      </c>
      <c r="G1729" s="37">
        <v>29.7</v>
      </c>
      <c r="H1729" s="32">
        <f t="shared" si="32"/>
        <v>1247.3999999999999</v>
      </c>
    </row>
    <row r="1730" spans="2:8">
      <c r="B1730" s="28">
        <v>10219</v>
      </c>
      <c r="C1730" s="34" t="s">
        <v>100</v>
      </c>
      <c r="D1730" s="34" t="s">
        <v>104</v>
      </c>
      <c r="E1730" s="34" t="s">
        <v>93</v>
      </c>
      <c r="F1730" s="35">
        <v>21</v>
      </c>
      <c r="G1730" s="37">
        <v>40.31</v>
      </c>
      <c r="H1730" s="32">
        <f t="shared" si="32"/>
        <v>846.51</v>
      </c>
    </row>
    <row r="1731" spans="2:8">
      <c r="B1731" s="28">
        <v>10229</v>
      </c>
      <c r="C1731" s="34" t="s">
        <v>100</v>
      </c>
      <c r="D1731" s="34" t="s">
        <v>104</v>
      </c>
      <c r="E1731" s="34" t="s">
        <v>93</v>
      </c>
      <c r="F1731" s="35">
        <v>33</v>
      </c>
      <c r="G1731" s="37">
        <v>32.880000000000003</v>
      </c>
      <c r="H1731" s="32">
        <f t="shared" si="32"/>
        <v>1085.0400000000002</v>
      </c>
    </row>
    <row r="1732" spans="2:8">
      <c r="B1732" s="28">
        <v>10246</v>
      </c>
      <c r="C1732" s="34" t="s">
        <v>261</v>
      </c>
      <c r="D1732" s="34" t="s">
        <v>104</v>
      </c>
      <c r="E1732" s="34" t="s">
        <v>93</v>
      </c>
      <c r="F1732" s="35">
        <v>49</v>
      </c>
      <c r="G1732" s="37">
        <v>36.07</v>
      </c>
      <c r="H1732" s="32">
        <f t="shared" si="32"/>
        <v>1767.43</v>
      </c>
    </row>
    <row r="1733" spans="2:8">
      <c r="B1733" s="28">
        <v>10259</v>
      </c>
      <c r="C1733" s="34" t="s">
        <v>287</v>
      </c>
      <c r="D1733" s="34" t="s">
        <v>104</v>
      </c>
      <c r="E1733" s="34" t="s">
        <v>93</v>
      </c>
      <c r="F1733" s="35">
        <v>31</v>
      </c>
      <c r="G1733" s="37">
        <v>33.24</v>
      </c>
      <c r="H1733" s="32">
        <f t="shared" ref="H1733:H1796" si="33">F1733*G1733</f>
        <v>1030.44</v>
      </c>
    </row>
    <row r="1734" spans="2:8">
      <c r="B1734" s="28">
        <v>10271</v>
      </c>
      <c r="C1734" s="34" t="s">
        <v>100</v>
      </c>
      <c r="D1734" s="34" t="s">
        <v>104</v>
      </c>
      <c r="E1734" s="34" t="s">
        <v>93</v>
      </c>
      <c r="F1734" s="35">
        <v>38</v>
      </c>
      <c r="G1734" s="37">
        <v>41.72</v>
      </c>
      <c r="H1734" s="32">
        <f t="shared" si="33"/>
        <v>1585.36</v>
      </c>
    </row>
    <row r="1735" spans="2:8">
      <c r="B1735" s="28">
        <v>10281</v>
      </c>
      <c r="C1735" s="34" t="s">
        <v>100</v>
      </c>
      <c r="D1735" s="34" t="s">
        <v>104</v>
      </c>
      <c r="E1735" s="34" t="s">
        <v>93</v>
      </c>
      <c r="F1735" s="35">
        <v>20</v>
      </c>
      <c r="G1735" s="37">
        <v>40.659999999999997</v>
      </c>
      <c r="H1735" s="32">
        <f t="shared" si="33"/>
        <v>813.19999999999993</v>
      </c>
    </row>
    <row r="1736" spans="2:8">
      <c r="B1736" s="28">
        <v>10292</v>
      </c>
      <c r="C1736" s="34" t="s">
        <v>100</v>
      </c>
      <c r="D1736" s="34" t="s">
        <v>104</v>
      </c>
      <c r="E1736" s="34" t="s">
        <v>93</v>
      </c>
      <c r="F1736" s="35">
        <v>39</v>
      </c>
      <c r="G1736" s="37">
        <v>30.06</v>
      </c>
      <c r="H1736" s="32">
        <f t="shared" si="33"/>
        <v>1172.3399999999999</v>
      </c>
    </row>
    <row r="1737" spans="2:8">
      <c r="B1737" s="28">
        <v>10305</v>
      </c>
      <c r="C1737" s="34" t="s">
        <v>100</v>
      </c>
      <c r="D1737" s="34" t="s">
        <v>104</v>
      </c>
      <c r="E1737" s="34" t="s">
        <v>93</v>
      </c>
      <c r="F1737" s="35">
        <v>48</v>
      </c>
      <c r="G1737" s="37">
        <v>31.47</v>
      </c>
      <c r="H1737" s="32">
        <f t="shared" si="33"/>
        <v>1510.56</v>
      </c>
    </row>
    <row r="1738" spans="2:8">
      <c r="B1738" s="28">
        <v>10314</v>
      </c>
      <c r="C1738" s="34" t="s">
        <v>429</v>
      </c>
      <c r="D1738" s="34" t="s">
        <v>104</v>
      </c>
      <c r="E1738" s="34" t="s">
        <v>93</v>
      </c>
      <c r="F1738" s="35">
        <v>39</v>
      </c>
      <c r="G1738" s="37">
        <v>37.130000000000003</v>
      </c>
      <c r="H1738" s="32">
        <f t="shared" si="33"/>
        <v>1448.0700000000002</v>
      </c>
    </row>
    <row r="1739" spans="2:8">
      <c r="B1739" s="28">
        <v>10324</v>
      </c>
      <c r="C1739" s="34" t="s">
        <v>100</v>
      </c>
      <c r="D1739" s="34" t="s">
        <v>119</v>
      </c>
      <c r="E1739" s="34" t="s">
        <v>93</v>
      </c>
      <c r="F1739" s="35">
        <v>30</v>
      </c>
      <c r="G1739" s="37">
        <v>100</v>
      </c>
      <c r="H1739" s="32">
        <f t="shared" si="33"/>
        <v>3000</v>
      </c>
    </row>
    <row r="1740" spans="2:8">
      <c r="B1740" s="28">
        <v>10335</v>
      </c>
      <c r="C1740" s="34" t="s">
        <v>100</v>
      </c>
      <c r="D1740" s="34" t="s">
        <v>104</v>
      </c>
      <c r="E1740" s="34" t="s">
        <v>93</v>
      </c>
      <c r="F1740" s="35">
        <v>33</v>
      </c>
      <c r="G1740" s="37">
        <v>37.130000000000003</v>
      </c>
      <c r="H1740" s="32">
        <f t="shared" si="33"/>
        <v>1225.2900000000002</v>
      </c>
    </row>
    <row r="1741" spans="2:8">
      <c r="B1741" s="28">
        <v>10349</v>
      </c>
      <c r="C1741" s="34" t="s">
        <v>100</v>
      </c>
      <c r="D1741" s="34" t="s">
        <v>104</v>
      </c>
      <c r="E1741" s="34" t="s">
        <v>93</v>
      </c>
      <c r="F1741" s="35">
        <v>36</v>
      </c>
      <c r="G1741" s="37">
        <v>37.130000000000003</v>
      </c>
      <c r="H1741" s="32">
        <f t="shared" si="33"/>
        <v>1336.68</v>
      </c>
    </row>
    <row r="1742" spans="2:8">
      <c r="B1742" s="28">
        <v>10358</v>
      </c>
      <c r="C1742" s="34" t="s">
        <v>261</v>
      </c>
      <c r="D1742" s="34" t="s">
        <v>104</v>
      </c>
      <c r="E1742" s="34" t="s">
        <v>93</v>
      </c>
      <c r="F1742" s="35">
        <v>36</v>
      </c>
      <c r="G1742" s="37">
        <v>82.94</v>
      </c>
      <c r="H1742" s="32">
        <f t="shared" si="33"/>
        <v>2985.84</v>
      </c>
    </row>
    <row r="1743" spans="2:8">
      <c r="B1743" s="28">
        <v>10371</v>
      </c>
      <c r="C1743" s="34" t="s">
        <v>100</v>
      </c>
      <c r="D1743" s="34" t="s">
        <v>119</v>
      </c>
      <c r="E1743" s="34" t="s">
        <v>93</v>
      </c>
      <c r="F1743" s="35">
        <v>45</v>
      </c>
      <c r="G1743" s="37">
        <v>100</v>
      </c>
      <c r="H1743" s="32">
        <f t="shared" si="33"/>
        <v>4500</v>
      </c>
    </row>
    <row r="1744" spans="2:8">
      <c r="B1744" s="28">
        <v>10383</v>
      </c>
      <c r="C1744" s="34" t="s">
        <v>261</v>
      </c>
      <c r="D1744" s="34" t="s">
        <v>119</v>
      </c>
      <c r="E1744" s="34" t="s">
        <v>93</v>
      </c>
      <c r="F1744" s="35">
        <v>40</v>
      </c>
      <c r="G1744" s="37">
        <v>100</v>
      </c>
      <c r="H1744" s="32">
        <f t="shared" si="33"/>
        <v>4000</v>
      </c>
    </row>
    <row r="1745" spans="2:8">
      <c r="B1745" s="28">
        <v>10394</v>
      </c>
      <c r="C1745" s="34" t="s">
        <v>261</v>
      </c>
      <c r="D1745" s="34" t="s">
        <v>104</v>
      </c>
      <c r="E1745" s="34" t="s">
        <v>93</v>
      </c>
      <c r="F1745" s="35">
        <v>46</v>
      </c>
      <c r="G1745" s="37">
        <v>38.9</v>
      </c>
      <c r="H1745" s="32">
        <f t="shared" si="33"/>
        <v>1789.3999999999999</v>
      </c>
    </row>
    <row r="1746" spans="2:8">
      <c r="B1746" s="28">
        <v>10412</v>
      </c>
      <c r="C1746" s="34" t="s">
        <v>261</v>
      </c>
      <c r="D1746" s="34" t="s">
        <v>104</v>
      </c>
      <c r="E1746" s="34" t="s">
        <v>93</v>
      </c>
      <c r="F1746" s="35">
        <v>30</v>
      </c>
      <c r="G1746" s="37">
        <v>36.07</v>
      </c>
      <c r="H1746" s="32">
        <f t="shared" si="33"/>
        <v>1082.0999999999999</v>
      </c>
    </row>
    <row r="1747" spans="2:8">
      <c r="B1747" s="28">
        <v>10425</v>
      </c>
      <c r="C1747" s="34" t="s">
        <v>109</v>
      </c>
      <c r="D1747" s="34" t="s">
        <v>104</v>
      </c>
      <c r="E1747" s="34" t="s">
        <v>400</v>
      </c>
      <c r="F1747" s="35">
        <v>31</v>
      </c>
      <c r="G1747" s="37">
        <v>33.24</v>
      </c>
      <c r="H1747" s="32">
        <f t="shared" si="33"/>
        <v>1030.44</v>
      </c>
    </row>
    <row r="1748" spans="2:8">
      <c r="B1748" s="28">
        <v>10106</v>
      </c>
      <c r="C1748" s="34" t="s">
        <v>352</v>
      </c>
      <c r="D1748" s="34" t="s">
        <v>119</v>
      </c>
      <c r="E1748" s="34" t="s">
        <v>93</v>
      </c>
      <c r="F1748" s="35">
        <v>49</v>
      </c>
      <c r="G1748" s="37">
        <v>74.680000000000007</v>
      </c>
      <c r="H1748" s="32">
        <f t="shared" si="33"/>
        <v>3659.32</v>
      </c>
    </row>
    <row r="1749" spans="2:8">
      <c r="B1749" s="28">
        <v>10119</v>
      </c>
      <c r="C1749" s="34" t="s">
        <v>229</v>
      </c>
      <c r="D1749" s="34" t="s">
        <v>104</v>
      </c>
      <c r="E1749" s="34" t="s">
        <v>93</v>
      </c>
      <c r="F1749" s="35">
        <v>41</v>
      </c>
      <c r="G1749" s="37">
        <v>59.6</v>
      </c>
      <c r="H1749" s="32">
        <f t="shared" si="33"/>
        <v>2443.6</v>
      </c>
    </row>
    <row r="1750" spans="2:8">
      <c r="B1750" s="28">
        <v>10131</v>
      </c>
      <c r="C1750" s="34" t="s">
        <v>100</v>
      </c>
      <c r="D1750" s="34" t="s">
        <v>104</v>
      </c>
      <c r="E1750" s="34" t="s">
        <v>93</v>
      </c>
      <c r="F1750" s="35">
        <v>35</v>
      </c>
      <c r="G1750" s="37">
        <v>67.14</v>
      </c>
      <c r="H1750" s="32">
        <f t="shared" si="33"/>
        <v>2349.9</v>
      </c>
    </row>
    <row r="1751" spans="2:8">
      <c r="B1751" s="28">
        <v>10143</v>
      </c>
      <c r="C1751" s="34" t="s">
        <v>100</v>
      </c>
      <c r="D1751" s="34" t="s">
        <v>104</v>
      </c>
      <c r="E1751" s="34" t="s">
        <v>93</v>
      </c>
      <c r="F1751" s="35">
        <v>27</v>
      </c>
      <c r="G1751" s="37">
        <v>60.97</v>
      </c>
      <c r="H1751" s="32">
        <f t="shared" si="33"/>
        <v>1646.19</v>
      </c>
    </row>
    <row r="1752" spans="2:8">
      <c r="B1752" s="28">
        <v>10155</v>
      </c>
      <c r="C1752" s="34" t="s">
        <v>208</v>
      </c>
      <c r="D1752" s="34" t="s">
        <v>104</v>
      </c>
      <c r="E1752" s="34" t="s">
        <v>93</v>
      </c>
      <c r="F1752" s="35">
        <v>23</v>
      </c>
      <c r="G1752" s="37">
        <v>72.62</v>
      </c>
      <c r="H1752" s="32">
        <f t="shared" si="33"/>
        <v>1670.2600000000002</v>
      </c>
    </row>
    <row r="1753" spans="2:8">
      <c r="B1753" s="28">
        <v>10167</v>
      </c>
      <c r="C1753" s="34" t="s">
        <v>273</v>
      </c>
      <c r="D1753" s="34" t="s">
        <v>104</v>
      </c>
      <c r="E1753" s="34" t="s">
        <v>444</v>
      </c>
      <c r="F1753" s="35">
        <v>21</v>
      </c>
      <c r="G1753" s="37">
        <v>69.88</v>
      </c>
      <c r="H1753" s="32">
        <f t="shared" si="33"/>
        <v>1467.48</v>
      </c>
    </row>
    <row r="1754" spans="2:8">
      <c r="B1754" s="28">
        <v>10178</v>
      </c>
      <c r="C1754" s="34" t="s">
        <v>109</v>
      </c>
      <c r="D1754" s="34" t="s">
        <v>104</v>
      </c>
      <c r="E1754" s="34" t="s">
        <v>93</v>
      </c>
      <c r="F1754" s="35">
        <v>34</v>
      </c>
      <c r="G1754" s="37">
        <v>80.84</v>
      </c>
      <c r="H1754" s="32">
        <f t="shared" si="33"/>
        <v>2748.56</v>
      </c>
    </row>
    <row r="1755" spans="2:8">
      <c r="B1755" s="28">
        <v>10186</v>
      </c>
      <c r="C1755" s="34" t="s">
        <v>252</v>
      </c>
      <c r="D1755" s="34" t="s">
        <v>104</v>
      </c>
      <c r="E1755" s="34" t="s">
        <v>93</v>
      </c>
      <c r="F1755" s="35">
        <v>22</v>
      </c>
      <c r="G1755" s="37">
        <v>69.2</v>
      </c>
      <c r="H1755" s="32">
        <f t="shared" si="33"/>
        <v>1522.4</v>
      </c>
    </row>
    <row r="1756" spans="2:8">
      <c r="B1756" s="28">
        <v>10198</v>
      </c>
      <c r="C1756" s="34" t="s">
        <v>552</v>
      </c>
      <c r="D1756" s="34" t="s">
        <v>119</v>
      </c>
      <c r="E1756" s="34" t="s">
        <v>93</v>
      </c>
      <c r="F1756" s="35">
        <v>48</v>
      </c>
      <c r="G1756" s="37">
        <v>67.819999999999993</v>
      </c>
      <c r="H1756" s="32">
        <f t="shared" si="33"/>
        <v>3255.3599999999997</v>
      </c>
    </row>
    <row r="1757" spans="2:8">
      <c r="B1757" s="28">
        <v>10209</v>
      </c>
      <c r="C1757" s="34" t="s">
        <v>100</v>
      </c>
      <c r="D1757" s="34" t="s">
        <v>119</v>
      </c>
      <c r="E1757" s="34" t="s">
        <v>93</v>
      </c>
      <c r="F1757" s="35">
        <v>43</v>
      </c>
      <c r="G1757" s="37">
        <v>82.21</v>
      </c>
      <c r="H1757" s="32">
        <f t="shared" si="33"/>
        <v>3535.0299999999997</v>
      </c>
    </row>
    <row r="1758" spans="2:8">
      <c r="B1758" s="28">
        <v>10222</v>
      </c>
      <c r="C1758" s="34" t="s">
        <v>100</v>
      </c>
      <c r="D1758" s="34" t="s">
        <v>104</v>
      </c>
      <c r="E1758" s="34" t="s">
        <v>93</v>
      </c>
      <c r="F1758" s="35">
        <v>32</v>
      </c>
      <c r="G1758" s="37">
        <v>81.53</v>
      </c>
      <c r="H1758" s="32">
        <f t="shared" si="33"/>
        <v>2608.96</v>
      </c>
    </row>
    <row r="1759" spans="2:8">
      <c r="B1759" s="28">
        <v>10249</v>
      </c>
      <c r="C1759" s="34" t="s">
        <v>100</v>
      </c>
      <c r="D1759" s="34" t="s">
        <v>104</v>
      </c>
      <c r="E1759" s="34" t="s">
        <v>93</v>
      </c>
      <c r="F1759" s="35">
        <v>20</v>
      </c>
      <c r="G1759" s="37">
        <v>67.819999999999993</v>
      </c>
      <c r="H1759" s="32">
        <f t="shared" si="33"/>
        <v>1356.3999999999999</v>
      </c>
    </row>
    <row r="1760" spans="2:8">
      <c r="B1760" s="28">
        <v>10262</v>
      </c>
      <c r="C1760" s="34" t="s">
        <v>261</v>
      </c>
      <c r="D1760" s="34" t="s">
        <v>104</v>
      </c>
      <c r="E1760" s="34" t="s">
        <v>444</v>
      </c>
      <c r="F1760" s="35">
        <v>24</v>
      </c>
      <c r="G1760" s="37">
        <v>67.14</v>
      </c>
      <c r="H1760" s="32">
        <f t="shared" si="33"/>
        <v>1611.3600000000001</v>
      </c>
    </row>
    <row r="1761" spans="2:8">
      <c r="B1761" s="28">
        <v>10274</v>
      </c>
      <c r="C1761" s="34" t="s">
        <v>100</v>
      </c>
      <c r="D1761" s="34" t="s">
        <v>104</v>
      </c>
      <c r="E1761" s="34" t="s">
        <v>93</v>
      </c>
      <c r="F1761" s="35">
        <v>40</v>
      </c>
      <c r="G1761" s="37">
        <v>65.08</v>
      </c>
      <c r="H1761" s="32">
        <f t="shared" si="33"/>
        <v>2603.1999999999998</v>
      </c>
    </row>
    <row r="1762" spans="2:8">
      <c r="B1762" s="28">
        <v>10284</v>
      </c>
      <c r="C1762" s="34" t="s">
        <v>149</v>
      </c>
      <c r="D1762" s="34" t="s">
        <v>104</v>
      </c>
      <c r="E1762" s="34" t="s">
        <v>93</v>
      </c>
      <c r="F1762" s="35">
        <v>30</v>
      </c>
      <c r="G1762" s="37">
        <v>73.989999999999995</v>
      </c>
      <c r="H1762" s="32">
        <f t="shared" si="33"/>
        <v>2219.6999999999998</v>
      </c>
    </row>
    <row r="1763" spans="2:8">
      <c r="B1763" s="28">
        <v>10296</v>
      </c>
      <c r="C1763" s="34" t="s">
        <v>566</v>
      </c>
      <c r="D1763" s="34" t="s">
        <v>104</v>
      </c>
      <c r="E1763" s="34" t="s">
        <v>93</v>
      </c>
      <c r="F1763" s="35">
        <v>21</v>
      </c>
      <c r="G1763" s="37">
        <v>71.25</v>
      </c>
      <c r="H1763" s="32">
        <f t="shared" si="33"/>
        <v>1496.25</v>
      </c>
    </row>
    <row r="1764" spans="2:8">
      <c r="B1764" s="28">
        <v>10307</v>
      </c>
      <c r="C1764" s="34" t="s">
        <v>100</v>
      </c>
      <c r="D1764" s="34" t="s">
        <v>104</v>
      </c>
      <c r="E1764" s="34" t="s">
        <v>93</v>
      </c>
      <c r="F1764" s="35">
        <v>25</v>
      </c>
      <c r="G1764" s="37">
        <v>75.36</v>
      </c>
      <c r="H1764" s="32">
        <f t="shared" si="33"/>
        <v>1884</v>
      </c>
    </row>
    <row r="1765" spans="2:8">
      <c r="B1765" s="28">
        <v>10316</v>
      </c>
      <c r="C1765" s="34" t="s">
        <v>252</v>
      </c>
      <c r="D1765" s="34" t="s">
        <v>104</v>
      </c>
      <c r="E1765" s="34" t="s">
        <v>93</v>
      </c>
      <c r="F1765" s="35">
        <v>34</v>
      </c>
      <c r="G1765" s="37">
        <v>63.71</v>
      </c>
      <c r="H1765" s="32">
        <f t="shared" si="33"/>
        <v>2166.14</v>
      </c>
    </row>
    <row r="1766" spans="2:8">
      <c r="B1766" s="28">
        <v>10328</v>
      </c>
      <c r="C1766" s="34" t="s">
        <v>352</v>
      </c>
      <c r="D1766" s="34" t="s">
        <v>104</v>
      </c>
      <c r="E1766" s="34" t="s">
        <v>93</v>
      </c>
      <c r="F1766" s="35">
        <v>48</v>
      </c>
      <c r="G1766" s="37">
        <v>58.92</v>
      </c>
      <c r="H1766" s="32">
        <f t="shared" si="33"/>
        <v>2828.16</v>
      </c>
    </row>
    <row r="1767" spans="2:8">
      <c r="B1767" s="28">
        <v>10339</v>
      </c>
      <c r="C1767" s="34" t="s">
        <v>288</v>
      </c>
      <c r="D1767" s="34" t="s">
        <v>119</v>
      </c>
      <c r="E1767" s="34" t="s">
        <v>93</v>
      </c>
      <c r="F1767" s="35">
        <v>55</v>
      </c>
      <c r="G1767" s="37">
        <v>100</v>
      </c>
      <c r="H1767" s="32">
        <f t="shared" si="33"/>
        <v>5500</v>
      </c>
    </row>
    <row r="1768" spans="2:8">
      <c r="B1768" s="28">
        <v>10351</v>
      </c>
      <c r="C1768" s="34" t="s">
        <v>252</v>
      </c>
      <c r="D1768" s="34" t="s">
        <v>104</v>
      </c>
      <c r="E1768" s="34" t="s">
        <v>93</v>
      </c>
      <c r="F1768" s="35">
        <v>25</v>
      </c>
      <c r="G1768" s="37">
        <v>74.680000000000007</v>
      </c>
      <c r="H1768" s="32">
        <f t="shared" si="33"/>
        <v>1867.0000000000002</v>
      </c>
    </row>
    <row r="1769" spans="2:8">
      <c r="B1769" s="28">
        <v>10373</v>
      </c>
      <c r="C1769" s="34" t="s">
        <v>208</v>
      </c>
      <c r="D1769" s="34" t="s">
        <v>104</v>
      </c>
      <c r="E1769" s="34" t="s">
        <v>93</v>
      </c>
      <c r="F1769" s="35">
        <v>38</v>
      </c>
      <c r="G1769" s="37">
        <v>70.44</v>
      </c>
      <c r="H1769" s="32">
        <f t="shared" si="33"/>
        <v>2676.72</v>
      </c>
    </row>
    <row r="1770" spans="2:8">
      <c r="B1770" s="28">
        <v>10386</v>
      </c>
      <c r="C1770" s="34" t="s">
        <v>261</v>
      </c>
      <c r="D1770" s="34" t="s">
        <v>104</v>
      </c>
      <c r="E1770" s="34" t="s">
        <v>526</v>
      </c>
      <c r="F1770" s="35">
        <v>39</v>
      </c>
      <c r="G1770" s="37">
        <v>55.96</v>
      </c>
      <c r="H1770" s="32">
        <f t="shared" si="33"/>
        <v>2182.44</v>
      </c>
    </row>
    <row r="1771" spans="2:8">
      <c r="B1771" s="28">
        <v>10398</v>
      </c>
      <c r="C1771" s="34" t="s">
        <v>109</v>
      </c>
      <c r="D1771" s="34" t="s">
        <v>104</v>
      </c>
      <c r="E1771" s="34" t="s">
        <v>93</v>
      </c>
      <c r="F1771" s="35">
        <v>28</v>
      </c>
      <c r="G1771" s="37">
        <v>57.55</v>
      </c>
      <c r="H1771" s="32">
        <f t="shared" si="33"/>
        <v>1611.3999999999999</v>
      </c>
    </row>
    <row r="1772" spans="2:8">
      <c r="B1772" s="28">
        <v>10400</v>
      </c>
      <c r="C1772" s="34" t="s">
        <v>100</v>
      </c>
      <c r="D1772" s="34" t="s">
        <v>104</v>
      </c>
      <c r="E1772" s="34" t="s">
        <v>93</v>
      </c>
      <c r="F1772" s="35">
        <v>24</v>
      </c>
      <c r="G1772" s="37">
        <v>61.66</v>
      </c>
      <c r="H1772" s="32">
        <f t="shared" si="33"/>
        <v>1479.84</v>
      </c>
    </row>
    <row r="1773" spans="2:8">
      <c r="B1773" s="28">
        <v>10415</v>
      </c>
      <c r="C1773" s="34" t="s">
        <v>168</v>
      </c>
      <c r="D1773" s="34" t="s">
        <v>104</v>
      </c>
      <c r="E1773" s="34" t="s">
        <v>256</v>
      </c>
      <c r="F1773" s="35">
        <v>21</v>
      </c>
      <c r="G1773" s="37">
        <v>67.819999999999993</v>
      </c>
      <c r="H1773" s="32">
        <f t="shared" si="33"/>
        <v>1424.2199999999998</v>
      </c>
    </row>
    <row r="1774" spans="2:8">
      <c r="B1774" s="28">
        <v>10110</v>
      </c>
      <c r="C1774" s="34" t="s">
        <v>252</v>
      </c>
      <c r="D1774" s="34" t="s">
        <v>119</v>
      </c>
      <c r="E1774" s="34" t="s">
        <v>93</v>
      </c>
      <c r="F1774" s="35">
        <v>46</v>
      </c>
      <c r="G1774" s="37">
        <v>100</v>
      </c>
      <c r="H1774" s="32">
        <f t="shared" si="33"/>
        <v>4600</v>
      </c>
    </row>
    <row r="1775" spans="2:8">
      <c r="B1775" s="28">
        <v>10124</v>
      </c>
      <c r="C1775" s="34" t="s">
        <v>100</v>
      </c>
      <c r="D1775" s="34" t="s">
        <v>104</v>
      </c>
      <c r="E1775" s="34" t="s">
        <v>93</v>
      </c>
      <c r="F1775" s="35">
        <v>25</v>
      </c>
      <c r="G1775" s="37">
        <v>93.95</v>
      </c>
      <c r="H1775" s="32">
        <f t="shared" si="33"/>
        <v>2348.75</v>
      </c>
    </row>
    <row r="1776" spans="2:8">
      <c r="B1776" s="28">
        <v>10148</v>
      </c>
      <c r="C1776" s="34" t="s">
        <v>168</v>
      </c>
      <c r="D1776" s="34" t="s">
        <v>119</v>
      </c>
      <c r="E1776" s="34" t="s">
        <v>93</v>
      </c>
      <c r="F1776" s="35">
        <v>34</v>
      </c>
      <c r="G1776" s="37">
        <v>100</v>
      </c>
      <c r="H1776" s="32">
        <f t="shared" si="33"/>
        <v>3400</v>
      </c>
    </row>
    <row r="1777" spans="2:8">
      <c r="B1777" s="28">
        <v>10161</v>
      </c>
      <c r="C1777" s="34" t="s">
        <v>429</v>
      </c>
      <c r="D1777" s="34" t="s">
        <v>104</v>
      </c>
      <c r="E1777" s="34" t="s">
        <v>93</v>
      </c>
      <c r="F1777" s="35">
        <v>25</v>
      </c>
      <c r="G1777" s="37">
        <v>100</v>
      </c>
      <c r="H1777" s="32">
        <f t="shared" si="33"/>
        <v>2500</v>
      </c>
    </row>
    <row r="1778" spans="2:8">
      <c r="B1778" s="28">
        <v>10173</v>
      </c>
      <c r="C1778" s="34" t="s">
        <v>352</v>
      </c>
      <c r="D1778" s="34" t="s">
        <v>104</v>
      </c>
      <c r="E1778" s="34" t="s">
        <v>93</v>
      </c>
      <c r="F1778" s="35">
        <v>23</v>
      </c>
      <c r="G1778" s="37">
        <v>100</v>
      </c>
      <c r="H1778" s="32">
        <f t="shared" si="33"/>
        <v>2300</v>
      </c>
    </row>
    <row r="1779" spans="2:8">
      <c r="B1779" s="28">
        <v>10182</v>
      </c>
      <c r="C1779" s="34" t="s">
        <v>100</v>
      </c>
      <c r="D1779" s="34" t="s">
        <v>104</v>
      </c>
      <c r="E1779" s="34" t="s">
        <v>93</v>
      </c>
      <c r="F1779" s="35">
        <v>20</v>
      </c>
      <c r="G1779" s="37">
        <v>100</v>
      </c>
      <c r="H1779" s="32">
        <f t="shared" si="33"/>
        <v>2000</v>
      </c>
    </row>
    <row r="1780" spans="2:8">
      <c r="B1780" s="28">
        <v>10192</v>
      </c>
      <c r="C1780" s="34" t="s">
        <v>100</v>
      </c>
      <c r="D1780" s="34" t="s">
        <v>119</v>
      </c>
      <c r="E1780" s="34" t="s">
        <v>93</v>
      </c>
      <c r="F1780" s="35">
        <v>23</v>
      </c>
      <c r="G1780" s="37">
        <v>100</v>
      </c>
      <c r="H1780" s="32">
        <f t="shared" si="33"/>
        <v>2300</v>
      </c>
    </row>
    <row r="1781" spans="2:8">
      <c r="B1781" s="28">
        <v>10204</v>
      </c>
      <c r="C1781" s="34" t="s">
        <v>100</v>
      </c>
      <c r="D1781" s="34" t="s">
        <v>119</v>
      </c>
      <c r="E1781" s="34" t="s">
        <v>93</v>
      </c>
      <c r="F1781" s="35">
        <v>42</v>
      </c>
      <c r="G1781" s="37">
        <v>100</v>
      </c>
      <c r="H1781" s="32">
        <f t="shared" si="33"/>
        <v>4200</v>
      </c>
    </row>
    <row r="1782" spans="2:8">
      <c r="B1782" s="28">
        <v>10213</v>
      </c>
      <c r="C1782" s="34" t="s">
        <v>252</v>
      </c>
      <c r="D1782" s="34" t="s">
        <v>104</v>
      </c>
      <c r="E1782" s="34" t="s">
        <v>93</v>
      </c>
      <c r="F1782" s="35">
        <v>27</v>
      </c>
      <c r="G1782" s="37">
        <v>100</v>
      </c>
      <c r="H1782" s="32">
        <f t="shared" si="33"/>
        <v>2700</v>
      </c>
    </row>
    <row r="1783" spans="2:8">
      <c r="B1783" s="28">
        <v>10227</v>
      </c>
      <c r="C1783" s="34" t="s">
        <v>109</v>
      </c>
      <c r="D1783" s="34" t="s">
        <v>119</v>
      </c>
      <c r="E1783" s="34" t="s">
        <v>93</v>
      </c>
      <c r="F1783" s="35">
        <v>33</v>
      </c>
      <c r="G1783" s="37">
        <v>100</v>
      </c>
      <c r="H1783" s="32">
        <f t="shared" si="33"/>
        <v>3300</v>
      </c>
    </row>
    <row r="1784" spans="2:8">
      <c r="B1784" s="28">
        <v>10241</v>
      </c>
      <c r="C1784" s="34" t="s">
        <v>109</v>
      </c>
      <c r="D1784" s="34" t="s">
        <v>104</v>
      </c>
      <c r="E1784" s="34" t="s">
        <v>93</v>
      </c>
      <c r="F1784" s="35">
        <v>28</v>
      </c>
      <c r="G1784" s="37">
        <v>98.65</v>
      </c>
      <c r="H1784" s="32">
        <f t="shared" si="33"/>
        <v>2762.2000000000003</v>
      </c>
    </row>
    <row r="1785" spans="2:8">
      <c r="B1785" s="28">
        <v>10267</v>
      </c>
      <c r="C1785" s="34" t="s">
        <v>100</v>
      </c>
      <c r="D1785" s="34" t="s">
        <v>119</v>
      </c>
      <c r="E1785" s="34" t="s">
        <v>93</v>
      </c>
      <c r="F1785" s="35">
        <v>43</v>
      </c>
      <c r="G1785" s="37">
        <v>100</v>
      </c>
      <c r="H1785" s="32">
        <f t="shared" si="33"/>
        <v>4300</v>
      </c>
    </row>
    <row r="1786" spans="2:8">
      <c r="B1786" s="28">
        <v>10279</v>
      </c>
      <c r="C1786" s="34" t="s">
        <v>261</v>
      </c>
      <c r="D1786" s="34" t="s">
        <v>119</v>
      </c>
      <c r="E1786" s="34" t="s">
        <v>93</v>
      </c>
      <c r="F1786" s="35">
        <v>48</v>
      </c>
      <c r="G1786" s="37">
        <v>100</v>
      </c>
      <c r="H1786" s="32">
        <f t="shared" si="33"/>
        <v>4800</v>
      </c>
    </row>
    <row r="1787" spans="2:8">
      <c r="B1787" s="28">
        <v>10288</v>
      </c>
      <c r="C1787" s="34" t="s">
        <v>287</v>
      </c>
      <c r="D1787" s="34" t="s">
        <v>119</v>
      </c>
      <c r="E1787" s="34" t="s">
        <v>93</v>
      </c>
      <c r="F1787" s="35">
        <v>48</v>
      </c>
      <c r="G1787" s="37">
        <v>100</v>
      </c>
      <c r="H1787" s="32">
        <f t="shared" si="33"/>
        <v>4800</v>
      </c>
    </row>
    <row r="1788" spans="2:8">
      <c r="B1788" s="28">
        <v>10302</v>
      </c>
      <c r="C1788" s="34" t="s">
        <v>252</v>
      </c>
      <c r="D1788" s="34" t="s">
        <v>119</v>
      </c>
      <c r="E1788" s="34" t="s">
        <v>93</v>
      </c>
      <c r="F1788" s="35">
        <v>45</v>
      </c>
      <c r="G1788" s="37">
        <v>100</v>
      </c>
      <c r="H1788" s="32">
        <f t="shared" si="33"/>
        <v>4500</v>
      </c>
    </row>
    <row r="1789" spans="2:8">
      <c r="B1789" s="28">
        <v>10311</v>
      </c>
      <c r="C1789" s="34" t="s">
        <v>261</v>
      </c>
      <c r="D1789" s="34" t="s">
        <v>119</v>
      </c>
      <c r="E1789" s="34" t="s">
        <v>93</v>
      </c>
      <c r="F1789" s="35">
        <v>43</v>
      </c>
      <c r="G1789" s="37">
        <v>100</v>
      </c>
      <c r="H1789" s="32">
        <f t="shared" si="33"/>
        <v>4300</v>
      </c>
    </row>
    <row r="1790" spans="2:8">
      <c r="B1790" s="28">
        <v>10332</v>
      </c>
      <c r="C1790" s="34" t="s">
        <v>252</v>
      </c>
      <c r="D1790" s="34" t="s">
        <v>104</v>
      </c>
      <c r="E1790" s="34" t="s">
        <v>93</v>
      </c>
      <c r="F1790" s="35">
        <v>44</v>
      </c>
      <c r="G1790" s="37">
        <v>42.26</v>
      </c>
      <c r="H1790" s="32">
        <f t="shared" si="33"/>
        <v>1859.4399999999998</v>
      </c>
    </row>
    <row r="1791" spans="2:8">
      <c r="B1791" s="28">
        <v>10346</v>
      </c>
      <c r="C1791" s="34" t="s">
        <v>100</v>
      </c>
      <c r="D1791" s="34" t="s">
        <v>104</v>
      </c>
      <c r="E1791" s="34" t="s">
        <v>93</v>
      </c>
      <c r="F1791" s="35">
        <v>24</v>
      </c>
      <c r="G1791" s="37">
        <v>87.24</v>
      </c>
      <c r="H1791" s="32">
        <f t="shared" si="33"/>
        <v>2093.7599999999998</v>
      </c>
    </row>
    <row r="1792" spans="2:8">
      <c r="B1792" s="28">
        <v>10368</v>
      </c>
      <c r="C1792" s="34" t="s">
        <v>100</v>
      </c>
      <c r="D1792" s="34" t="s">
        <v>119</v>
      </c>
      <c r="E1792" s="34" t="s">
        <v>93</v>
      </c>
      <c r="F1792" s="35">
        <v>31</v>
      </c>
      <c r="G1792" s="37">
        <v>100</v>
      </c>
      <c r="H1792" s="32">
        <f t="shared" si="33"/>
        <v>3100</v>
      </c>
    </row>
    <row r="1793" spans="2:8">
      <c r="B1793" s="28">
        <v>10380</v>
      </c>
      <c r="C1793" s="34" t="s">
        <v>261</v>
      </c>
      <c r="D1793" s="34" t="s">
        <v>104</v>
      </c>
      <c r="E1793" s="34" t="s">
        <v>93</v>
      </c>
      <c r="F1793" s="35">
        <v>44</v>
      </c>
      <c r="G1793" s="37">
        <v>36.29</v>
      </c>
      <c r="H1793" s="32">
        <f t="shared" si="33"/>
        <v>1596.76</v>
      </c>
    </row>
    <row r="1794" spans="2:8">
      <c r="B1794" s="28">
        <v>10407</v>
      </c>
      <c r="C1794" s="34" t="s">
        <v>100</v>
      </c>
      <c r="D1794" s="34" t="s">
        <v>119</v>
      </c>
      <c r="E1794" s="34" t="s">
        <v>518</v>
      </c>
      <c r="F1794" s="35">
        <v>59</v>
      </c>
      <c r="G1794" s="37">
        <v>98.65</v>
      </c>
      <c r="H1794" s="32">
        <f t="shared" si="33"/>
        <v>5820.35</v>
      </c>
    </row>
    <row r="1795" spans="2:8">
      <c r="B1795" s="28">
        <v>10420</v>
      </c>
      <c r="C1795" s="34" t="s">
        <v>168</v>
      </c>
      <c r="D1795" s="34" t="s">
        <v>119</v>
      </c>
      <c r="E1795" s="34" t="s">
        <v>400</v>
      </c>
      <c r="F1795" s="35">
        <v>55</v>
      </c>
      <c r="G1795" s="37">
        <v>96.3</v>
      </c>
      <c r="H1795" s="32">
        <f t="shared" si="33"/>
        <v>5296.5</v>
      </c>
    </row>
    <row r="1796" spans="2:8">
      <c r="B1796" s="28">
        <v>10109</v>
      </c>
      <c r="C1796" s="34" t="s">
        <v>100</v>
      </c>
      <c r="D1796" s="34" t="s">
        <v>104</v>
      </c>
      <c r="E1796" s="34" t="s">
        <v>93</v>
      </c>
      <c r="F1796" s="35">
        <v>29</v>
      </c>
      <c r="G1796" s="37">
        <v>32.1</v>
      </c>
      <c r="H1796" s="32">
        <f t="shared" si="33"/>
        <v>930.90000000000009</v>
      </c>
    </row>
    <row r="1797" spans="2:8">
      <c r="B1797" s="28">
        <v>10122</v>
      </c>
      <c r="C1797" s="34" t="s">
        <v>109</v>
      </c>
      <c r="D1797" s="34" t="s">
        <v>104</v>
      </c>
      <c r="E1797" s="34" t="s">
        <v>93</v>
      </c>
      <c r="F1797" s="35">
        <v>39</v>
      </c>
      <c r="G1797" s="37">
        <v>30.96</v>
      </c>
      <c r="H1797" s="32">
        <f t="shared" ref="H1797:H1860" si="34">F1797*G1797</f>
        <v>1207.44</v>
      </c>
    </row>
    <row r="1798" spans="2:8">
      <c r="B1798" s="28">
        <v>10135</v>
      </c>
      <c r="C1798" s="34" t="s">
        <v>100</v>
      </c>
      <c r="D1798" s="34" t="s">
        <v>104</v>
      </c>
      <c r="E1798" s="34" t="s">
        <v>93</v>
      </c>
      <c r="F1798" s="35">
        <v>20</v>
      </c>
      <c r="G1798" s="37">
        <v>35.869999999999997</v>
      </c>
      <c r="H1798" s="32">
        <f t="shared" si="34"/>
        <v>717.4</v>
      </c>
    </row>
    <row r="1799" spans="2:8">
      <c r="B1799" s="28">
        <v>10147</v>
      </c>
      <c r="C1799" s="34" t="s">
        <v>100</v>
      </c>
      <c r="D1799" s="34" t="s">
        <v>104</v>
      </c>
      <c r="E1799" s="34" t="s">
        <v>93</v>
      </c>
      <c r="F1799" s="35">
        <v>25</v>
      </c>
      <c r="G1799" s="37">
        <v>42.67</v>
      </c>
      <c r="H1799" s="32">
        <f t="shared" si="34"/>
        <v>1066.75</v>
      </c>
    </row>
    <row r="1800" spans="2:8">
      <c r="B1800" s="28">
        <v>10160</v>
      </c>
      <c r="C1800" s="34" t="s">
        <v>100</v>
      </c>
      <c r="D1800" s="34" t="s">
        <v>104</v>
      </c>
      <c r="E1800" s="34" t="s">
        <v>93</v>
      </c>
      <c r="F1800" s="35">
        <v>42</v>
      </c>
      <c r="G1800" s="37">
        <v>37</v>
      </c>
      <c r="H1800" s="32">
        <f t="shared" si="34"/>
        <v>1554</v>
      </c>
    </row>
    <row r="1801" spans="2:8">
      <c r="B1801" s="28">
        <v>10171</v>
      </c>
      <c r="C1801" s="34" t="s">
        <v>322</v>
      </c>
      <c r="D1801" s="34" t="s">
        <v>104</v>
      </c>
      <c r="E1801" s="34" t="s">
        <v>93</v>
      </c>
      <c r="F1801" s="35">
        <v>36</v>
      </c>
      <c r="G1801" s="37">
        <v>35.49</v>
      </c>
      <c r="H1801" s="32">
        <f t="shared" si="34"/>
        <v>1277.6400000000001</v>
      </c>
    </row>
    <row r="1802" spans="2:8">
      <c r="B1802" s="28">
        <v>10181</v>
      </c>
      <c r="C1802" s="34" t="s">
        <v>149</v>
      </c>
      <c r="D1802" s="34" t="s">
        <v>104</v>
      </c>
      <c r="E1802" s="34" t="s">
        <v>93</v>
      </c>
      <c r="F1802" s="35">
        <v>37</v>
      </c>
      <c r="G1802" s="37">
        <v>42.67</v>
      </c>
      <c r="H1802" s="32">
        <f t="shared" si="34"/>
        <v>1578.79</v>
      </c>
    </row>
    <row r="1803" spans="2:8">
      <c r="B1803" s="28">
        <v>10192</v>
      </c>
      <c r="C1803" s="34" t="s">
        <v>100</v>
      </c>
      <c r="D1803" s="34" t="s">
        <v>104</v>
      </c>
      <c r="E1803" s="34" t="s">
        <v>93</v>
      </c>
      <c r="F1803" s="35">
        <v>30</v>
      </c>
      <c r="G1803" s="37">
        <v>30.59</v>
      </c>
      <c r="H1803" s="32">
        <f t="shared" si="34"/>
        <v>917.7</v>
      </c>
    </row>
    <row r="1804" spans="2:8">
      <c r="B1804" s="28">
        <v>10203</v>
      </c>
      <c r="C1804" s="34" t="s">
        <v>261</v>
      </c>
      <c r="D1804" s="34" t="s">
        <v>104</v>
      </c>
      <c r="E1804" s="34" t="s">
        <v>93</v>
      </c>
      <c r="F1804" s="35">
        <v>21</v>
      </c>
      <c r="G1804" s="37">
        <v>37</v>
      </c>
      <c r="H1804" s="32">
        <f t="shared" si="34"/>
        <v>777</v>
      </c>
    </row>
    <row r="1805" spans="2:8">
      <c r="B1805" s="28">
        <v>10212</v>
      </c>
      <c r="C1805" s="34" t="s">
        <v>261</v>
      </c>
      <c r="D1805" s="34" t="s">
        <v>104</v>
      </c>
      <c r="E1805" s="34" t="s">
        <v>93</v>
      </c>
      <c r="F1805" s="35">
        <v>34</v>
      </c>
      <c r="G1805" s="37">
        <v>43.42</v>
      </c>
      <c r="H1805" s="32">
        <f t="shared" si="34"/>
        <v>1476.28</v>
      </c>
    </row>
    <row r="1806" spans="2:8">
      <c r="B1806" s="28">
        <v>10225</v>
      </c>
      <c r="C1806" s="34" t="s">
        <v>574</v>
      </c>
      <c r="D1806" s="34" t="s">
        <v>104</v>
      </c>
      <c r="E1806" s="34" t="s">
        <v>93</v>
      </c>
      <c r="F1806" s="35">
        <v>42</v>
      </c>
      <c r="G1806" s="37">
        <v>36.630000000000003</v>
      </c>
      <c r="H1806" s="32">
        <f t="shared" si="34"/>
        <v>1538.46</v>
      </c>
    </row>
    <row r="1807" spans="2:8">
      <c r="B1807" s="28">
        <v>10239</v>
      </c>
      <c r="C1807" s="34" t="s">
        <v>208</v>
      </c>
      <c r="D1807" s="34" t="s">
        <v>104</v>
      </c>
      <c r="E1807" s="34" t="s">
        <v>93</v>
      </c>
      <c r="F1807" s="35">
        <v>20</v>
      </c>
      <c r="G1807" s="37">
        <v>44.56</v>
      </c>
      <c r="H1807" s="32">
        <f t="shared" si="34"/>
        <v>891.2</v>
      </c>
    </row>
    <row r="1808" spans="2:8">
      <c r="B1808" s="28">
        <v>10253</v>
      </c>
      <c r="C1808" s="34" t="s">
        <v>252</v>
      </c>
      <c r="D1808" s="34" t="s">
        <v>104</v>
      </c>
      <c r="E1808" s="34" t="s">
        <v>444</v>
      </c>
      <c r="F1808" s="35">
        <v>40</v>
      </c>
      <c r="G1808" s="37">
        <v>42.67</v>
      </c>
      <c r="H1808" s="32">
        <f t="shared" si="34"/>
        <v>1706.8000000000002</v>
      </c>
    </row>
    <row r="1809" spans="2:8">
      <c r="B1809" s="28">
        <v>10266</v>
      </c>
      <c r="C1809" s="34" t="s">
        <v>352</v>
      </c>
      <c r="D1809" s="34" t="s">
        <v>104</v>
      </c>
      <c r="E1809" s="34" t="s">
        <v>93</v>
      </c>
      <c r="F1809" s="35">
        <v>34</v>
      </c>
      <c r="G1809" s="37">
        <v>40.4</v>
      </c>
      <c r="H1809" s="32">
        <f t="shared" si="34"/>
        <v>1373.6</v>
      </c>
    </row>
    <row r="1810" spans="2:8">
      <c r="B1810" s="28">
        <v>10278</v>
      </c>
      <c r="C1810" s="34" t="s">
        <v>100</v>
      </c>
      <c r="D1810" s="34" t="s">
        <v>104</v>
      </c>
      <c r="E1810" s="34" t="s">
        <v>93</v>
      </c>
      <c r="F1810" s="35">
        <v>31</v>
      </c>
      <c r="G1810" s="37">
        <v>38.89</v>
      </c>
      <c r="H1810" s="32">
        <f t="shared" si="34"/>
        <v>1205.5899999999999</v>
      </c>
    </row>
    <row r="1811" spans="2:8">
      <c r="B1811" s="28">
        <v>10287</v>
      </c>
      <c r="C1811" s="34" t="s">
        <v>574</v>
      </c>
      <c r="D1811" s="34" t="s">
        <v>104</v>
      </c>
      <c r="E1811" s="34" t="s">
        <v>93</v>
      </c>
      <c r="F1811" s="35">
        <v>36</v>
      </c>
      <c r="G1811" s="37">
        <v>39.65</v>
      </c>
      <c r="H1811" s="32">
        <f t="shared" si="34"/>
        <v>1427.3999999999999</v>
      </c>
    </row>
    <row r="1812" spans="2:8">
      <c r="B1812" s="28">
        <v>10301</v>
      </c>
      <c r="C1812" s="34" t="s">
        <v>149</v>
      </c>
      <c r="D1812" s="34" t="s">
        <v>104</v>
      </c>
      <c r="E1812" s="34" t="s">
        <v>93</v>
      </c>
      <c r="F1812" s="35">
        <v>48</v>
      </c>
      <c r="G1812" s="37">
        <v>34.36</v>
      </c>
      <c r="H1812" s="32">
        <f t="shared" si="34"/>
        <v>1649.28</v>
      </c>
    </row>
    <row r="1813" spans="2:8">
      <c r="B1813" s="28">
        <v>10310</v>
      </c>
      <c r="C1813" s="34" t="s">
        <v>566</v>
      </c>
      <c r="D1813" s="34" t="s">
        <v>104</v>
      </c>
      <c r="E1813" s="34" t="s">
        <v>93</v>
      </c>
      <c r="F1813" s="35">
        <v>33</v>
      </c>
      <c r="G1813" s="37">
        <v>41.91</v>
      </c>
      <c r="H1813" s="32">
        <f t="shared" si="34"/>
        <v>1383.03</v>
      </c>
    </row>
    <row r="1814" spans="2:8">
      <c r="B1814" s="28">
        <v>10321</v>
      </c>
      <c r="C1814" s="34" t="s">
        <v>100</v>
      </c>
      <c r="D1814" s="34" t="s">
        <v>104</v>
      </c>
      <c r="E1814" s="34" t="s">
        <v>93</v>
      </c>
      <c r="F1814" s="35">
        <v>37</v>
      </c>
      <c r="G1814" s="37">
        <v>33.229999999999997</v>
      </c>
      <c r="H1814" s="32">
        <f t="shared" si="34"/>
        <v>1229.51</v>
      </c>
    </row>
    <row r="1815" spans="2:8">
      <c r="B1815" s="28">
        <v>10331</v>
      </c>
      <c r="C1815" s="34" t="s">
        <v>100</v>
      </c>
      <c r="D1815" s="34" t="s">
        <v>104</v>
      </c>
      <c r="E1815" s="34" t="s">
        <v>93</v>
      </c>
      <c r="F1815" s="35">
        <v>27</v>
      </c>
      <c r="G1815" s="37">
        <v>42.24</v>
      </c>
      <c r="H1815" s="32">
        <f t="shared" si="34"/>
        <v>1140.48</v>
      </c>
    </row>
    <row r="1816" spans="2:8">
      <c r="B1816" s="28">
        <v>10342</v>
      </c>
      <c r="C1816" s="34" t="s">
        <v>168</v>
      </c>
      <c r="D1816" s="34" t="s">
        <v>104</v>
      </c>
      <c r="E1816" s="34" t="s">
        <v>93</v>
      </c>
      <c r="F1816" s="35">
        <v>39</v>
      </c>
      <c r="G1816" s="37">
        <v>40.4</v>
      </c>
      <c r="H1816" s="32">
        <f t="shared" si="34"/>
        <v>1575.6</v>
      </c>
    </row>
    <row r="1817" spans="2:8">
      <c r="B1817" s="28">
        <v>10355</v>
      </c>
      <c r="C1817" s="34" t="s">
        <v>261</v>
      </c>
      <c r="D1817" s="34" t="s">
        <v>104</v>
      </c>
      <c r="E1817" s="34" t="s">
        <v>93</v>
      </c>
      <c r="F1817" s="35">
        <v>36</v>
      </c>
      <c r="G1817" s="37">
        <v>38.520000000000003</v>
      </c>
      <c r="H1817" s="32">
        <f t="shared" si="34"/>
        <v>1386.72</v>
      </c>
    </row>
    <row r="1818" spans="2:8">
      <c r="B1818" s="28">
        <v>10367</v>
      </c>
      <c r="C1818" s="34" t="s">
        <v>100</v>
      </c>
      <c r="D1818" s="34" t="s">
        <v>119</v>
      </c>
      <c r="E1818" s="34" t="s">
        <v>526</v>
      </c>
      <c r="F1818" s="35">
        <v>36</v>
      </c>
      <c r="G1818" s="37">
        <v>100</v>
      </c>
      <c r="H1818" s="32">
        <f t="shared" si="34"/>
        <v>3600</v>
      </c>
    </row>
    <row r="1819" spans="2:8">
      <c r="B1819" s="28">
        <v>10378</v>
      </c>
      <c r="C1819" s="34" t="s">
        <v>261</v>
      </c>
      <c r="D1819" s="34" t="s">
        <v>119</v>
      </c>
      <c r="E1819" s="34" t="s">
        <v>93</v>
      </c>
      <c r="F1819" s="35">
        <v>41</v>
      </c>
      <c r="G1819" s="37">
        <v>100</v>
      </c>
      <c r="H1819" s="32">
        <f t="shared" si="34"/>
        <v>4100</v>
      </c>
    </row>
    <row r="1820" spans="2:8">
      <c r="B1820" s="28">
        <v>10390</v>
      </c>
      <c r="C1820" s="34" t="s">
        <v>100</v>
      </c>
      <c r="D1820" s="34" t="s">
        <v>119</v>
      </c>
      <c r="E1820" s="34" t="s">
        <v>93</v>
      </c>
      <c r="F1820" s="35">
        <v>37</v>
      </c>
      <c r="G1820" s="37">
        <v>100</v>
      </c>
      <c r="H1820" s="32">
        <f t="shared" si="34"/>
        <v>3700</v>
      </c>
    </row>
    <row r="1821" spans="2:8">
      <c r="B1821" s="28">
        <v>10405</v>
      </c>
      <c r="C1821" s="34" t="s">
        <v>109</v>
      </c>
      <c r="D1821" s="34" t="s">
        <v>104</v>
      </c>
      <c r="E1821" s="34" t="s">
        <v>93</v>
      </c>
      <c r="F1821" s="35">
        <v>47</v>
      </c>
      <c r="G1821" s="37">
        <v>44.56</v>
      </c>
      <c r="H1821" s="32">
        <f t="shared" si="34"/>
        <v>2094.3200000000002</v>
      </c>
    </row>
    <row r="1822" spans="2:8">
      <c r="B1822" s="28">
        <v>10419</v>
      </c>
      <c r="C1822" s="34" t="s">
        <v>229</v>
      </c>
      <c r="D1822" s="34" t="s">
        <v>104</v>
      </c>
      <c r="E1822" s="34" t="s">
        <v>93</v>
      </c>
      <c r="F1822" s="35">
        <v>15</v>
      </c>
      <c r="G1822" s="37">
        <v>42.67</v>
      </c>
      <c r="H1822" s="32">
        <f t="shared" si="34"/>
        <v>640.05000000000007</v>
      </c>
    </row>
    <row r="1823" spans="2:8">
      <c r="B1823" s="28">
        <v>10105</v>
      </c>
      <c r="C1823" s="34" t="s">
        <v>429</v>
      </c>
      <c r="D1823" s="34" t="s">
        <v>119</v>
      </c>
      <c r="E1823" s="34" t="s">
        <v>93</v>
      </c>
      <c r="F1823" s="35">
        <v>44</v>
      </c>
      <c r="G1823" s="37">
        <v>72.58</v>
      </c>
      <c r="H1823" s="32">
        <f t="shared" si="34"/>
        <v>3193.52</v>
      </c>
    </row>
    <row r="1824" spans="2:8">
      <c r="B1824" s="28">
        <v>10119</v>
      </c>
      <c r="C1824" s="34" t="s">
        <v>229</v>
      </c>
      <c r="D1824" s="34" t="s">
        <v>119</v>
      </c>
      <c r="E1824" s="34" t="s">
        <v>93</v>
      </c>
      <c r="F1824" s="35">
        <v>35</v>
      </c>
      <c r="G1824" s="37">
        <v>87.62</v>
      </c>
      <c r="H1824" s="32">
        <f t="shared" si="34"/>
        <v>3066.7000000000003</v>
      </c>
    </row>
    <row r="1825" spans="2:8">
      <c r="B1825" s="28">
        <v>10129</v>
      </c>
      <c r="C1825" s="34" t="s">
        <v>252</v>
      </c>
      <c r="D1825" s="34" t="s">
        <v>119</v>
      </c>
      <c r="E1825" s="34" t="s">
        <v>93</v>
      </c>
      <c r="F1825" s="35">
        <v>41</v>
      </c>
      <c r="G1825" s="37">
        <v>94.71</v>
      </c>
      <c r="H1825" s="32">
        <f t="shared" si="34"/>
        <v>3883.1099999999997</v>
      </c>
    </row>
    <row r="1826" spans="2:8">
      <c r="B1826" s="28">
        <v>10142</v>
      </c>
      <c r="C1826" s="34" t="s">
        <v>100</v>
      </c>
      <c r="D1826" s="34" t="s">
        <v>119</v>
      </c>
      <c r="E1826" s="34" t="s">
        <v>93</v>
      </c>
      <c r="F1826" s="35">
        <v>49</v>
      </c>
      <c r="G1826" s="37">
        <v>98.25</v>
      </c>
      <c r="H1826" s="32">
        <f t="shared" si="34"/>
        <v>4814.25</v>
      </c>
    </row>
    <row r="1827" spans="2:8">
      <c r="B1827" s="28">
        <v>10154</v>
      </c>
      <c r="C1827" s="34" t="s">
        <v>100</v>
      </c>
      <c r="D1827" s="34" t="s">
        <v>104</v>
      </c>
      <c r="E1827" s="34" t="s">
        <v>93</v>
      </c>
      <c r="F1827" s="35">
        <v>31</v>
      </c>
      <c r="G1827" s="37">
        <v>91.17</v>
      </c>
      <c r="H1827" s="32">
        <f t="shared" si="34"/>
        <v>2826.27</v>
      </c>
    </row>
    <row r="1828" spans="2:8">
      <c r="B1828" s="28">
        <v>10167</v>
      </c>
      <c r="C1828" s="34" t="s">
        <v>273</v>
      </c>
      <c r="D1828" s="34" t="s">
        <v>104</v>
      </c>
      <c r="E1828" s="34" t="s">
        <v>444</v>
      </c>
      <c r="F1828" s="35">
        <v>20</v>
      </c>
      <c r="G1828" s="37">
        <v>79.66</v>
      </c>
      <c r="H1828" s="32">
        <f t="shared" si="34"/>
        <v>1593.1999999999998</v>
      </c>
    </row>
    <row r="1829" spans="2:8">
      <c r="B1829" s="28">
        <v>10177</v>
      </c>
      <c r="C1829" s="34" t="s">
        <v>261</v>
      </c>
      <c r="D1829" s="34" t="s">
        <v>119</v>
      </c>
      <c r="E1829" s="34" t="s">
        <v>93</v>
      </c>
      <c r="F1829" s="35">
        <v>45</v>
      </c>
      <c r="G1829" s="37">
        <v>72.58</v>
      </c>
      <c r="H1829" s="32">
        <f t="shared" si="34"/>
        <v>3266.1</v>
      </c>
    </row>
    <row r="1830" spans="2:8">
      <c r="B1830" s="28">
        <v>10185</v>
      </c>
      <c r="C1830" s="34" t="s">
        <v>100</v>
      </c>
      <c r="D1830" s="34" t="s">
        <v>104</v>
      </c>
      <c r="E1830" s="34" t="s">
        <v>93</v>
      </c>
      <c r="F1830" s="35">
        <v>33</v>
      </c>
      <c r="G1830" s="37">
        <v>74.349999999999994</v>
      </c>
      <c r="H1830" s="32">
        <f t="shared" si="34"/>
        <v>2453.5499999999997</v>
      </c>
    </row>
    <row r="1831" spans="2:8">
      <c r="B1831" s="28">
        <v>10197</v>
      </c>
      <c r="C1831" s="34" t="s">
        <v>261</v>
      </c>
      <c r="D1831" s="34" t="s">
        <v>119</v>
      </c>
      <c r="E1831" s="34" t="s">
        <v>93</v>
      </c>
      <c r="F1831" s="35">
        <v>47</v>
      </c>
      <c r="G1831" s="37">
        <v>83.2</v>
      </c>
      <c r="H1831" s="32">
        <f t="shared" si="34"/>
        <v>3910.4</v>
      </c>
    </row>
    <row r="1832" spans="2:8">
      <c r="B1832" s="28">
        <v>10208</v>
      </c>
      <c r="C1832" s="34" t="s">
        <v>109</v>
      </c>
      <c r="D1832" s="34" t="s">
        <v>104</v>
      </c>
      <c r="E1832" s="34" t="s">
        <v>93</v>
      </c>
      <c r="F1832" s="35">
        <v>20</v>
      </c>
      <c r="G1832" s="37">
        <v>89.4</v>
      </c>
      <c r="H1832" s="32">
        <f t="shared" si="34"/>
        <v>1788</v>
      </c>
    </row>
    <row r="1833" spans="2:8">
      <c r="B1833" s="28">
        <v>10222</v>
      </c>
      <c r="C1833" s="34" t="s">
        <v>100</v>
      </c>
      <c r="D1833" s="34" t="s">
        <v>119</v>
      </c>
      <c r="E1833" s="34" t="s">
        <v>93</v>
      </c>
      <c r="F1833" s="35">
        <v>47</v>
      </c>
      <c r="G1833" s="37">
        <v>70.81</v>
      </c>
      <c r="H1833" s="32">
        <f t="shared" si="34"/>
        <v>3328.07</v>
      </c>
    </row>
    <row r="1834" spans="2:8">
      <c r="B1834" s="28">
        <v>10233</v>
      </c>
      <c r="C1834" s="34" t="s">
        <v>100</v>
      </c>
      <c r="D1834" s="34" t="s">
        <v>119</v>
      </c>
      <c r="E1834" s="34" t="s">
        <v>93</v>
      </c>
      <c r="F1834" s="35">
        <v>40</v>
      </c>
      <c r="G1834" s="37">
        <v>94.71</v>
      </c>
      <c r="H1834" s="32">
        <f t="shared" si="34"/>
        <v>3788.3999999999996</v>
      </c>
    </row>
    <row r="1835" spans="2:8">
      <c r="B1835" s="28">
        <v>10248</v>
      </c>
      <c r="C1835" s="34" t="s">
        <v>100</v>
      </c>
      <c r="D1835" s="34" t="s">
        <v>119</v>
      </c>
      <c r="E1835" s="34" t="s">
        <v>444</v>
      </c>
      <c r="F1835" s="35">
        <v>30</v>
      </c>
      <c r="G1835" s="37">
        <v>100</v>
      </c>
      <c r="H1835" s="32">
        <f t="shared" si="34"/>
        <v>3000</v>
      </c>
    </row>
    <row r="1836" spans="2:8">
      <c r="B1836" s="28">
        <v>10261</v>
      </c>
      <c r="C1836" s="34" t="s">
        <v>322</v>
      </c>
      <c r="D1836" s="34" t="s">
        <v>104</v>
      </c>
      <c r="E1836" s="34" t="s">
        <v>93</v>
      </c>
      <c r="F1836" s="35">
        <v>22</v>
      </c>
      <c r="G1836" s="37">
        <v>91.17</v>
      </c>
      <c r="H1836" s="32">
        <f t="shared" si="34"/>
        <v>2005.74</v>
      </c>
    </row>
    <row r="1837" spans="2:8">
      <c r="B1837" s="28">
        <v>10273</v>
      </c>
      <c r="C1837" s="34" t="s">
        <v>480</v>
      </c>
      <c r="D1837" s="34" t="s">
        <v>104</v>
      </c>
      <c r="E1837" s="34" t="s">
        <v>93</v>
      </c>
      <c r="F1837" s="35">
        <v>27</v>
      </c>
      <c r="G1837" s="37">
        <v>100</v>
      </c>
      <c r="H1837" s="32">
        <f t="shared" si="34"/>
        <v>2700</v>
      </c>
    </row>
    <row r="1838" spans="2:8">
      <c r="B1838" s="28">
        <v>10283</v>
      </c>
      <c r="C1838" s="34" t="s">
        <v>322</v>
      </c>
      <c r="D1838" s="34" t="s">
        <v>119</v>
      </c>
      <c r="E1838" s="34" t="s">
        <v>93</v>
      </c>
      <c r="F1838" s="35">
        <v>34</v>
      </c>
      <c r="G1838" s="37">
        <v>92.94</v>
      </c>
      <c r="H1838" s="32">
        <f t="shared" si="34"/>
        <v>3159.96</v>
      </c>
    </row>
    <row r="1839" spans="2:8">
      <c r="B1839" s="28">
        <v>10295</v>
      </c>
      <c r="C1839" s="34" t="s">
        <v>100</v>
      </c>
      <c r="D1839" s="34" t="s">
        <v>119</v>
      </c>
      <c r="E1839" s="34" t="s">
        <v>93</v>
      </c>
      <c r="F1839" s="35">
        <v>46</v>
      </c>
      <c r="G1839" s="37">
        <v>84.97</v>
      </c>
      <c r="H1839" s="32">
        <f t="shared" si="34"/>
        <v>3908.62</v>
      </c>
    </row>
    <row r="1840" spans="2:8">
      <c r="B1840" s="28">
        <v>10306</v>
      </c>
      <c r="C1840" s="34" t="s">
        <v>252</v>
      </c>
      <c r="D1840" s="34" t="s">
        <v>104</v>
      </c>
      <c r="E1840" s="34" t="s">
        <v>93</v>
      </c>
      <c r="F1840" s="35">
        <v>31</v>
      </c>
      <c r="G1840" s="37">
        <v>84.08</v>
      </c>
      <c r="H1840" s="32">
        <f t="shared" si="34"/>
        <v>2606.48</v>
      </c>
    </row>
    <row r="1841" spans="2:8">
      <c r="B1841" s="28">
        <v>10315</v>
      </c>
      <c r="C1841" s="34" t="s">
        <v>109</v>
      </c>
      <c r="D1841" s="34" t="s">
        <v>104</v>
      </c>
      <c r="E1841" s="34" t="s">
        <v>93</v>
      </c>
      <c r="F1841" s="35">
        <v>24</v>
      </c>
      <c r="G1841" s="37">
        <v>86.74</v>
      </c>
      <c r="H1841" s="32">
        <f t="shared" si="34"/>
        <v>2081.7599999999998</v>
      </c>
    </row>
    <row r="1842" spans="2:8">
      <c r="B1842" s="28">
        <v>10326</v>
      </c>
      <c r="C1842" s="34" t="s">
        <v>273</v>
      </c>
      <c r="D1842" s="34" t="s">
        <v>119</v>
      </c>
      <c r="E1842" s="34" t="s">
        <v>93</v>
      </c>
      <c r="F1842" s="35">
        <v>41</v>
      </c>
      <c r="G1842" s="37">
        <v>85.85</v>
      </c>
      <c r="H1842" s="32">
        <f t="shared" si="34"/>
        <v>3519.85</v>
      </c>
    </row>
    <row r="1843" spans="2:8">
      <c r="B1843" s="28">
        <v>10339</v>
      </c>
      <c r="C1843" s="34" t="s">
        <v>288</v>
      </c>
      <c r="D1843" s="34" t="s">
        <v>232</v>
      </c>
      <c r="E1843" s="34" t="s">
        <v>93</v>
      </c>
      <c r="F1843" s="35">
        <v>55</v>
      </c>
      <c r="G1843" s="37">
        <v>100</v>
      </c>
      <c r="H1843" s="32">
        <f t="shared" si="34"/>
        <v>5500</v>
      </c>
    </row>
    <row r="1844" spans="2:8">
      <c r="B1844" s="28">
        <v>10350</v>
      </c>
      <c r="C1844" s="34" t="s">
        <v>261</v>
      </c>
      <c r="D1844" s="34" t="s">
        <v>119</v>
      </c>
      <c r="E1844" s="34" t="s">
        <v>93</v>
      </c>
      <c r="F1844" s="35">
        <v>30</v>
      </c>
      <c r="G1844" s="37">
        <v>100</v>
      </c>
      <c r="H1844" s="32">
        <f t="shared" si="34"/>
        <v>3000</v>
      </c>
    </row>
    <row r="1845" spans="2:8">
      <c r="B1845" s="28">
        <v>10373</v>
      </c>
      <c r="C1845" s="34" t="s">
        <v>208</v>
      </c>
      <c r="D1845" s="34" t="s">
        <v>104</v>
      </c>
      <c r="E1845" s="34" t="s">
        <v>93</v>
      </c>
      <c r="F1845" s="35">
        <v>33</v>
      </c>
      <c r="G1845" s="37">
        <v>57.32</v>
      </c>
      <c r="H1845" s="32">
        <f t="shared" si="34"/>
        <v>1891.56</v>
      </c>
    </row>
    <row r="1846" spans="2:8">
      <c r="B1846" s="28">
        <v>10384</v>
      </c>
      <c r="C1846" s="34" t="s">
        <v>100</v>
      </c>
      <c r="D1846" s="34" t="s">
        <v>119</v>
      </c>
      <c r="E1846" s="34" t="s">
        <v>93</v>
      </c>
      <c r="F1846" s="35">
        <v>43</v>
      </c>
      <c r="G1846" s="37">
        <v>97.87</v>
      </c>
      <c r="H1846" s="32">
        <f t="shared" si="34"/>
        <v>4208.41</v>
      </c>
    </row>
    <row r="1847" spans="2:8">
      <c r="B1847" s="28">
        <v>10396</v>
      </c>
      <c r="C1847" s="34" t="s">
        <v>100</v>
      </c>
      <c r="D1847" s="34" t="s">
        <v>104</v>
      </c>
      <c r="E1847" s="34" t="s">
        <v>93</v>
      </c>
      <c r="F1847" s="35">
        <v>27</v>
      </c>
      <c r="G1847" s="37">
        <v>83.2</v>
      </c>
      <c r="H1847" s="32">
        <f t="shared" si="34"/>
        <v>2246.4</v>
      </c>
    </row>
    <row r="1848" spans="2:8">
      <c r="B1848" s="28">
        <v>10414</v>
      </c>
      <c r="C1848" s="34" t="s">
        <v>100</v>
      </c>
      <c r="D1848" s="34" t="s">
        <v>119</v>
      </c>
      <c r="E1848" s="34" t="s">
        <v>518</v>
      </c>
      <c r="F1848" s="35">
        <v>60</v>
      </c>
      <c r="G1848" s="37">
        <v>100</v>
      </c>
      <c r="H1848" s="32">
        <f t="shared" si="34"/>
        <v>6000</v>
      </c>
    </row>
    <row r="1849" spans="2:8">
      <c r="B1849" s="28">
        <v>10110</v>
      </c>
      <c r="C1849" s="34" t="s">
        <v>252</v>
      </c>
      <c r="D1849" s="34" t="s">
        <v>104</v>
      </c>
      <c r="E1849" s="34" t="s">
        <v>93</v>
      </c>
      <c r="F1849" s="35">
        <v>27</v>
      </c>
      <c r="G1849" s="37">
        <v>73.62</v>
      </c>
      <c r="H1849" s="32">
        <f t="shared" si="34"/>
        <v>1987.7400000000002</v>
      </c>
    </row>
    <row r="1850" spans="2:8">
      <c r="B1850" s="28">
        <v>10124</v>
      </c>
      <c r="C1850" s="34" t="s">
        <v>100</v>
      </c>
      <c r="D1850" s="34" t="s">
        <v>119</v>
      </c>
      <c r="E1850" s="34" t="s">
        <v>93</v>
      </c>
      <c r="F1850" s="35">
        <v>49</v>
      </c>
      <c r="G1850" s="37">
        <v>83.04</v>
      </c>
      <c r="H1850" s="32">
        <f t="shared" si="34"/>
        <v>4068.9600000000005</v>
      </c>
    </row>
    <row r="1851" spans="2:8">
      <c r="B1851" s="28">
        <v>10148</v>
      </c>
      <c r="C1851" s="34" t="s">
        <v>168</v>
      </c>
      <c r="D1851" s="34" t="s">
        <v>104</v>
      </c>
      <c r="E1851" s="34" t="s">
        <v>93</v>
      </c>
      <c r="F1851" s="35">
        <v>31</v>
      </c>
      <c r="G1851" s="37">
        <v>73.62</v>
      </c>
      <c r="H1851" s="32">
        <f t="shared" si="34"/>
        <v>2282.2200000000003</v>
      </c>
    </row>
    <row r="1852" spans="2:8">
      <c r="B1852" s="28">
        <v>10161</v>
      </c>
      <c r="C1852" s="34" t="s">
        <v>429</v>
      </c>
      <c r="D1852" s="34" t="s">
        <v>104</v>
      </c>
      <c r="E1852" s="34" t="s">
        <v>93</v>
      </c>
      <c r="F1852" s="35">
        <v>20</v>
      </c>
      <c r="G1852" s="37">
        <v>77.05</v>
      </c>
      <c r="H1852" s="32">
        <f t="shared" si="34"/>
        <v>1541</v>
      </c>
    </row>
    <row r="1853" spans="2:8">
      <c r="B1853" s="28">
        <v>10172</v>
      </c>
      <c r="C1853" s="34" t="s">
        <v>100</v>
      </c>
      <c r="D1853" s="34" t="s">
        <v>104</v>
      </c>
      <c r="E1853" s="34" t="s">
        <v>93</v>
      </c>
      <c r="F1853" s="35">
        <v>24</v>
      </c>
      <c r="G1853" s="37">
        <v>81.33</v>
      </c>
      <c r="H1853" s="32">
        <f t="shared" si="34"/>
        <v>1951.92</v>
      </c>
    </row>
    <row r="1854" spans="2:8">
      <c r="B1854" s="28">
        <v>10182</v>
      </c>
      <c r="C1854" s="34" t="s">
        <v>100</v>
      </c>
      <c r="D1854" s="34" t="s">
        <v>119</v>
      </c>
      <c r="E1854" s="34" t="s">
        <v>93</v>
      </c>
      <c r="F1854" s="35">
        <v>33</v>
      </c>
      <c r="G1854" s="37">
        <v>94.17</v>
      </c>
      <c r="H1854" s="32">
        <f t="shared" si="34"/>
        <v>3107.61</v>
      </c>
    </row>
    <row r="1855" spans="2:8">
      <c r="B1855" s="28">
        <v>10192</v>
      </c>
      <c r="C1855" s="34" t="s">
        <v>100</v>
      </c>
      <c r="D1855" s="34" t="s">
        <v>104</v>
      </c>
      <c r="E1855" s="34" t="s">
        <v>93</v>
      </c>
      <c r="F1855" s="35">
        <v>32</v>
      </c>
      <c r="G1855" s="37">
        <v>72.77</v>
      </c>
      <c r="H1855" s="32">
        <f t="shared" si="34"/>
        <v>2328.64</v>
      </c>
    </row>
    <row r="1856" spans="2:8">
      <c r="B1856" s="28">
        <v>10204</v>
      </c>
      <c r="C1856" s="34" t="s">
        <v>100</v>
      </c>
      <c r="D1856" s="34" t="s">
        <v>119</v>
      </c>
      <c r="E1856" s="34" t="s">
        <v>93</v>
      </c>
      <c r="F1856" s="35">
        <v>40</v>
      </c>
      <c r="G1856" s="37">
        <v>79.62</v>
      </c>
      <c r="H1856" s="32">
        <f t="shared" si="34"/>
        <v>3184.8</v>
      </c>
    </row>
    <row r="1857" spans="2:8">
      <c r="B1857" s="28">
        <v>10212</v>
      </c>
      <c r="C1857" s="34" t="s">
        <v>261</v>
      </c>
      <c r="D1857" s="34" t="s">
        <v>104</v>
      </c>
      <c r="E1857" s="34" t="s">
        <v>93</v>
      </c>
      <c r="F1857" s="35">
        <v>27</v>
      </c>
      <c r="G1857" s="37">
        <v>79.62</v>
      </c>
      <c r="H1857" s="32">
        <f t="shared" si="34"/>
        <v>2149.7400000000002</v>
      </c>
    </row>
    <row r="1858" spans="2:8">
      <c r="B1858" s="28">
        <v>10227</v>
      </c>
      <c r="C1858" s="34" t="s">
        <v>109</v>
      </c>
      <c r="D1858" s="34" t="s">
        <v>119</v>
      </c>
      <c r="E1858" s="34" t="s">
        <v>93</v>
      </c>
      <c r="F1858" s="35">
        <v>40</v>
      </c>
      <c r="G1858" s="37">
        <v>79.62</v>
      </c>
      <c r="H1858" s="32">
        <f t="shared" si="34"/>
        <v>3184.8</v>
      </c>
    </row>
    <row r="1859" spans="2:8">
      <c r="B1859" s="28">
        <v>10241</v>
      </c>
      <c r="C1859" s="34" t="s">
        <v>109</v>
      </c>
      <c r="D1859" s="34" t="s">
        <v>104</v>
      </c>
      <c r="E1859" s="34" t="s">
        <v>93</v>
      </c>
      <c r="F1859" s="35">
        <v>26</v>
      </c>
      <c r="G1859" s="37">
        <v>81.33</v>
      </c>
      <c r="H1859" s="32">
        <f t="shared" si="34"/>
        <v>2114.58</v>
      </c>
    </row>
    <row r="1860" spans="2:8">
      <c r="B1860" s="28">
        <v>10267</v>
      </c>
      <c r="C1860" s="34" t="s">
        <v>100</v>
      </c>
      <c r="D1860" s="34" t="s">
        <v>119</v>
      </c>
      <c r="E1860" s="34" t="s">
        <v>93</v>
      </c>
      <c r="F1860" s="35">
        <v>44</v>
      </c>
      <c r="G1860" s="37">
        <v>96.74</v>
      </c>
      <c r="H1860" s="32">
        <f t="shared" si="34"/>
        <v>4256.5599999999995</v>
      </c>
    </row>
    <row r="1861" spans="2:8">
      <c r="B1861" s="28">
        <v>10279</v>
      </c>
      <c r="C1861" s="34" t="s">
        <v>261</v>
      </c>
      <c r="D1861" s="34" t="s">
        <v>104</v>
      </c>
      <c r="E1861" s="34" t="s">
        <v>93</v>
      </c>
      <c r="F1861" s="35">
        <v>33</v>
      </c>
      <c r="G1861" s="37">
        <v>71.06</v>
      </c>
      <c r="H1861" s="32">
        <f t="shared" ref="H1861:H1924" si="35">F1861*G1861</f>
        <v>2344.98</v>
      </c>
    </row>
    <row r="1862" spans="2:8">
      <c r="B1862" s="28">
        <v>10288</v>
      </c>
      <c r="C1862" s="34" t="s">
        <v>287</v>
      </c>
      <c r="D1862" s="34" t="s">
        <v>104</v>
      </c>
      <c r="E1862" s="34" t="s">
        <v>93</v>
      </c>
      <c r="F1862" s="35">
        <v>34</v>
      </c>
      <c r="G1862" s="37">
        <v>68.489999999999995</v>
      </c>
      <c r="H1862" s="32">
        <f t="shared" si="35"/>
        <v>2328.66</v>
      </c>
    </row>
    <row r="1863" spans="2:8">
      <c r="B1863" s="28">
        <v>10302</v>
      </c>
      <c r="C1863" s="34" t="s">
        <v>252</v>
      </c>
      <c r="D1863" s="34" t="s">
        <v>119</v>
      </c>
      <c r="E1863" s="34" t="s">
        <v>93</v>
      </c>
      <c r="F1863" s="35">
        <v>48</v>
      </c>
      <c r="G1863" s="37">
        <v>74.48</v>
      </c>
      <c r="H1863" s="32">
        <f t="shared" si="35"/>
        <v>3575.04</v>
      </c>
    </row>
    <row r="1864" spans="2:8">
      <c r="B1864" s="28">
        <v>10311</v>
      </c>
      <c r="C1864" s="34" t="s">
        <v>261</v>
      </c>
      <c r="D1864" s="34" t="s">
        <v>104</v>
      </c>
      <c r="E1864" s="34" t="s">
        <v>93</v>
      </c>
      <c r="F1864" s="35">
        <v>25</v>
      </c>
      <c r="G1864" s="37">
        <v>83.04</v>
      </c>
      <c r="H1864" s="32">
        <f t="shared" si="35"/>
        <v>2076</v>
      </c>
    </row>
    <row r="1865" spans="2:8">
      <c r="B1865" s="28">
        <v>10321</v>
      </c>
      <c r="C1865" s="34" t="s">
        <v>100</v>
      </c>
      <c r="D1865" s="34" t="s">
        <v>119</v>
      </c>
      <c r="E1865" s="34" t="s">
        <v>93</v>
      </c>
      <c r="F1865" s="35">
        <v>39</v>
      </c>
      <c r="G1865" s="37">
        <v>84.75</v>
      </c>
      <c r="H1865" s="32">
        <f t="shared" si="35"/>
        <v>3305.25</v>
      </c>
    </row>
    <row r="1866" spans="2:8">
      <c r="B1866" s="28">
        <v>10332</v>
      </c>
      <c r="C1866" s="34" t="s">
        <v>252</v>
      </c>
      <c r="D1866" s="34" t="s">
        <v>104</v>
      </c>
      <c r="E1866" s="34" t="s">
        <v>93</v>
      </c>
      <c r="F1866" s="35">
        <v>45</v>
      </c>
      <c r="G1866" s="37">
        <v>34.19</v>
      </c>
      <c r="H1866" s="32">
        <f t="shared" si="35"/>
        <v>1538.55</v>
      </c>
    </row>
    <row r="1867" spans="2:8">
      <c r="B1867" s="28">
        <v>10346</v>
      </c>
      <c r="C1867" s="34" t="s">
        <v>100</v>
      </c>
      <c r="D1867" s="34" t="s">
        <v>119</v>
      </c>
      <c r="E1867" s="34" t="s">
        <v>93</v>
      </c>
      <c r="F1867" s="35">
        <v>24</v>
      </c>
      <c r="G1867" s="37">
        <v>100</v>
      </c>
      <c r="H1867" s="32">
        <f t="shared" si="35"/>
        <v>2400</v>
      </c>
    </row>
    <row r="1868" spans="2:8">
      <c r="B1868" s="28">
        <v>10368</v>
      </c>
      <c r="C1868" s="34" t="s">
        <v>100</v>
      </c>
      <c r="D1868" s="34" t="s">
        <v>119</v>
      </c>
      <c r="E1868" s="34" t="s">
        <v>93</v>
      </c>
      <c r="F1868" s="35">
        <v>46</v>
      </c>
      <c r="G1868" s="37">
        <v>79.62</v>
      </c>
      <c r="H1868" s="32">
        <f t="shared" si="35"/>
        <v>3662.5200000000004</v>
      </c>
    </row>
    <row r="1869" spans="2:8">
      <c r="B1869" s="28">
        <v>10380</v>
      </c>
      <c r="C1869" s="34" t="s">
        <v>261</v>
      </c>
      <c r="D1869" s="34" t="s">
        <v>119</v>
      </c>
      <c r="E1869" s="34" t="s">
        <v>93</v>
      </c>
      <c r="F1869" s="35">
        <v>44</v>
      </c>
      <c r="G1869" s="37">
        <v>79.06</v>
      </c>
      <c r="H1869" s="32">
        <f t="shared" si="35"/>
        <v>3478.6400000000003</v>
      </c>
    </row>
    <row r="1870" spans="2:8">
      <c r="B1870" s="28">
        <v>10407</v>
      </c>
      <c r="C1870" s="34" t="s">
        <v>100</v>
      </c>
      <c r="D1870" s="34" t="s">
        <v>104</v>
      </c>
      <c r="E1870" s="34" t="s">
        <v>518</v>
      </c>
      <c r="F1870" s="35">
        <v>13</v>
      </c>
      <c r="G1870" s="37">
        <v>81.33</v>
      </c>
      <c r="H1870" s="32">
        <f t="shared" si="35"/>
        <v>1057.29</v>
      </c>
    </row>
    <row r="1871" spans="2:8">
      <c r="B1871" s="28">
        <v>10420</v>
      </c>
      <c r="C1871" s="34" t="s">
        <v>168</v>
      </c>
      <c r="D1871" s="34" t="s">
        <v>119</v>
      </c>
      <c r="E1871" s="34" t="s">
        <v>400</v>
      </c>
      <c r="F1871" s="35">
        <v>35</v>
      </c>
      <c r="G1871" s="37">
        <v>96.74</v>
      </c>
      <c r="H1871" s="32">
        <f t="shared" si="35"/>
        <v>3385.8999999999996</v>
      </c>
    </row>
    <row r="1872" spans="2:8">
      <c r="B1872" s="28">
        <v>10108</v>
      </c>
      <c r="C1872" s="34" t="s">
        <v>552</v>
      </c>
      <c r="D1872" s="34" t="s">
        <v>104</v>
      </c>
      <c r="E1872" s="34" t="s">
        <v>93</v>
      </c>
      <c r="F1872" s="35">
        <v>30</v>
      </c>
      <c r="G1872" s="37">
        <v>63.07</v>
      </c>
      <c r="H1872" s="32">
        <f t="shared" si="35"/>
        <v>1892.1</v>
      </c>
    </row>
    <row r="1873" spans="2:8">
      <c r="B1873" s="28">
        <v>10122</v>
      </c>
      <c r="C1873" s="34" t="s">
        <v>109</v>
      </c>
      <c r="D1873" s="34" t="s">
        <v>104</v>
      </c>
      <c r="E1873" s="34" t="s">
        <v>93</v>
      </c>
      <c r="F1873" s="35">
        <v>34</v>
      </c>
      <c r="G1873" s="37">
        <v>50.21</v>
      </c>
      <c r="H1873" s="32">
        <f t="shared" si="35"/>
        <v>1707.14</v>
      </c>
    </row>
    <row r="1874" spans="2:8">
      <c r="B1874" s="28">
        <v>10135</v>
      </c>
      <c r="C1874" s="34" t="s">
        <v>100</v>
      </c>
      <c r="D1874" s="34" t="s">
        <v>104</v>
      </c>
      <c r="E1874" s="34" t="s">
        <v>93</v>
      </c>
      <c r="F1874" s="35">
        <v>27</v>
      </c>
      <c r="G1874" s="37">
        <v>66.13</v>
      </c>
      <c r="H1874" s="32">
        <f t="shared" si="35"/>
        <v>1785.5099999999998</v>
      </c>
    </row>
    <row r="1875" spans="2:8">
      <c r="B1875" s="28">
        <v>10147</v>
      </c>
      <c r="C1875" s="34" t="s">
        <v>100</v>
      </c>
      <c r="D1875" s="34" t="s">
        <v>104</v>
      </c>
      <c r="E1875" s="34" t="s">
        <v>93</v>
      </c>
      <c r="F1875" s="35">
        <v>30</v>
      </c>
      <c r="G1875" s="37">
        <v>68.58</v>
      </c>
      <c r="H1875" s="32">
        <f t="shared" si="35"/>
        <v>2057.4</v>
      </c>
    </row>
    <row r="1876" spans="2:8">
      <c r="B1876" s="28">
        <v>10159</v>
      </c>
      <c r="C1876" s="34" t="s">
        <v>100</v>
      </c>
      <c r="D1876" s="34" t="s">
        <v>119</v>
      </c>
      <c r="E1876" s="34" t="s">
        <v>93</v>
      </c>
      <c r="F1876" s="35">
        <v>50</v>
      </c>
      <c r="G1876" s="37">
        <v>69.8</v>
      </c>
      <c r="H1876" s="32">
        <f t="shared" si="35"/>
        <v>3490</v>
      </c>
    </row>
    <row r="1877" spans="2:8">
      <c r="B1877" s="28">
        <v>10169</v>
      </c>
      <c r="C1877" s="34" t="s">
        <v>168</v>
      </c>
      <c r="D1877" s="34" t="s">
        <v>104</v>
      </c>
      <c r="E1877" s="34" t="s">
        <v>93</v>
      </c>
      <c r="F1877" s="35">
        <v>34</v>
      </c>
      <c r="G1877" s="37">
        <v>50.21</v>
      </c>
      <c r="H1877" s="32">
        <f t="shared" si="35"/>
        <v>1707.14</v>
      </c>
    </row>
    <row r="1878" spans="2:8">
      <c r="B1878" s="28">
        <v>10181</v>
      </c>
      <c r="C1878" s="34" t="s">
        <v>149</v>
      </c>
      <c r="D1878" s="34" t="s">
        <v>104</v>
      </c>
      <c r="E1878" s="34" t="s">
        <v>93</v>
      </c>
      <c r="F1878" s="35">
        <v>23</v>
      </c>
      <c r="G1878" s="37">
        <v>65.52</v>
      </c>
      <c r="H1878" s="32">
        <f t="shared" si="35"/>
        <v>1506.9599999999998</v>
      </c>
    </row>
    <row r="1879" spans="2:8">
      <c r="B1879" s="28">
        <v>10191</v>
      </c>
      <c r="C1879" s="34" t="s">
        <v>566</v>
      </c>
      <c r="D1879" s="34" t="s">
        <v>104</v>
      </c>
      <c r="E1879" s="34" t="s">
        <v>93</v>
      </c>
      <c r="F1879" s="35">
        <v>48</v>
      </c>
      <c r="G1879" s="37">
        <v>60.01</v>
      </c>
      <c r="H1879" s="32">
        <f t="shared" si="35"/>
        <v>2880.48</v>
      </c>
    </row>
    <row r="1880" spans="2:8">
      <c r="B1880" s="28">
        <v>10203</v>
      </c>
      <c r="C1880" s="34" t="s">
        <v>261</v>
      </c>
      <c r="D1880" s="34" t="s">
        <v>104</v>
      </c>
      <c r="E1880" s="34" t="s">
        <v>93</v>
      </c>
      <c r="F1880" s="35">
        <v>34</v>
      </c>
      <c r="G1880" s="37">
        <v>64.900000000000006</v>
      </c>
      <c r="H1880" s="32">
        <f t="shared" si="35"/>
        <v>2206.6000000000004</v>
      </c>
    </row>
    <row r="1881" spans="2:8">
      <c r="B1881" s="28">
        <v>10211</v>
      </c>
      <c r="C1881" s="34" t="s">
        <v>109</v>
      </c>
      <c r="D1881" s="34" t="s">
        <v>104</v>
      </c>
      <c r="E1881" s="34" t="s">
        <v>93</v>
      </c>
      <c r="F1881" s="35">
        <v>48</v>
      </c>
      <c r="G1881" s="37">
        <v>48.98</v>
      </c>
      <c r="H1881" s="32">
        <f t="shared" si="35"/>
        <v>2351.04</v>
      </c>
    </row>
    <row r="1882" spans="2:8">
      <c r="B1882" s="28">
        <v>10225</v>
      </c>
      <c r="C1882" s="34" t="s">
        <v>574</v>
      </c>
      <c r="D1882" s="34" t="s">
        <v>104</v>
      </c>
      <c r="E1882" s="34" t="s">
        <v>93</v>
      </c>
      <c r="F1882" s="35">
        <v>24</v>
      </c>
      <c r="G1882" s="37">
        <v>50.21</v>
      </c>
      <c r="H1882" s="32">
        <f t="shared" si="35"/>
        <v>1205.04</v>
      </c>
    </row>
    <row r="1883" spans="2:8">
      <c r="B1883" s="28">
        <v>10238</v>
      </c>
      <c r="C1883" s="34" t="s">
        <v>429</v>
      </c>
      <c r="D1883" s="34" t="s">
        <v>104</v>
      </c>
      <c r="E1883" s="34" t="s">
        <v>93</v>
      </c>
      <c r="F1883" s="35">
        <v>47</v>
      </c>
      <c r="G1883" s="37">
        <v>62.45</v>
      </c>
      <c r="H1883" s="32">
        <f t="shared" si="35"/>
        <v>2935.15</v>
      </c>
    </row>
    <row r="1884" spans="2:8">
      <c r="B1884" s="28">
        <v>10253</v>
      </c>
      <c r="C1884" s="34" t="s">
        <v>252</v>
      </c>
      <c r="D1884" s="34" t="s">
        <v>104</v>
      </c>
      <c r="E1884" s="34" t="s">
        <v>444</v>
      </c>
      <c r="F1884" s="35">
        <v>24</v>
      </c>
      <c r="G1884" s="37">
        <v>52.66</v>
      </c>
      <c r="H1884" s="32">
        <f t="shared" si="35"/>
        <v>1263.8399999999999</v>
      </c>
    </row>
    <row r="1885" spans="2:8">
      <c r="B1885" s="28">
        <v>10266</v>
      </c>
      <c r="C1885" s="34" t="s">
        <v>352</v>
      </c>
      <c r="D1885" s="34" t="s">
        <v>104</v>
      </c>
      <c r="E1885" s="34" t="s">
        <v>93</v>
      </c>
      <c r="F1885" s="35">
        <v>47</v>
      </c>
      <c r="G1885" s="37">
        <v>62.45</v>
      </c>
      <c r="H1885" s="32">
        <f t="shared" si="35"/>
        <v>2935.15</v>
      </c>
    </row>
    <row r="1886" spans="2:8">
      <c r="B1886" s="28">
        <v>10276</v>
      </c>
      <c r="C1886" s="34" t="s">
        <v>100</v>
      </c>
      <c r="D1886" s="34" t="s">
        <v>104</v>
      </c>
      <c r="E1886" s="34" t="s">
        <v>93</v>
      </c>
      <c r="F1886" s="35">
        <v>20</v>
      </c>
      <c r="G1886" s="37">
        <v>61.23</v>
      </c>
      <c r="H1886" s="32">
        <f t="shared" si="35"/>
        <v>1224.5999999999999</v>
      </c>
    </row>
    <row r="1887" spans="2:8">
      <c r="B1887" s="28">
        <v>10287</v>
      </c>
      <c r="C1887" s="34" t="s">
        <v>574</v>
      </c>
      <c r="D1887" s="34" t="s">
        <v>104</v>
      </c>
      <c r="E1887" s="34" t="s">
        <v>93</v>
      </c>
      <c r="F1887" s="35">
        <v>20</v>
      </c>
      <c r="G1887" s="37">
        <v>67.97</v>
      </c>
      <c r="H1887" s="32">
        <f t="shared" si="35"/>
        <v>1359.4</v>
      </c>
    </row>
    <row r="1888" spans="2:8">
      <c r="B1888" s="28">
        <v>10300</v>
      </c>
      <c r="C1888" s="34" t="s">
        <v>566</v>
      </c>
      <c r="D1888" s="34" t="s">
        <v>104</v>
      </c>
      <c r="E1888" s="34" t="s">
        <v>93</v>
      </c>
      <c r="F1888" s="35">
        <v>31</v>
      </c>
      <c r="G1888" s="37">
        <v>58.78</v>
      </c>
      <c r="H1888" s="32">
        <f t="shared" si="35"/>
        <v>1822.18</v>
      </c>
    </row>
    <row r="1889" spans="2:8">
      <c r="B1889" s="28">
        <v>10310</v>
      </c>
      <c r="C1889" s="34" t="s">
        <v>566</v>
      </c>
      <c r="D1889" s="34" t="s">
        <v>104</v>
      </c>
      <c r="E1889" s="34" t="s">
        <v>93</v>
      </c>
      <c r="F1889" s="35">
        <v>38</v>
      </c>
      <c r="G1889" s="37">
        <v>56.94</v>
      </c>
      <c r="H1889" s="32">
        <f t="shared" si="35"/>
        <v>2163.7199999999998</v>
      </c>
    </row>
    <row r="1890" spans="2:8">
      <c r="B1890" s="28">
        <v>10320</v>
      </c>
      <c r="C1890" s="34" t="s">
        <v>273</v>
      </c>
      <c r="D1890" s="34" t="s">
        <v>104</v>
      </c>
      <c r="E1890" s="34" t="s">
        <v>93</v>
      </c>
      <c r="F1890" s="35">
        <v>26</v>
      </c>
      <c r="G1890" s="37">
        <v>61.23</v>
      </c>
      <c r="H1890" s="32">
        <f t="shared" si="35"/>
        <v>1591.98</v>
      </c>
    </row>
    <row r="1891" spans="2:8">
      <c r="B1891" s="28">
        <v>10331</v>
      </c>
      <c r="C1891" s="34" t="s">
        <v>100</v>
      </c>
      <c r="D1891" s="34" t="s">
        <v>119</v>
      </c>
      <c r="E1891" s="34" t="s">
        <v>93</v>
      </c>
      <c r="F1891" s="35">
        <v>25</v>
      </c>
      <c r="G1891" s="37">
        <v>100</v>
      </c>
      <c r="H1891" s="32">
        <f t="shared" si="35"/>
        <v>2500</v>
      </c>
    </row>
    <row r="1892" spans="2:8">
      <c r="B1892" s="28">
        <v>10342</v>
      </c>
      <c r="C1892" s="34" t="s">
        <v>168</v>
      </c>
      <c r="D1892" s="34" t="s">
        <v>104</v>
      </c>
      <c r="E1892" s="34" t="s">
        <v>93</v>
      </c>
      <c r="F1892" s="35">
        <v>48</v>
      </c>
      <c r="G1892" s="37">
        <v>62.45</v>
      </c>
      <c r="H1892" s="32">
        <f t="shared" si="35"/>
        <v>2997.6000000000004</v>
      </c>
    </row>
    <row r="1893" spans="2:8">
      <c r="B1893" s="28">
        <v>10355</v>
      </c>
      <c r="C1893" s="34" t="s">
        <v>261</v>
      </c>
      <c r="D1893" s="34" t="s">
        <v>104</v>
      </c>
      <c r="E1893" s="34" t="s">
        <v>93</v>
      </c>
      <c r="F1893" s="35">
        <v>44</v>
      </c>
      <c r="G1893" s="37">
        <v>62.45</v>
      </c>
      <c r="H1893" s="32">
        <f t="shared" si="35"/>
        <v>2747.8</v>
      </c>
    </row>
    <row r="1894" spans="2:8">
      <c r="B1894" s="28">
        <v>10363</v>
      </c>
      <c r="C1894" s="34" t="s">
        <v>208</v>
      </c>
      <c r="D1894" s="34" t="s">
        <v>104</v>
      </c>
      <c r="E1894" s="34" t="s">
        <v>93</v>
      </c>
      <c r="F1894" s="35">
        <v>21</v>
      </c>
      <c r="G1894" s="37">
        <v>100</v>
      </c>
      <c r="H1894" s="32">
        <f t="shared" si="35"/>
        <v>2100</v>
      </c>
    </row>
    <row r="1895" spans="2:8">
      <c r="B1895" s="28">
        <v>10378</v>
      </c>
      <c r="C1895" s="34" t="s">
        <v>261</v>
      </c>
      <c r="D1895" s="34" t="s">
        <v>104</v>
      </c>
      <c r="E1895" s="34" t="s">
        <v>93</v>
      </c>
      <c r="F1895" s="35">
        <v>46</v>
      </c>
      <c r="G1895" s="37">
        <v>41.54</v>
      </c>
      <c r="H1895" s="32">
        <f t="shared" si="35"/>
        <v>1910.84</v>
      </c>
    </row>
    <row r="1896" spans="2:8">
      <c r="B1896" s="28">
        <v>10390</v>
      </c>
      <c r="C1896" s="34" t="s">
        <v>100</v>
      </c>
      <c r="D1896" s="34" t="s">
        <v>104</v>
      </c>
      <c r="E1896" s="34" t="s">
        <v>93</v>
      </c>
      <c r="F1896" s="35">
        <v>46</v>
      </c>
      <c r="G1896" s="37">
        <v>52.84</v>
      </c>
      <c r="H1896" s="32">
        <f t="shared" si="35"/>
        <v>2430.6400000000003</v>
      </c>
    </row>
    <row r="1897" spans="2:8">
      <c r="B1897" s="28">
        <v>10419</v>
      </c>
      <c r="C1897" s="34" t="s">
        <v>229</v>
      </c>
      <c r="D1897" s="34" t="s">
        <v>104</v>
      </c>
      <c r="E1897" s="34" t="s">
        <v>93</v>
      </c>
      <c r="F1897" s="35">
        <v>55</v>
      </c>
      <c r="G1897" s="37">
        <v>52.66</v>
      </c>
      <c r="H1897" s="32">
        <f t="shared" si="35"/>
        <v>2896.2999999999997</v>
      </c>
    </row>
    <row r="1898" spans="2:8">
      <c r="B1898" s="28">
        <v>10106</v>
      </c>
      <c r="C1898" s="34" t="s">
        <v>352</v>
      </c>
      <c r="D1898" s="34" t="s">
        <v>104</v>
      </c>
      <c r="E1898" s="34" t="s">
        <v>93</v>
      </c>
      <c r="F1898" s="35">
        <v>31</v>
      </c>
      <c r="G1898" s="37">
        <v>52.6</v>
      </c>
      <c r="H1898" s="32">
        <f t="shared" si="35"/>
        <v>1630.6000000000001</v>
      </c>
    </row>
    <row r="1899" spans="2:8">
      <c r="B1899" s="28">
        <v>10119</v>
      </c>
      <c r="C1899" s="34" t="s">
        <v>229</v>
      </c>
      <c r="D1899" s="34" t="s">
        <v>104</v>
      </c>
      <c r="E1899" s="34" t="s">
        <v>93</v>
      </c>
      <c r="F1899" s="35">
        <v>20</v>
      </c>
      <c r="G1899" s="37">
        <v>72.98</v>
      </c>
      <c r="H1899" s="32">
        <f t="shared" si="35"/>
        <v>1459.6000000000001</v>
      </c>
    </row>
    <row r="1900" spans="2:8">
      <c r="B1900" s="28">
        <v>10131</v>
      </c>
      <c r="C1900" s="34" t="s">
        <v>100</v>
      </c>
      <c r="D1900" s="34" t="s">
        <v>104</v>
      </c>
      <c r="E1900" s="34" t="s">
        <v>93</v>
      </c>
      <c r="F1900" s="35">
        <v>29</v>
      </c>
      <c r="G1900" s="37">
        <v>59.18</v>
      </c>
      <c r="H1900" s="32">
        <f t="shared" si="35"/>
        <v>1716.22</v>
      </c>
    </row>
    <row r="1901" spans="2:8">
      <c r="B1901" s="28">
        <v>10143</v>
      </c>
      <c r="C1901" s="34" t="s">
        <v>100</v>
      </c>
      <c r="D1901" s="34" t="s">
        <v>104</v>
      </c>
      <c r="E1901" s="34" t="s">
        <v>93</v>
      </c>
      <c r="F1901" s="35">
        <v>33</v>
      </c>
      <c r="G1901" s="37">
        <v>77.59</v>
      </c>
      <c r="H1901" s="32">
        <f t="shared" si="35"/>
        <v>2560.4700000000003</v>
      </c>
    </row>
    <row r="1902" spans="2:8">
      <c r="B1902" s="28">
        <v>10155</v>
      </c>
      <c r="C1902" s="34" t="s">
        <v>208</v>
      </c>
      <c r="D1902" s="34" t="s">
        <v>104</v>
      </c>
      <c r="E1902" s="34" t="s">
        <v>93</v>
      </c>
      <c r="F1902" s="35">
        <v>34</v>
      </c>
      <c r="G1902" s="37">
        <v>55.89</v>
      </c>
      <c r="H1902" s="32">
        <f t="shared" si="35"/>
        <v>1900.26</v>
      </c>
    </row>
    <row r="1903" spans="2:8">
      <c r="B1903" s="28">
        <v>10167</v>
      </c>
      <c r="C1903" s="34" t="s">
        <v>273</v>
      </c>
      <c r="D1903" s="34" t="s">
        <v>104</v>
      </c>
      <c r="E1903" s="34" t="s">
        <v>444</v>
      </c>
      <c r="F1903" s="35">
        <v>32</v>
      </c>
      <c r="G1903" s="37">
        <v>63.12</v>
      </c>
      <c r="H1903" s="32">
        <f t="shared" si="35"/>
        <v>2019.84</v>
      </c>
    </row>
    <row r="1904" spans="2:8">
      <c r="B1904" s="28">
        <v>10178</v>
      </c>
      <c r="C1904" s="34" t="s">
        <v>109</v>
      </c>
      <c r="D1904" s="34" t="s">
        <v>104</v>
      </c>
      <c r="E1904" s="34" t="s">
        <v>93</v>
      </c>
      <c r="F1904" s="35">
        <v>27</v>
      </c>
      <c r="G1904" s="37">
        <v>73.64</v>
      </c>
      <c r="H1904" s="32">
        <f t="shared" si="35"/>
        <v>1988.28</v>
      </c>
    </row>
    <row r="1905" spans="2:8">
      <c r="B1905" s="28">
        <v>10186</v>
      </c>
      <c r="C1905" s="34" t="s">
        <v>252</v>
      </c>
      <c r="D1905" s="34" t="s">
        <v>104</v>
      </c>
      <c r="E1905" s="34" t="s">
        <v>93</v>
      </c>
      <c r="F1905" s="35">
        <v>21</v>
      </c>
      <c r="G1905" s="37">
        <v>69.040000000000006</v>
      </c>
      <c r="H1905" s="32">
        <f t="shared" si="35"/>
        <v>1449.8400000000001</v>
      </c>
    </row>
    <row r="1906" spans="2:8">
      <c r="B1906" s="28">
        <v>10198</v>
      </c>
      <c r="C1906" s="34" t="s">
        <v>552</v>
      </c>
      <c r="D1906" s="34" t="s">
        <v>104</v>
      </c>
      <c r="E1906" s="34" t="s">
        <v>93</v>
      </c>
      <c r="F1906" s="35">
        <v>27</v>
      </c>
      <c r="G1906" s="37">
        <v>71.67</v>
      </c>
      <c r="H1906" s="32">
        <f t="shared" si="35"/>
        <v>1935.0900000000001</v>
      </c>
    </row>
    <row r="1907" spans="2:8">
      <c r="B1907" s="28">
        <v>10209</v>
      </c>
      <c r="C1907" s="34" t="s">
        <v>100</v>
      </c>
      <c r="D1907" s="34" t="s">
        <v>104</v>
      </c>
      <c r="E1907" s="34" t="s">
        <v>93</v>
      </c>
      <c r="F1907" s="35">
        <v>36</v>
      </c>
      <c r="G1907" s="37">
        <v>77.59</v>
      </c>
      <c r="H1907" s="32">
        <f t="shared" si="35"/>
        <v>2793.2400000000002</v>
      </c>
    </row>
    <row r="1908" spans="2:8">
      <c r="B1908" s="28">
        <v>10222</v>
      </c>
      <c r="C1908" s="34" t="s">
        <v>100</v>
      </c>
      <c r="D1908" s="34" t="s">
        <v>119</v>
      </c>
      <c r="E1908" s="34" t="s">
        <v>93</v>
      </c>
      <c r="F1908" s="35">
        <v>43</v>
      </c>
      <c r="G1908" s="37">
        <v>70.349999999999994</v>
      </c>
      <c r="H1908" s="32">
        <f t="shared" si="35"/>
        <v>3025.0499999999997</v>
      </c>
    </row>
    <row r="1909" spans="2:8">
      <c r="B1909" s="28">
        <v>10249</v>
      </c>
      <c r="C1909" s="34" t="s">
        <v>100</v>
      </c>
      <c r="D1909" s="34" t="s">
        <v>104</v>
      </c>
      <c r="E1909" s="34" t="s">
        <v>93</v>
      </c>
      <c r="F1909" s="35">
        <v>25</v>
      </c>
      <c r="G1909" s="37">
        <v>69.7</v>
      </c>
      <c r="H1909" s="32">
        <f t="shared" si="35"/>
        <v>1742.5</v>
      </c>
    </row>
    <row r="1910" spans="2:8">
      <c r="B1910" s="28">
        <v>10262</v>
      </c>
      <c r="C1910" s="34" t="s">
        <v>261</v>
      </c>
      <c r="D1910" s="34" t="s">
        <v>119</v>
      </c>
      <c r="E1910" s="34" t="s">
        <v>444</v>
      </c>
      <c r="F1910" s="35">
        <v>46</v>
      </c>
      <c r="G1910" s="37">
        <v>70.349999999999994</v>
      </c>
      <c r="H1910" s="32">
        <f t="shared" si="35"/>
        <v>3236.1</v>
      </c>
    </row>
    <row r="1911" spans="2:8">
      <c r="B1911" s="28">
        <v>10274</v>
      </c>
      <c r="C1911" s="34" t="s">
        <v>100</v>
      </c>
      <c r="D1911" s="34" t="s">
        <v>104</v>
      </c>
      <c r="E1911" s="34" t="s">
        <v>93</v>
      </c>
      <c r="F1911" s="35">
        <v>24</v>
      </c>
      <c r="G1911" s="37">
        <v>72.33</v>
      </c>
      <c r="H1911" s="32">
        <f t="shared" si="35"/>
        <v>1735.92</v>
      </c>
    </row>
    <row r="1912" spans="2:8">
      <c r="B1912" s="28">
        <v>10284</v>
      </c>
      <c r="C1912" s="34" t="s">
        <v>149</v>
      </c>
      <c r="D1912" s="34" t="s">
        <v>104</v>
      </c>
      <c r="E1912" s="34" t="s">
        <v>93</v>
      </c>
      <c r="F1912" s="35">
        <v>39</v>
      </c>
      <c r="G1912" s="37">
        <v>71.67</v>
      </c>
      <c r="H1912" s="32">
        <f t="shared" si="35"/>
        <v>2795.13</v>
      </c>
    </row>
    <row r="1913" spans="2:8">
      <c r="B1913" s="28">
        <v>10296</v>
      </c>
      <c r="C1913" s="34" t="s">
        <v>566</v>
      </c>
      <c r="D1913" s="34" t="s">
        <v>104</v>
      </c>
      <c r="E1913" s="34" t="s">
        <v>93</v>
      </c>
      <c r="F1913" s="35">
        <v>31</v>
      </c>
      <c r="G1913" s="37">
        <v>53.92</v>
      </c>
      <c r="H1913" s="32">
        <f t="shared" si="35"/>
        <v>1671.52</v>
      </c>
    </row>
    <row r="1914" spans="2:8">
      <c r="B1914" s="28">
        <v>10307</v>
      </c>
      <c r="C1914" s="34" t="s">
        <v>100</v>
      </c>
      <c r="D1914" s="34" t="s">
        <v>104</v>
      </c>
      <c r="E1914" s="34" t="s">
        <v>93</v>
      </c>
      <c r="F1914" s="35">
        <v>22</v>
      </c>
      <c r="G1914" s="37">
        <v>71.67</v>
      </c>
      <c r="H1914" s="32">
        <f t="shared" si="35"/>
        <v>1576.74</v>
      </c>
    </row>
    <row r="1915" spans="2:8">
      <c r="B1915" s="28">
        <v>10316</v>
      </c>
      <c r="C1915" s="34" t="s">
        <v>252</v>
      </c>
      <c r="D1915" s="34" t="s">
        <v>119</v>
      </c>
      <c r="E1915" s="34" t="s">
        <v>93</v>
      </c>
      <c r="F1915" s="35">
        <v>47</v>
      </c>
      <c r="G1915" s="37">
        <v>76.930000000000007</v>
      </c>
      <c r="H1915" s="32">
        <f t="shared" si="35"/>
        <v>3615.7100000000005</v>
      </c>
    </row>
    <row r="1916" spans="2:8">
      <c r="B1916" s="28">
        <v>10328</v>
      </c>
      <c r="C1916" s="34" t="s">
        <v>352</v>
      </c>
      <c r="D1916" s="34" t="s">
        <v>104</v>
      </c>
      <c r="E1916" s="34" t="s">
        <v>93</v>
      </c>
      <c r="F1916" s="35">
        <v>20</v>
      </c>
      <c r="G1916" s="37">
        <v>72.98</v>
      </c>
      <c r="H1916" s="32">
        <f t="shared" si="35"/>
        <v>1459.6000000000001</v>
      </c>
    </row>
    <row r="1917" spans="2:8">
      <c r="B1917" s="28">
        <v>10339</v>
      </c>
      <c r="C1917" s="34" t="s">
        <v>288</v>
      </c>
      <c r="D1917" s="34" t="s">
        <v>104</v>
      </c>
      <c r="E1917" s="34" t="s">
        <v>93</v>
      </c>
      <c r="F1917" s="35">
        <v>29</v>
      </c>
      <c r="G1917" s="37">
        <v>99.69</v>
      </c>
      <c r="H1917" s="32">
        <f t="shared" si="35"/>
        <v>2891.0099999999998</v>
      </c>
    </row>
    <row r="1918" spans="2:8">
      <c r="B1918" s="28">
        <v>10351</v>
      </c>
      <c r="C1918" s="34" t="s">
        <v>252</v>
      </c>
      <c r="D1918" s="34" t="s">
        <v>104</v>
      </c>
      <c r="E1918" s="34" t="s">
        <v>93</v>
      </c>
      <c r="F1918" s="35">
        <v>38</v>
      </c>
      <c r="G1918" s="37">
        <v>68.38</v>
      </c>
      <c r="H1918" s="32">
        <f t="shared" si="35"/>
        <v>2598.4399999999996</v>
      </c>
    </row>
    <row r="1919" spans="2:8">
      <c r="B1919" s="28">
        <v>10361</v>
      </c>
      <c r="C1919" s="34" t="s">
        <v>168</v>
      </c>
      <c r="D1919" s="34" t="s">
        <v>119</v>
      </c>
      <c r="E1919" s="34" t="s">
        <v>93</v>
      </c>
      <c r="F1919" s="35">
        <v>34</v>
      </c>
      <c r="G1919" s="37">
        <v>100</v>
      </c>
      <c r="H1919" s="32">
        <f t="shared" si="35"/>
        <v>3400</v>
      </c>
    </row>
    <row r="1920" spans="2:8">
      <c r="B1920" s="28">
        <v>10373</v>
      </c>
      <c r="C1920" s="34" t="s">
        <v>208</v>
      </c>
      <c r="D1920" s="34" t="s">
        <v>119</v>
      </c>
      <c r="E1920" s="34" t="s">
        <v>93</v>
      </c>
      <c r="F1920" s="35">
        <v>46</v>
      </c>
      <c r="G1920" s="37">
        <v>66</v>
      </c>
      <c r="H1920" s="32">
        <f t="shared" si="35"/>
        <v>3036</v>
      </c>
    </row>
    <row r="1921" spans="2:8">
      <c r="B1921" s="28">
        <v>10386</v>
      </c>
      <c r="C1921" s="34" t="s">
        <v>261</v>
      </c>
      <c r="D1921" s="34" t="s">
        <v>104</v>
      </c>
      <c r="E1921" s="34" t="s">
        <v>526</v>
      </c>
      <c r="F1921" s="35">
        <v>35</v>
      </c>
      <c r="G1921" s="37">
        <v>63.76</v>
      </c>
      <c r="H1921" s="32">
        <f t="shared" si="35"/>
        <v>2231.6</v>
      </c>
    </row>
    <row r="1922" spans="2:8">
      <c r="B1922" s="28">
        <v>10398</v>
      </c>
      <c r="C1922" s="34" t="s">
        <v>109</v>
      </c>
      <c r="D1922" s="34" t="s">
        <v>104</v>
      </c>
      <c r="E1922" s="34" t="s">
        <v>93</v>
      </c>
      <c r="F1922" s="35">
        <v>34</v>
      </c>
      <c r="G1922" s="37">
        <v>71.67</v>
      </c>
      <c r="H1922" s="32">
        <f t="shared" si="35"/>
        <v>2436.7800000000002</v>
      </c>
    </row>
    <row r="1923" spans="2:8">
      <c r="B1923" s="28">
        <v>10400</v>
      </c>
      <c r="C1923" s="34" t="s">
        <v>100</v>
      </c>
      <c r="D1923" s="34" t="s">
        <v>104</v>
      </c>
      <c r="E1923" s="34" t="s">
        <v>93</v>
      </c>
      <c r="F1923" s="35">
        <v>38</v>
      </c>
      <c r="G1923" s="37">
        <v>57.2</v>
      </c>
      <c r="H1923" s="32">
        <f t="shared" si="35"/>
        <v>2173.6</v>
      </c>
    </row>
    <row r="1924" spans="2:8">
      <c r="B1924" s="28">
        <v>10415</v>
      </c>
      <c r="C1924" s="34" t="s">
        <v>168</v>
      </c>
      <c r="D1924" s="34" t="s">
        <v>104</v>
      </c>
      <c r="E1924" s="34" t="s">
        <v>256</v>
      </c>
      <c r="F1924" s="35">
        <v>18</v>
      </c>
      <c r="G1924" s="37">
        <v>69.7</v>
      </c>
      <c r="H1924" s="32">
        <f t="shared" si="35"/>
        <v>1254.6000000000001</v>
      </c>
    </row>
    <row r="1925" spans="2:8">
      <c r="B1925" s="28">
        <v>10110</v>
      </c>
      <c r="C1925" s="34" t="s">
        <v>252</v>
      </c>
      <c r="D1925" s="34" t="s">
        <v>119</v>
      </c>
      <c r="E1925" s="34" t="s">
        <v>93</v>
      </c>
      <c r="F1925" s="35">
        <v>37</v>
      </c>
      <c r="G1925" s="37">
        <v>100</v>
      </c>
      <c r="H1925" s="32">
        <f t="shared" ref="H1925:H1988" si="36">F1925*G1925</f>
        <v>3700</v>
      </c>
    </row>
    <row r="1926" spans="2:8">
      <c r="B1926" s="28">
        <v>10124</v>
      </c>
      <c r="C1926" s="34" t="s">
        <v>100</v>
      </c>
      <c r="D1926" s="34" t="s">
        <v>119</v>
      </c>
      <c r="E1926" s="34" t="s">
        <v>93</v>
      </c>
      <c r="F1926" s="35">
        <v>43</v>
      </c>
      <c r="G1926" s="37">
        <v>100</v>
      </c>
      <c r="H1926" s="32">
        <f t="shared" si="36"/>
        <v>4300</v>
      </c>
    </row>
    <row r="1927" spans="2:8">
      <c r="B1927" s="28">
        <v>10148</v>
      </c>
      <c r="C1927" s="34" t="s">
        <v>168</v>
      </c>
      <c r="D1927" s="34" t="s">
        <v>119</v>
      </c>
      <c r="E1927" s="34" t="s">
        <v>93</v>
      </c>
      <c r="F1927" s="35">
        <v>27</v>
      </c>
      <c r="G1927" s="37">
        <v>100</v>
      </c>
      <c r="H1927" s="32">
        <f t="shared" si="36"/>
        <v>2700</v>
      </c>
    </row>
    <row r="1928" spans="2:8">
      <c r="B1928" s="28">
        <v>10161</v>
      </c>
      <c r="C1928" s="34" t="s">
        <v>429</v>
      </c>
      <c r="D1928" s="34" t="s">
        <v>119</v>
      </c>
      <c r="E1928" s="34" t="s">
        <v>93</v>
      </c>
      <c r="F1928" s="35">
        <v>30</v>
      </c>
      <c r="G1928" s="37">
        <v>100</v>
      </c>
      <c r="H1928" s="32">
        <f t="shared" si="36"/>
        <v>3000</v>
      </c>
    </row>
    <row r="1929" spans="2:8">
      <c r="B1929" s="28">
        <v>10172</v>
      </c>
      <c r="C1929" s="34" t="s">
        <v>100</v>
      </c>
      <c r="D1929" s="34" t="s">
        <v>104</v>
      </c>
      <c r="E1929" s="34" t="s">
        <v>93</v>
      </c>
      <c r="F1929" s="35">
        <v>22</v>
      </c>
      <c r="G1929" s="37">
        <v>98.51</v>
      </c>
      <c r="H1929" s="32">
        <f t="shared" si="36"/>
        <v>2167.2200000000003</v>
      </c>
    </row>
    <row r="1930" spans="2:8">
      <c r="B1930" s="28">
        <v>10182</v>
      </c>
      <c r="C1930" s="34" t="s">
        <v>100</v>
      </c>
      <c r="D1930" s="34" t="s">
        <v>119</v>
      </c>
      <c r="E1930" s="34" t="s">
        <v>93</v>
      </c>
      <c r="F1930" s="35">
        <v>49</v>
      </c>
      <c r="G1930" s="37">
        <v>100</v>
      </c>
      <c r="H1930" s="32">
        <f t="shared" si="36"/>
        <v>4900</v>
      </c>
    </row>
    <row r="1931" spans="2:8">
      <c r="B1931" s="28">
        <v>10192</v>
      </c>
      <c r="C1931" s="34" t="s">
        <v>100</v>
      </c>
      <c r="D1931" s="34" t="s">
        <v>119</v>
      </c>
      <c r="E1931" s="34" t="s">
        <v>93</v>
      </c>
      <c r="F1931" s="35">
        <v>46</v>
      </c>
      <c r="G1931" s="37">
        <v>100</v>
      </c>
      <c r="H1931" s="32">
        <f t="shared" si="36"/>
        <v>4600</v>
      </c>
    </row>
    <row r="1932" spans="2:8">
      <c r="B1932" s="28">
        <v>10204</v>
      </c>
      <c r="C1932" s="34" t="s">
        <v>100</v>
      </c>
      <c r="D1932" s="34" t="s">
        <v>119</v>
      </c>
      <c r="E1932" s="34" t="s">
        <v>93</v>
      </c>
      <c r="F1932" s="35">
        <v>48</v>
      </c>
      <c r="G1932" s="37">
        <v>91.02</v>
      </c>
      <c r="H1932" s="32">
        <f t="shared" si="36"/>
        <v>4368.96</v>
      </c>
    </row>
    <row r="1933" spans="2:8">
      <c r="B1933" s="28">
        <v>10212</v>
      </c>
      <c r="C1933" s="34" t="s">
        <v>261</v>
      </c>
      <c r="D1933" s="34" t="s">
        <v>119</v>
      </c>
      <c r="E1933" s="34" t="s">
        <v>93</v>
      </c>
      <c r="F1933" s="35">
        <v>46</v>
      </c>
      <c r="G1933" s="37">
        <v>87.81</v>
      </c>
      <c r="H1933" s="32">
        <f t="shared" si="36"/>
        <v>4039.26</v>
      </c>
    </row>
    <row r="1934" spans="2:8">
      <c r="B1934" s="28">
        <v>10226</v>
      </c>
      <c r="C1934" s="34" t="s">
        <v>100</v>
      </c>
      <c r="D1934" s="34" t="s">
        <v>119</v>
      </c>
      <c r="E1934" s="34" t="s">
        <v>93</v>
      </c>
      <c r="F1934" s="35">
        <v>48</v>
      </c>
      <c r="G1934" s="37">
        <v>92.09</v>
      </c>
      <c r="H1934" s="32">
        <f t="shared" si="36"/>
        <v>4420.32</v>
      </c>
    </row>
    <row r="1935" spans="2:8">
      <c r="B1935" s="28">
        <v>10241</v>
      </c>
      <c r="C1935" s="34" t="s">
        <v>109</v>
      </c>
      <c r="D1935" s="34" t="s">
        <v>104</v>
      </c>
      <c r="E1935" s="34" t="s">
        <v>93</v>
      </c>
      <c r="F1935" s="35">
        <v>27</v>
      </c>
      <c r="G1935" s="37">
        <v>86.73</v>
      </c>
      <c r="H1935" s="32">
        <f t="shared" si="36"/>
        <v>2341.71</v>
      </c>
    </row>
    <row r="1936" spans="2:8">
      <c r="B1936" s="28">
        <v>10267</v>
      </c>
      <c r="C1936" s="34" t="s">
        <v>100</v>
      </c>
      <c r="D1936" s="34" t="s">
        <v>119</v>
      </c>
      <c r="E1936" s="34" t="s">
        <v>93</v>
      </c>
      <c r="F1936" s="35">
        <v>43</v>
      </c>
      <c r="G1936" s="37">
        <v>100</v>
      </c>
      <c r="H1936" s="32">
        <f t="shared" si="36"/>
        <v>4300</v>
      </c>
    </row>
    <row r="1937" spans="2:8">
      <c r="B1937" s="28">
        <v>10279</v>
      </c>
      <c r="C1937" s="34" t="s">
        <v>261</v>
      </c>
      <c r="D1937" s="34" t="s">
        <v>119</v>
      </c>
      <c r="E1937" s="34" t="s">
        <v>93</v>
      </c>
      <c r="F1937" s="35">
        <v>48</v>
      </c>
      <c r="G1937" s="37">
        <v>100</v>
      </c>
      <c r="H1937" s="32">
        <f t="shared" si="36"/>
        <v>4800</v>
      </c>
    </row>
    <row r="1938" spans="2:8">
      <c r="B1938" s="28">
        <v>10288</v>
      </c>
      <c r="C1938" s="34" t="s">
        <v>287</v>
      </c>
      <c r="D1938" s="34" t="s">
        <v>119</v>
      </c>
      <c r="E1938" s="34" t="s">
        <v>93</v>
      </c>
      <c r="F1938" s="35">
        <v>41</v>
      </c>
      <c r="G1938" s="37">
        <v>100</v>
      </c>
      <c r="H1938" s="32">
        <f t="shared" si="36"/>
        <v>4100</v>
      </c>
    </row>
    <row r="1939" spans="2:8">
      <c r="B1939" s="28">
        <v>10301</v>
      </c>
      <c r="C1939" s="34" t="s">
        <v>149</v>
      </c>
      <c r="D1939" s="34" t="s">
        <v>104</v>
      </c>
      <c r="E1939" s="34" t="s">
        <v>93</v>
      </c>
      <c r="F1939" s="35">
        <v>22</v>
      </c>
      <c r="G1939" s="37">
        <v>96.37</v>
      </c>
      <c r="H1939" s="32">
        <f t="shared" si="36"/>
        <v>2120.1400000000003</v>
      </c>
    </row>
    <row r="1940" spans="2:8">
      <c r="B1940" s="28">
        <v>10311</v>
      </c>
      <c r="C1940" s="34" t="s">
        <v>261</v>
      </c>
      <c r="D1940" s="34" t="s">
        <v>119</v>
      </c>
      <c r="E1940" s="34" t="s">
        <v>93</v>
      </c>
      <c r="F1940" s="35">
        <v>46</v>
      </c>
      <c r="G1940" s="37">
        <v>92.09</v>
      </c>
      <c r="H1940" s="32">
        <f t="shared" si="36"/>
        <v>4236.1400000000003</v>
      </c>
    </row>
    <row r="1941" spans="2:8">
      <c r="B1941" s="28">
        <v>10321</v>
      </c>
      <c r="C1941" s="34" t="s">
        <v>100</v>
      </c>
      <c r="D1941" s="34" t="s">
        <v>104</v>
      </c>
      <c r="E1941" s="34" t="s">
        <v>93</v>
      </c>
      <c r="F1941" s="35">
        <v>21</v>
      </c>
      <c r="G1941" s="37">
        <v>89.95</v>
      </c>
      <c r="H1941" s="32">
        <f t="shared" si="36"/>
        <v>1888.95</v>
      </c>
    </row>
    <row r="1942" spans="2:8">
      <c r="B1942" s="28">
        <v>10332</v>
      </c>
      <c r="C1942" s="34" t="s">
        <v>252</v>
      </c>
      <c r="D1942" s="34" t="s">
        <v>104</v>
      </c>
      <c r="E1942" s="34" t="s">
        <v>93</v>
      </c>
      <c r="F1942" s="35">
        <v>31</v>
      </c>
      <c r="G1942" s="37">
        <v>37.18</v>
      </c>
      <c r="H1942" s="32">
        <f t="shared" si="36"/>
        <v>1152.58</v>
      </c>
    </row>
    <row r="1943" spans="2:8">
      <c r="B1943" s="28">
        <v>10346</v>
      </c>
      <c r="C1943" s="34" t="s">
        <v>100</v>
      </c>
      <c r="D1943" s="34" t="s">
        <v>104</v>
      </c>
      <c r="E1943" s="34" t="s">
        <v>93</v>
      </c>
      <c r="F1943" s="35">
        <v>26</v>
      </c>
      <c r="G1943" s="37">
        <v>95.88</v>
      </c>
      <c r="H1943" s="32">
        <f t="shared" si="36"/>
        <v>2492.88</v>
      </c>
    </row>
    <row r="1944" spans="2:8">
      <c r="B1944" s="28">
        <v>10368</v>
      </c>
      <c r="C1944" s="34" t="s">
        <v>100</v>
      </c>
      <c r="D1944" s="34" t="s">
        <v>104</v>
      </c>
      <c r="E1944" s="34" t="s">
        <v>93</v>
      </c>
      <c r="F1944" s="35">
        <v>20</v>
      </c>
      <c r="G1944" s="37">
        <v>99.58</v>
      </c>
      <c r="H1944" s="32">
        <f t="shared" si="36"/>
        <v>1991.6</v>
      </c>
    </row>
    <row r="1945" spans="2:8">
      <c r="B1945" s="28">
        <v>10380</v>
      </c>
      <c r="C1945" s="34" t="s">
        <v>261</v>
      </c>
      <c r="D1945" s="34" t="s">
        <v>119</v>
      </c>
      <c r="E1945" s="34" t="s">
        <v>93</v>
      </c>
      <c r="F1945" s="35">
        <v>34</v>
      </c>
      <c r="G1945" s="37">
        <v>100</v>
      </c>
      <c r="H1945" s="32">
        <f t="shared" si="36"/>
        <v>3400</v>
      </c>
    </row>
    <row r="1946" spans="2:8">
      <c r="B1946" s="28">
        <v>10407</v>
      </c>
      <c r="C1946" s="34" t="s">
        <v>100</v>
      </c>
      <c r="D1946" s="34" t="s">
        <v>119</v>
      </c>
      <c r="E1946" s="34" t="s">
        <v>518</v>
      </c>
      <c r="F1946" s="35">
        <v>43</v>
      </c>
      <c r="G1946" s="37">
        <v>86.73</v>
      </c>
      <c r="H1946" s="32">
        <f t="shared" si="36"/>
        <v>3729.3900000000003</v>
      </c>
    </row>
    <row r="1947" spans="2:8">
      <c r="B1947" s="28">
        <v>10420</v>
      </c>
      <c r="C1947" s="34" t="s">
        <v>168</v>
      </c>
      <c r="D1947" s="34" t="s">
        <v>104</v>
      </c>
      <c r="E1947" s="34" t="s">
        <v>400</v>
      </c>
      <c r="F1947" s="35">
        <v>26</v>
      </c>
      <c r="G1947" s="37">
        <v>100</v>
      </c>
      <c r="H1947" s="32">
        <f t="shared" si="36"/>
        <v>2600</v>
      </c>
    </row>
    <row r="1948" spans="2:8">
      <c r="B1948" s="28">
        <v>10105</v>
      </c>
      <c r="C1948" s="34" t="s">
        <v>429</v>
      </c>
      <c r="D1948" s="34" t="s">
        <v>119</v>
      </c>
      <c r="E1948" s="34" t="s">
        <v>93</v>
      </c>
      <c r="F1948" s="35">
        <v>50</v>
      </c>
      <c r="G1948" s="37">
        <v>79.67</v>
      </c>
      <c r="H1948" s="32">
        <f t="shared" si="36"/>
        <v>3983.5</v>
      </c>
    </row>
    <row r="1949" spans="2:8">
      <c r="B1949" s="28">
        <v>10119</v>
      </c>
      <c r="C1949" s="34" t="s">
        <v>229</v>
      </c>
      <c r="D1949" s="34" t="s">
        <v>119</v>
      </c>
      <c r="E1949" s="34" t="s">
        <v>93</v>
      </c>
      <c r="F1949" s="35">
        <v>35</v>
      </c>
      <c r="G1949" s="37">
        <v>90.57</v>
      </c>
      <c r="H1949" s="32">
        <f t="shared" si="36"/>
        <v>3169.95</v>
      </c>
    </row>
    <row r="1950" spans="2:8">
      <c r="B1950" s="28">
        <v>10129</v>
      </c>
      <c r="C1950" s="34" t="s">
        <v>252</v>
      </c>
      <c r="D1950" s="34" t="s">
        <v>119</v>
      </c>
      <c r="E1950" s="34" t="s">
        <v>93</v>
      </c>
      <c r="F1950" s="35">
        <v>50</v>
      </c>
      <c r="G1950" s="37">
        <v>77.989999999999995</v>
      </c>
      <c r="H1950" s="32">
        <f t="shared" si="36"/>
        <v>3899.4999999999995</v>
      </c>
    </row>
    <row r="1951" spans="2:8">
      <c r="B1951" s="28">
        <v>10143</v>
      </c>
      <c r="C1951" s="34" t="s">
        <v>100</v>
      </c>
      <c r="D1951" s="34" t="s">
        <v>104</v>
      </c>
      <c r="E1951" s="34" t="s">
        <v>93</v>
      </c>
      <c r="F1951" s="35">
        <v>23</v>
      </c>
      <c r="G1951" s="37">
        <v>80.510000000000005</v>
      </c>
      <c r="H1951" s="32">
        <f t="shared" si="36"/>
        <v>1851.73</v>
      </c>
    </row>
    <row r="1952" spans="2:8">
      <c r="B1952" s="28">
        <v>10155</v>
      </c>
      <c r="C1952" s="34" t="s">
        <v>208</v>
      </c>
      <c r="D1952" s="34" t="s">
        <v>104</v>
      </c>
      <c r="E1952" s="34" t="s">
        <v>93</v>
      </c>
      <c r="F1952" s="35">
        <v>37</v>
      </c>
      <c r="G1952" s="37">
        <v>67.930000000000007</v>
      </c>
      <c r="H1952" s="32">
        <f t="shared" si="36"/>
        <v>2513.4100000000003</v>
      </c>
    </row>
    <row r="1953" spans="2:8">
      <c r="B1953" s="28">
        <v>10167</v>
      </c>
      <c r="C1953" s="34" t="s">
        <v>273</v>
      </c>
      <c r="D1953" s="34" t="s">
        <v>104</v>
      </c>
      <c r="E1953" s="34" t="s">
        <v>444</v>
      </c>
      <c r="F1953" s="35">
        <v>29</v>
      </c>
      <c r="G1953" s="37">
        <v>83.86</v>
      </c>
      <c r="H1953" s="32">
        <f t="shared" si="36"/>
        <v>2431.94</v>
      </c>
    </row>
    <row r="1954" spans="2:8">
      <c r="B1954" s="28">
        <v>10178</v>
      </c>
      <c r="C1954" s="34" t="s">
        <v>109</v>
      </c>
      <c r="D1954" s="34" t="s">
        <v>104</v>
      </c>
      <c r="E1954" s="34" t="s">
        <v>93</v>
      </c>
      <c r="F1954" s="35">
        <v>21</v>
      </c>
      <c r="G1954" s="37">
        <v>72.12</v>
      </c>
      <c r="H1954" s="32">
        <f t="shared" si="36"/>
        <v>1514.52</v>
      </c>
    </row>
    <row r="1955" spans="2:8">
      <c r="B1955" s="28">
        <v>10186</v>
      </c>
      <c r="C1955" s="34" t="s">
        <v>252</v>
      </c>
      <c r="D1955" s="34" t="s">
        <v>119</v>
      </c>
      <c r="E1955" s="34" t="s">
        <v>93</v>
      </c>
      <c r="F1955" s="35">
        <v>36</v>
      </c>
      <c r="G1955" s="37">
        <v>85.54</v>
      </c>
      <c r="H1955" s="32">
        <f t="shared" si="36"/>
        <v>3079.44</v>
      </c>
    </row>
    <row r="1956" spans="2:8">
      <c r="B1956" s="28">
        <v>10197</v>
      </c>
      <c r="C1956" s="34" t="s">
        <v>261</v>
      </c>
      <c r="D1956" s="34" t="s">
        <v>104</v>
      </c>
      <c r="E1956" s="34" t="s">
        <v>93</v>
      </c>
      <c r="F1956" s="35">
        <v>22</v>
      </c>
      <c r="G1956" s="37">
        <v>86.38</v>
      </c>
      <c r="H1956" s="32">
        <f t="shared" si="36"/>
        <v>1900.36</v>
      </c>
    </row>
    <row r="1957" spans="2:8">
      <c r="B1957" s="28">
        <v>10209</v>
      </c>
      <c r="C1957" s="34" t="s">
        <v>100</v>
      </c>
      <c r="D1957" s="34" t="s">
        <v>104</v>
      </c>
      <c r="E1957" s="34" t="s">
        <v>93</v>
      </c>
      <c r="F1957" s="35">
        <v>22</v>
      </c>
      <c r="G1957" s="37">
        <v>89.73</v>
      </c>
      <c r="H1957" s="32">
        <f t="shared" si="36"/>
        <v>1974.0600000000002</v>
      </c>
    </row>
    <row r="1958" spans="2:8">
      <c r="B1958" s="28">
        <v>10222</v>
      </c>
      <c r="C1958" s="34" t="s">
        <v>100</v>
      </c>
      <c r="D1958" s="34" t="s">
        <v>119</v>
      </c>
      <c r="E1958" s="34" t="s">
        <v>93</v>
      </c>
      <c r="F1958" s="35">
        <v>46</v>
      </c>
      <c r="G1958" s="37">
        <v>80.510000000000005</v>
      </c>
      <c r="H1958" s="32">
        <f t="shared" si="36"/>
        <v>3703.46</v>
      </c>
    </row>
    <row r="1959" spans="2:8">
      <c r="B1959" s="28">
        <v>10248</v>
      </c>
      <c r="C1959" s="34" t="s">
        <v>100</v>
      </c>
      <c r="D1959" s="34" t="s">
        <v>104</v>
      </c>
      <c r="E1959" s="34" t="s">
        <v>444</v>
      </c>
      <c r="F1959" s="35">
        <v>23</v>
      </c>
      <c r="G1959" s="37">
        <v>76.31</v>
      </c>
      <c r="H1959" s="32">
        <f t="shared" si="36"/>
        <v>1755.13</v>
      </c>
    </row>
    <row r="1960" spans="2:8">
      <c r="B1960" s="28">
        <v>10262</v>
      </c>
      <c r="C1960" s="34" t="s">
        <v>261</v>
      </c>
      <c r="D1960" s="34" t="s">
        <v>119</v>
      </c>
      <c r="E1960" s="34" t="s">
        <v>444</v>
      </c>
      <c r="F1960" s="35">
        <v>49</v>
      </c>
      <c r="G1960" s="37">
        <v>87.21</v>
      </c>
      <c r="H1960" s="32">
        <f t="shared" si="36"/>
        <v>4273.29</v>
      </c>
    </row>
    <row r="1961" spans="2:8">
      <c r="B1961" s="28">
        <v>10273</v>
      </c>
      <c r="C1961" s="34" t="s">
        <v>480</v>
      </c>
      <c r="D1961" s="34" t="s">
        <v>119</v>
      </c>
      <c r="E1961" s="34" t="s">
        <v>93</v>
      </c>
      <c r="F1961" s="35">
        <v>48</v>
      </c>
      <c r="G1961" s="37">
        <v>83.02</v>
      </c>
      <c r="H1961" s="32">
        <f t="shared" si="36"/>
        <v>3984.96</v>
      </c>
    </row>
    <row r="1962" spans="2:8">
      <c r="B1962" s="28">
        <v>10283</v>
      </c>
      <c r="C1962" s="34" t="s">
        <v>322</v>
      </c>
      <c r="D1962" s="34" t="s">
        <v>104</v>
      </c>
      <c r="E1962" s="34" t="s">
        <v>93</v>
      </c>
      <c r="F1962" s="35">
        <v>33</v>
      </c>
      <c r="G1962" s="37">
        <v>72.959999999999994</v>
      </c>
      <c r="H1962" s="32">
        <f t="shared" si="36"/>
        <v>2407.6799999999998</v>
      </c>
    </row>
    <row r="1963" spans="2:8">
      <c r="B1963" s="28">
        <v>10296</v>
      </c>
      <c r="C1963" s="34" t="s">
        <v>566</v>
      </c>
      <c r="D1963" s="34" t="s">
        <v>104</v>
      </c>
      <c r="E1963" s="34" t="s">
        <v>93</v>
      </c>
      <c r="F1963" s="35">
        <v>22</v>
      </c>
      <c r="G1963" s="37">
        <v>77.150000000000006</v>
      </c>
      <c r="H1963" s="32">
        <f t="shared" si="36"/>
        <v>1697.3000000000002</v>
      </c>
    </row>
    <row r="1964" spans="2:8">
      <c r="B1964" s="28">
        <v>10307</v>
      </c>
      <c r="C1964" s="34" t="s">
        <v>100</v>
      </c>
      <c r="D1964" s="34" t="s">
        <v>104</v>
      </c>
      <c r="E1964" s="34" t="s">
        <v>93</v>
      </c>
      <c r="F1964" s="35">
        <v>22</v>
      </c>
      <c r="G1964" s="37">
        <v>91.41</v>
      </c>
      <c r="H1964" s="32">
        <f t="shared" si="36"/>
        <v>2011.02</v>
      </c>
    </row>
    <row r="1965" spans="2:8">
      <c r="B1965" s="28">
        <v>10316</v>
      </c>
      <c r="C1965" s="34" t="s">
        <v>252</v>
      </c>
      <c r="D1965" s="34" t="s">
        <v>104</v>
      </c>
      <c r="E1965" s="34" t="s">
        <v>93</v>
      </c>
      <c r="F1965" s="35">
        <v>25</v>
      </c>
      <c r="G1965" s="37">
        <v>92.25</v>
      </c>
      <c r="H1965" s="32">
        <f t="shared" si="36"/>
        <v>2306.25</v>
      </c>
    </row>
    <row r="1966" spans="2:8">
      <c r="B1966" s="28">
        <v>10326</v>
      </c>
      <c r="C1966" s="34" t="s">
        <v>273</v>
      </c>
      <c r="D1966" s="34" t="s">
        <v>104</v>
      </c>
      <c r="E1966" s="34" t="s">
        <v>93</v>
      </c>
      <c r="F1966" s="35">
        <v>20</v>
      </c>
      <c r="G1966" s="37">
        <v>92.25</v>
      </c>
      <c r="H1966" s="32">
        <f t="shared" si="36"/>
        <v>1845</v>
      </c>
    </row>
    <row r="1967" spans="2:8">
      <c r="B1967" s="28">
        <v>10339</v>
      </c>
      <c r="C1967" s="34" t="s">
        <v>288</v>
      </c>
      <c r="D1967" s="34" t="s">
        <v>104</v>
      </c>
      <c r="E1967" s="34" t="s">
        <v>93</v>
      </c>
      <c r="F1967" s="35">
        <v>42</v>
      </c>
      <c r="G1967" s="37">
        <v>59.36</v>
      </c>
      <c r="H1967" s="32">
        <f t="shared" si="36"/>
        <v>2493.12</v>
      </c>
    </row>
    <row r="1968" spans="2:8">
      <c r="B1968" s="28">
        <v>10350</v>
      </c>
      <c r="C1968" s="34" t="s">
        <v>261</v>
      </c>
      <c r="D1968" s="34" t="s">
        <v>104</v>
      </c>
      <c r="E1968" s="34" t="s">
        <v>93</v>
      </c>
      <c r="F1968" s="35">
        <v>25</v>
      </c>
      <c r="G1968" s="37">
        <v>60.34</v>
      </c>
      <c r="H1968" s="32">
        <f t="shared" si="36"/>
        <v>1508.5</v>
      </c>
    </row>
    <row r="1969" spans="2:8">
      <c r="B1969" s="28">
        <v>10373</v>
      </c>
      <c r="C1969" s="34" t="s">
        <v>208</v>
      </c>
      <c r="D1969" s="34" t="s">
        <v>104</v>
      </c>
      <c r="E1969" s="34" t="s">
        <v>93</v>
      </c>
      <c r="F1969" s="35">
        <v>23</v>
      </c>
      <c r="G1969" s="37">
        <v>100</v>
      </c>
      <c r="H1969" s="32">
        <f t="shared" si="36"/>
        <v>2300</v>
      </c>
    </row>
    <row r="1970" spans="2:8">
      <c r="B1970" s="28">
        <v>10385</v>
      </c>
      <c r="C1970" s="34" t="s">
        <v>100</v>
      </c>
      <c r="D1970" s="34" t="s">
        <v>119</v>
      </c>
      <c r="E1970" s="34" t="s">
        <v>93</v>
      </c>
      <c r="F1970" s="35">
        <v>37</v>
      </c>
      <c r="G1970" s="37">
        <v>85.54</v>
      </c>
      <c r="H1970" s="32">
        <f t="shared" si="36"/>
        <v>3164.98</v>
      </c>
    </row>
    <row r="1971" spans="2:8">
      <c r="B1971" s="28">
        <v>10396</v>
      </c>
      <c r="C1971" s="34" t="s">
        <v>100</v>
      </c>
      <c r="D1971" s="34" t="s">
        <v>119</v>
      </c>
      <c r="E1971" s="34" t="s">
        <v>93</v>
      </c>
      <c r="F1971" s="35">
        <v>37</v>
      </c>
      <c r="G1971" s="37">
        <v>90.57</v>
      </c>
      <c r="H1971" s="32">
        <f t="shared" si="36"/>
        <v>3351.0899999999997</v>
      </c>
    </row>
    <row r="1972" spans="2:8">
      <c r="B1972" s="28">
        <v>10400</v>
      </c>
      <c r="C1972" s="34" t="s">
        <v>100</v>
      </c>
      <c r="D1972" s="34" t="s">
        <v>119</v>
      </c>
      <c r="E1972" s="34" t="s">
        <v>93</v>
      </c>
      <c r="F1972" s="35">
        <v>42</v>
      </c>
      <c r="G1972" s="37">
        <v>72.959999999999994</v>
      </c>
      <c r="H1972" s="32">
        <f t="shared" si="36"/>
        <v>3064.3199999999997</v>
      </c>
    </row>
    <row r="1973" spans="2:8">
      <c r="B1973" s="28">
        <v>10414</v>
      </c>
      <c r="C1973" s="34" t="s">
        <v>100</v>
      </c>
      <c r="D1973" s="34" t="s">
        <v>119</v>
      </c>
      <c r="E1973" s="34" t="s">
        <v>518</v>
      </c>
      <c r="F1973" s="35">
        <v>51</v>
      </c>
      <c r="G1973" s="37">
        <v>76.31</v>
      </c>
      <c r="H1973" s="32">
        <f t="shared" si="36"/>
        <v>3891.81</v>
      </c>
    </row>
    <row r="1974" spans="2:8">
      <c r="B1974" s="28">
        <v>10108</v>
      </c>
      <c r="C1974" s="34" t="s">
        <v>552</v>
      </c>
      <c r="D1974" s="34" t="s">
        <v>119</v>
      </c>
      <c r="E1974" s="34" t="s">
        <v>93</v>
      </c>
      <c r="F1974" s="35">
        <v>40</v>
      </c>
      <c r="G1974" s="37">
        <v>100</v>
      </c>
      <c r="H1974" s="32">
        <f t="shared" si="36"/>
        <v>4000</v>
      </c>
    </row>
    <row r="1975" spans="2:8">
      <c r="B1975" s="28">
        <v>10122</v>
      </c>
      <c r="C1975" s="34" t="s">
        <v>109</v>
      </c>
      <c r="D1975" s="34" t="s">
        <v>119</v>
      </c>
      <c r="E1975" s="34" t="s">
        <v>93</v>
      </c>
      <c r="F1975" s="35">
        <v>43</v>
      </c>
      <c r="G1975" s="37">
        <v>100</v>
      </c>
      <c r="H1975" s="32">
        <f t="shared" si="36"/>
        <v>4300</v>
      </c>
    </row>
    <row r="1976" spans="2:8">
      <c r="B1976" s="28">
        <v>10135</v>
      </c>
      <c r="C1976" s="34" t="s">
        <v>100</v>
      </c>
      <c r="D1976" s="34" t="s">
        <v>119</v>
      </c>
      <c r="E1976" s="34" t="s">
        <v>93</v>
      </c>
      <c r="F1976" s="35">
        <v>47</v>
      </c>
      <c r="G1976" s="37">
        <v>100</v>
      </c>
      <c r="H1976" s="32">
        <f t="shared" si="36"/>
        <v>4700</v>
      </c>
    </row>
    <row r="1977" spans="2:8">
      <c r="B1977" s="28">
        <v>10147</v>
      </c>
      <c r="C1977" s="34" t="s">
        <v>100</v>
      </c>
      <c r="D1977" s="34" t="s">
        <v>104</v>
      </c>
      <c r="E1977" s="34" t="s">
        <v>93</v>
      </c>
      <c r="F1977" s="35">
        <v>23</v>
      </c>
      <c r="G1977" s="37">
        <v>100</v>
      </c>
      <c r="H1977" s="32">
        <f t="shared" si="36"/>
        <v>2300</v>
      </c>
    </row>
    <row r="1978" spans="2:8">
      <c r="B1978" s="28">
        <v>10160</v>
      </c>
      <c r="C1978" s="34" t="s">
        <v>100</v>
      </c>
      <c r="D1978" s="34" t="s">
        <v>119</v>
      </c>
      <c r="E1978" s="34" t="s">
        <v>93</v>
      </c>
      <c r="F1978" s="35">
        <v>35</v>
      </c>
      <c r="G1978" s="37">
        <v>100</v>
      </c>
      <c r="H1978" s="32">
        <f t="shared" si="36"/>
        <v>3500</v>
      </c>
    </row>
    <row r="1979" spans="2:8">
      <c r="B1979" s="28">
        <v>10170</v>
      </c>
      <c r="C1979" s="34" t="s">
        <v>229</v>
      </c>
      <c r="D1979" s="34" t="s">
        <v>119</v>
      </c>
      <c r="E1979" s="34" t="s">
        <v>93</v>
      </c>
      <c r="F1979" s="35">
        <v>34</v>
      </c>
      <c r="G1979" s="37">
        <v>100</v>
      </c>
      <c r="H1979" s="32">
        <f t="shared" si="36"/>
        <v>3400</v>
      </c>
    </row>
    <row r="1980" spans="2:8">
      <c r="B1980" s="28">
        <v>10181</v>
      </c>
      <c r="C1980" s="34" t="s">
        <v>149</v>
      </c>
      <c r="D1980" s="34" t="s">
        <v>119</v>
      </c>
      <c r="E1980" s="34" t="s">
        <v>93</v>
      </c>
      <c r="F1980" s="35">
        <v>25</v>
      </c>
      <c r="G1980" s="37">
        <v>100</v>
      </c>
      <c r="H1980" s="32">
        <f t="shared" si="36"/>
        <v>2500</v>
      </c>
    </row>
    <row r="1981" spans="2:8">
      <c r="B1981" s="28">
        <v>10192</v>
      </c>
      <c r="C1981" s="34" t="s">
        <v>100</v>
      </c>
      <c r="D1981" s="34" t="s">
        <v>119</v>
      </c>
      <c r="E1981" s="34" t="s">
        <v>93</v>
      </c>
      <c r="F1981" s="35">
        <v>45</v>
      </c>
      <c r="G1981" s="37">
        <v>100</v>
      </c>
      <c r="H1981" s="32">
        <f t="shared" si="36"/>
        <v>4500</v>
      </c>
    </row>
    <row r="1982" spans="2:8">
      <c r="B1982" s="28">
        <v>10203</v>
      </c>
      <c r="C1982" s="34" t="s">
        <v>261</v>
      </c>
      <c r="D1982" s="34" t="s">
        <v>119</v>
      </c>
      <c r="E1982" s="34" t="s">
        <v>93</v>
      </c>
      <c r="F1982" s="35">
        <v>47</v>
      </c>
      <c r="G1982" s="37">
        <v>100</v>
      </c>
      <c r="H1982" s="32">
        <f t="shared" si="36"/>
        <v>4700</v>
      </c>
    </row>
    <row r="1983" spans="2:8">
      <c r="B1983" s="28">
        <v>10212</v>
      </c>
      <c r="C1983" s="34" t="s">
        <v>261</v>
      </c>
      <c r="D1983" s="34" t="s">
        <v>119</v>
      </c>
      <c r="E1983" s="34" t="s">
        <v>93</v>
      </c>
      <c r="F1983" s="35">
        <v>49</v>
      </c>
      <c r="G1983" s="37">
        <v>100</v>
      </c>
      <c r="H1983" s="32">
        <f t="shared" si="36"/>
        <v>4900</v>
      </c>
    </row>
    <row r="1984" spans="2:8">
      <c r="B1984" s="28">
        <v>10225</v>
      </c>
      <c r="C1984" s="34" t="s">
        <v>574</v>
      </c>
      <c r="D1984" s="34" t="s">
        <v>119</v>
      </c>
      <c r="E1984" s="34" t="s">
        <v>93</v>
      </c>
      <c r="F1984" s="35">
        <v>40</v>
      </c>
      <c r="G1984" s="37">
        <v>100</v>
      </c>
      <c r="H1984" s="32">
        <f t="shared" si="36"/>
        <v>4000</v>
      </c>
    </row>
    <row r="1985" spans="2:8">
      <c r="B1985" s="28">
        <v>10239</v>
      </c>
      <c r="C1985" s="34" t="s">
        <v>208</v>
      </c>
      <c r="D1985" s="34" t="s">
        <v>119</v>
      </c>
      <c r="E1985" s="34" t="s">
        <v>93</v>
      </c>
      <c r="F1985" s="35">
        <v>29</v>
      </c>
      <c r="G1985" s="37">
        <v>100</v>
      </c>
      <c r="H1985" s="32">
        <f t="shared" si="36"/>
        <v>2900</v>
      </c>
    </row>
    <row r="1986" spans="2:8">
      <c r="B1986" s="28">
        <v>10253</v>
      </c>
      <c r="C1986" s="34" t="s">
        <v>252</v>
      </c>
      <c r="D1986" s="34" t="s">
        <v>119</v>
      </c>
      <c r="E1986" s="34" t="s">
        <v>444</v>
      </c>
      <c r="F1986" s="35">
        <v>39</v>
      </c>
      <c r="G1986" s="37">
        <v>100</v>
      </c>
      <c r="H1986" s="32">
        <f t="shared" si="36"/>
        <v>3900</v>
      </c>
    </row>
    <row r="1987" spans="2:8">
      <c r="B1987" s="28">
        <v>10266</v>
      </c>
      <c r="C1987" s="34" t="s">
        <v>352</v>
      </c>
      <c r="D1987" s="34" t="s">
        <v>104</v>
      </c>
      <c r="E1987" s="34" t="s">
        <v>93</v>
      </c>
      <c r="F1987" s="35">
        <v>24</v>
      </c>
      <c r="G1987" s="37">
        <v>100</v>
      </c>
      <c r="H1987" s="32">
        <f t="shared" si="36"/>
        <v>2400</v>
      </c>
    </row>
    <row r="1988" spans="2:8">
      <c r="B1988" s="28">
        <v>10278</v>
      </c>
      <c r="C1988" s="34" t="s">
        <v>100</v>
      </c>
      <c r="D1988" s="34" t="s">
        <v>119</v>
      </c>
      <c r="E1988" s="34" t="s">
        <v>93</v>
      </c>
      <c r="F1988" s="35">
        <v>25</v>
      </c>
      <c r="G1988" s="37">
        <v>100</v>
      </c>
      <c r="H1988" s="32">
        <f t="shared" si="36"/>
        <v>2500</v>
      </c>
    </row>
    <row r="1989" spans="2:8">
      <c r="B1989" s="28">
        <v>10287</v>
      </c>
      <c r="C1989" s="34" t="s">
        <v>574</v>
      </c>
      <c r="D1989" s="34" t="s">
        <v>119</v>
      </c>
      <c r="E1989" s="34" t="s">
        <v>93</v>
      </c>
      <c r="F1989" s="35">
        <v>36</v>
      </c>
      <c r="G1989" s="37">
        <v>100</v>
      </c>
      <c r="H1989" s="32">
        <f t="shared" ref="H1989:H2052" si="37">F1989*G1989</f>
        <v>3600</v>
      </c>
    </row>
    <row r="1990" spans="2:8">
      <c r="B1990" s="28">
        <v>10301</v>
      </c>
      <c r="C1990" s="34" t="s">
        <v>149</v>
      </c>
      <c r="D1990" s="34" t="s">
        <v>232</v>
      </c>
      <c r="E1990" s="34" t="s">
        <v>93</v>
      </c>
      <c r="F1990" s="35">
        <v>50</v>
      </c>
      <c r="G1990" s="37">
        <v>100</v>
      </c>
      <c r="H1990" s="32">
        <f t="shared" si="37"/>
        <v>5000</v>
      </c>
    </row>
    <row r="1991" spans="2:8">
      <c r="B1991" s="28">
        <v>10310</v>
      </c>
      <c r="C1991" s="34" t="s">
        <v>566</v>
      </c>
      <c r="D1991" s="34" t="s">
        <v>119</v>
      </c>
      <c r="E1991" s="34" t="s">
        <v>93</v>
      </c>
      <c r="F1991" s="35">
        <v>45</v>
      </c>
      <c r="G1991" s="37">
        <v>100</v>
      </c>
      <c r="H1991" s="32">
        <f t="shared" si="37"/>
        <v>4500</v>
      </c>
    </row>
    <row r="1992" spans="2:8">
      <c r="B1992" s="28">
        <v>10321</v>
      </c>
      <c r="C1992" s="34" t="s">
        <v>100</v>
      </c>
      <c r="D1992" s="34" t="s">
        <v>119</v>
      </c>
      <c r="E1992" s="34" t="s">
        <v>93</v>
      </c>
      <c r="F1992" s="35">
        <v>26</v>
      </c>
      <c r="G1992" s="37">
        <v>100</v>
      </c>
      <c r="H1992" s="32">
        <f t="shared" si="37"/>
        <v>2600</v>
      </c>
    </row>
    <row r="1993" spans="2:8">
      <c r="B1993" s="28">
        <v>10331</v>
      </c>
      <c r="C1993" s="34" t="s">
        <v>100</v>
      </c>
      <c r="D1993" s="34" t="s">
        <v>119</v>
      </c>
      <c r="E1993" s="34" t="s">
        <v>93</v>
      </c>
      <c r="F1993" s="35">
        <v>21</v>
      </c>
      <c r="G1993" s="37">
        <v>100</v>
      </c>
      <c r="H1993" s="32">
        <f t="shared" si="37"/>
        <v>2100</v>
      </c>
    </row>
    <row r="1994" spans="2:8">
      <c r="B1994" s="28">
        <v>10342</v>
      </c>
      <c r="C1994" s="34" t="s">
        <v>168</v>
      </c>
      <c r="D1994" s="34" t="s">
        <v>119</v>
      </c>
      <c r="E1994" s="34" t="s">
        <v>93</v>
      </c>
      <c r="F1994" s="35">
        <v>42</v>
      </c>
      <c r="G1994" s="37">
        <v>100</v>
      </c>
      <c r="H1994" s="32">
        <f t="shared" si="37"/>
        <v>4200</v>
      </c>
    </row>
    <row r="1995" spans="2:8">
      <c r="B1995" s="28">
        <v>10355</v>
      </c>
      <c r="C1995" s="34" t="s">
        <v>261</v>
      </c>
      <c r="D1995" s="34" t="s">
        <v>119</v>
      </c>
      <c r="E1995" s="34" t="s">
        <v>93</v>
      </c>
      <c r="F1995" s="35">
        <v>32</v>
      </c>
      <c r="G1995" s="37">
        <v>100</v>
      </c>
      <c r="H1995" s="32">
        <f t="shared" si="37"/>
        <v>3200</v>
      </c>
    </row>
    <row r="1996" spans="2:8">
      <c r="B1996" s="28">
        <v>10363</v>
      </c>
      <c r="C1996" s="34" t="s">
        <v>208</v>
      </c>
      <c r="D1996" s="34" t="s">
        <v>104</v>
      </c>
      <c r="E1996" s="34" t="s">
        <v>93</v>
      </c>
      <c r="F1996" s="35">
        <v>31</v>
      </c>
      <c r="G1996" s="37">
        <v>94.58</v>
      </c>
      <c r="H1996" s="32">
        <f t="shared" si="37"/>
        <v>2931.98</v>
      </c>
    </row>
    <row r="1997" spans="2:8">
      <c r="B1997" s="28">
        <v>10378</v>
      </c>
      <c r="C1997" s="34" t="s">
        <v>261</v>
      </c>
      <c r="D1997" s="34" t="s">
        <v>104</v>
      </c>
      <c r="E1997" s="34" t="s">
        <v>93</v>
      </c>
      <c r="F1997" s="35">
        <v>33</v>
      </c>
      <c r="G1997" s="37">
        <v>53.27</v>
      </c>
      <c r="H1997" s="32">
        <f t="shared" si="37"/>
        <v>1757.91</v>
      </c>
    </row>
    <row r="1998" spans="2:8">
      <c r="B1998" s="28">
        <v>10390</v>
      </c>
      <c r="C1998" s="34" t="s">
        <v>100</v>
      </c>
      <c r="D1998" s="34" t="s">
        <v>119</v>
      </c>
      <c r="E1998" s="34" t="s">
        <v>93</v>
      </c>
      <c r="F1998" s="35">
        <v>45</v>
      </c>
      <c r="G1998" s="37">
        <v>100</v>
      </c>
      <c r="H1998" s="32">
        <f t="shared" si="37"/>
        <v>4500</v>
      </c>
    </row>
    <row r="1999" spans="2:8">
      <c r="B1999" s="28">
        <v>10405</v>
      </c>
      <c r="C1999" s="34" t="s">
        <v>109</v>
      </c>
      <c r="D1999" s="34" t="s">
        <v>232</v>
      </c>
      <c r="E1999" s="34" t="s">
        <v>93</v>
      </c>
      <c r="F1999" s="35">
        <v>76</v>
      </c>
      <c r="G1999" s="37">
        <v>100</v>
      </c>
      <c r="H1999" s="32">
        <f t="shared" si="37"/>
        <v>7600</v>
      </c>
    </row>
    <row r="2000" spans="2:8">
      <c r="B2000" s="28">
        <v>10419</v>
      </c>
      <c r="C2000" s="34" t="s">
        <v>229</v>
      </c>
      <c r="D2000" s="34" t="s">
        <v>232</v>
      </c>
      <c r="E2000" s="34" t="s">
        <v>93</v>
      </c>
      <c r="F2000" s="35">
        <v>70</v>
      </c>
      <c r="G2000" s="37">
        <v>100</v>
      </c>
      <c r="H2000" s="32">
        <f t="shared" si="37"/>
        <v>7000</v>
      </c>
    </row>
    <row r="2001" spans="2:8">
      <c r="B2001" s="28">
        <v>10106</v>
      </c>
      <c r="C2001" s="34" t="s">
        <v>352</v>
      </c>
      <c r="D2001" s="34" t="s">
        <v>119</v>
      </c>
      <c r="E2001" s="34" t="s">
        <v>93</v>
      </c>
      <c r="F2001" s="35">
        <v>50</v>
      </c>
      <c r="G2001" s="37">
        <v>64.83</v>
      </c>
      <c r="H2001" s="32">
        <f t="shared" si="37"/>
        <v>3241.5</v>
      </c>
    </row>
    <row r="2002" spans="2:8">
      <c r="B2002" s="28">
        <v>10119</v>
      </c>
      <c r="C2002" s="34" t="s">
        <v>229</v>
      </c>
      <c r="D2002" s="34" t="s">
        <v>104</v>
      </c>
      <c r="E2002" s="34" t="s">
        <v>93</v>
      </c>
      <c r="F2002" s="35">
        <v>28</v>
      </c>
      <c r="G2002" s="37">
        <v>70.290000000000006</v>
      </c>
      <c r="H2002" s="32">
        <f t="shared" si="37"/>
        <v>1968.1200000000001</v>
      </c>
    </row>
    <row r="2003" spans="2:8">
      <c r="B2003" s="28">
        <v>10131</v>
      </c>
      <c r="C2003" s="34" t="s">
        <v>100</v>
      </c>
      <c r="D2003" s="34" t="s">
        <v>119</v>
      </c>
      <c r="E2003" s="34" t="s">
        <v>93</v>
      </c>
      <c r="F2003" s="35">
        <v>50</v>
      </c>
      <c r="G2003" s="37">
        <v>81.89</v>
      </c>
      <c r="H2003" s="32">
        <f t="shared" si="37"/>
        <v>4094.5</v>
      </c>
    </row>
    <row r="2004" spans="2:8">
      <c r="B2004" s="28">
        <v>10143</v>
      </c>
      <c r="C2004" s="34" t="s">
        <v>100</v>
      </c>
      <c r="D2004" s="34" t="s">
        <v>104</v>
      </c>
      <c r="E2004" s="34" t="s">
        <v>93</v>
      </c>
      <c r="F2004" s="35">
        <v>28</v>
      </c>
      <c r="G2004" s="37">
        <v>66.19</v>
      </c>
      <c r="H2004" s="32">
        <f t="shared" si="37"/>
        <v>1853.32</v>
      </c>
    </row>
    <row r="2005" spans="2:8">
      <c r="B2005" s="28">
        <v>10155</v>
      </c>
      <c r="C2005" s="34" t="s">
        <v>208</v>
      </c>
      <c r="D2005" s="34" t="s">
        <v>119</v>
      </c>
      <c r="E2005" s="34" t="s">
        <v>93</v>
      </c>
      <c r="F2005" s="35">
        <v>44</v>
      </c>
      <c r="G2005" s="37">
        <v>77.11</v>
      </c>
      <c r="H2005" s="32">
        <f t="shared" si="37"/>
        <v>3392.84</v>
      </c>
    </row>
    <row r="2006" spans="2:8">
      <c r="B2006" s="28">
        <v>10168</v>
      </c>
      <c r="C2006" s="34" t="s">
        <v>100</v>
      </c>
      <c r="D2006" s="34" t="s">
        <v>104</v>
      </c>
      <c r="E2006" s="34" t="s">
        <v>93</v>
      </c>
      <c r="F2006" s="35">
        <v>27</v>
      </c>
      <c r="G2006" s="37">
        <v>73.02</v>
      </c>
      <c r="H2006" s="32">
        <f t="shared" si="37"/>
        <v>1971.54</v>
      </c>
    </row>
    <row r="2007" spans="2:8">
      <c r="B2007" s="28">
        <v>10178</v>
      </c>
      <c r="C2007" s="34" t="s">
        <v>109</v>
      </c>
      <c r="D2007" s="34" t="s">
        <v>104</v>
      </c>
      <c r="E2007" s="34" t="s">
        <v>93</v>
      </c>
      <c r="F2007" s="35">
        <v>30</v>
      </c>
      <c r="G2007" s="37">
        <v>72.33</v>
      </c>
      <c r="H2007" s="32">
        <f t="shared" si="37"/>
        <v>2169.9</v>
      </c>
    </row>
    <row r="2008" spans="2:8">
      <c r="B2008" s="28">
        <v>10198</v>
      </c>
      <c r="C2008" s="34" t="s">
        <v>552</v>
      </c>
      <c r="D2008" s="34" t="s">
        <v>104</v>
      </c>
      <c r="E2008" s="34" t="s">
        <v>93</v>
      </c>
      <c r="F2008" s="35">
        <v>43</v>
      </c>
      <c r="G2008" s="37">
        <v>66.19</v>
      </c>
      <c r="H2008" s="32">
        <f t="shared" si="37"/>
        <v>2846.17</v>
      </c>
    </row>
    <row r="2009" spans="2:8">
      <c r="B2009" s="28">
        <v>10210</v>
      </c>
      <c r="C2009" s="34" t="s">
        <v>288</v>
      </c>
      <c r="D2009" s="34" t="s">
        <v>104</v>
      </c>
      <c r="E2009" s="34" t="s">
        <v>93</v>
      </c>
      <c r="F2009" s="35">
        <v>29</v>
      </c>
      <c r="G2009" s="37">
        <v>69.599999999999994</v>
      </c>
      <c r="H2009" s="32">
        <f t="shared" si="37"/>
        <v>2018.3999999999999</v>
      </c>
    </row>
    <row r="2010" spans="2:8">
      <c r="B2010" s="28">
        <v>10222</v>
      </c>
      <c r="C2010" s="34" t="s">
        <v>100</v>
      </c>
      <c r="D2010" s="34" t="s">
        <v>104</v>
      </c>
      <c r="E2010" s="34" t="s">
        <v>93</v>
      </c>
      <c r="F2010" s="35">
        <v>48</v>
      </c>
      <c r="G2010" s="37">
        <v>56.64</v>
      </c>
      <c r="H2010" s="32">
        <f t="shared" si="37"/>
        <v>2718.7200000000003</v>
      </c>
    </row>
    <row r="2011" spans="2:8">
      <c r="B2011" s="28">
        <v>10235</v>
      </c>
      <c r="C2011" s="34" t="s">
        <v>322</v>
      </c>
      <c r="D2011" s="34" t="s">
        <v>104</v>
      </c>
      <c r="E2011" s="34" t="s">
        <v>93</v>
      </c>
      <c r="F2011" s="35">
        <v>33</v>
      </c>
      <c r="G2011" s="37">
        <v>60.05</v>
      </c>
      <c r="H2011" s="32">
        <f t="shared" si="37"/>
        <v>1981.6499999999999</v>
      </c>
    </row>
    <row r="2012" spans="2:8">
      <c r="B2012" s="28">
        <v>10250</v>
      </c>
      <c r="C2012" s="34" t="s">
        <v>100</v>
      </c>
      <c r="D2012" s="34" t="s">
        <v>119</v>
      </c>
      <c r="E2012" s="34" t="s">
        <v>93</v>
      </c>
      <c r="F2012" s="35">
        <v>40</v>
      </c>
      <c r="G2012" s="37">
        <v>75.06</v>
      </c>
      <c r="H2012" s="32">
        <f t="shared" si="37"/>
        <v>3002.4</v>
      </c>
    </row>
    <row r="2013" spans="2:8">
      <c r="B2013" s="28">
        <v>10262</v>
      </c>
      <c r="C2013" s="34" t="s">
        <v>261</v>
      </c>
      <c r="D2013" s="34" t="s">
        <v>104</v>
      </c>
      <c r="E2013" s="34" t="s">
        <v>444</v>
      </c>
      <c r="F2013" s="35">
        <v>48</v>
      </c>
      <c r="G2013" s="37">
        <v>61.42</v>
      </c>
      <c r="H2013" s="32">
        <f t="shared" si="37"/>
        <v>2948.16</v>
      </c>
    </row>
    <row r="2014" spans="2:8">
      <c r="B2014" s="28">
        <v>10275</v>
      </c>
      <c r="C2014" s="34" t="s">
        <v>109</v>
      </c>
      <c r="D2014" s="34" t="s">
        <v>119</v>
      </c>
      <c r="E2014" s="34" t="s">
        <v>93</v>
      </c>
      <c r="F2014" s="35">
        <v>41</v>
      </c>
      <c r="G2014" s="37">
        <v>81.89</v>
      </c>
      <c r="H2014" s="32">
        <f t="shared" si="37"/>
        <v>3357.4900000000002</v>
      </c>
    </row>
    <row r="2015" spans="2:8">
      <c r="B2015" s="28">
        <v>10284</v>
      </c>
      <c r="C2015" s="34" t="s">
        <v>149</v>
      </c>
      <c r="D2015" s="34" t="s">
        <v>104</v>
      </c>
      <c r="E2015" s="34" t="s">
        <v>93</v>
      </c>
      <c r="F2015" s="35">
        <v>21</v>
      </c>
      <c r="G2015" s="37">
        <v>55.96</v>
      </c>
      <c r="H2015" s="32">
        <f t="shared" si="37"/>
        <v>1175.1600000000001</v>
      </c>
    </row>
    <row r="2016" spans="2:8">
      <c r="B2016" s="28">
        <v>10296</v>
      </c>
      <c r="C2016" s="34" t="s">
        <v>566</v>
      </c>
      <c r="D2016" s="34" t="s">
        <v>104</v>
      </c>
      <c r="E2016" s="34" t="s">
        <v>93</v>
      </c>
      <c r="F2016" s="35">
        <v>32</v>
      </c>
      <c r="G2016" s="37">
        <v>71.650000000000006</v>
      </c>
      <c r="H2016" s="32">
        <f t="shared" si="37"/>
        <v>2292.8000000000002</v>
      </c>
    </row>
    <row r="2017" spans="2:8">
      <c r="B2017" s="28">
        <v>10308</v>
      </c>
      <c r="C2017" s="34" t="s">
        <v>100</v>
      </c>
      <c r="D2017" s="34" t="s">
        <v>119</v>
      </c>
      <c r="E2017" s="34" t="s">
        <v>93</v>
      </c>
      <c r="F2017" s="35">
        <v>43</v>
      </c>
      <c r="G2017" s="37">
        <v>76.430000000000007</v>
      </c>
      <c r="H2017" s="32">
        <f t="shared" si="37"/>
        <v>3286.4900000000002</v>
      </c>
    </row>
    <row r="2018" spans="2:8">
      <c r="B2018" s="28">
        <v>10316</v>
      </c>
      <c r="C2018" s="34" t="s">
        <v>252</v>
      </c>
      <c r="D2018" s="34" t="s">
        <v>104</v>
      </c>
      <c r="E2018" s="34" t="s">
        <v>93</v>
      </c>
      <c r="F2018" s="35">
        <v>30</v>
      </c>
      <c r="G2018" s="37">
        <v>77.790000000000006</v>
      </c>
      <c r="H2018" s="32">
        <f t="shared" si="37"/>
        <v>2333.7000000000003</v>
      </c>
    </row>
    <row r="2019" spans="2:8">
      <c r="B2019" s="28">
        <v>10328</v>
      </c>
      <c r="C2019" s="34" t="s">
        <v>352</v>
      </c>
      <c r="D2019" s="34" t="s">
        <v>104</v>
      </c>
      <c r="E2019" s="34" t="s">
        <v>93</v>
      </c>
      <c r="F2019" s="35">
        <v>35</v>
      </c>
      <c r="G2019" s="37">
        <v>76.430000000000007</v>
      </c>
      <c r="H2019" s="32">
        <f t="shared" si="37"/>
        <v>2675.05</v>
      </c>
    </row>
    <row r="2020" spans="2:8">
      <c r="B2020" s="28">
        <v>10339</v>
      </c>
      <c r="C2020" s="34" t="s">
        <v>288</v>
      </c>
      <c r="D2020" s="34" t="s">
        <v>119</v>
      </c>
      <c r="E2020" s="34" t="s">
        <v>93</v>
      </c>
      <c r="F2020" s="35">
        <v>45</v>
      </c>
      <c r="G2020" s="37">
        <v>96.92</v>
      </c>
      <c r="H2020" s="32">
        <f t="shared" si="37"/>
        <v>4361.3999999999996</v>
      </c>
    </row>
    <row r="2021" spans="2:8">
      <c r="B2021" s="28">
        <v>10351</v>
      </c>
      <c r="C2021" s="34" t="s">
        <v>252</v>
      </c>
      <c r="D2021" s="34" t="s">
        <v>104</v>
      </c>
      <c r="E2021" s="34" t="s">
        <v>93</v>
      </c>
      <c r="F2021" s="35">
        <v>34</v>
      </c>
      <c r="G2021" s="37">
        <v>59.37</v>
      </c>
      <c r="H2021" s="32">
        <f t="shared" si="37"/>
        <v>2018.58</v>
      </c>
    </row>
    <row r="2022" spans="2:8">
      <c r="B2022" s="28">
        <v>10361</v>
      </c>
      <c r="C2022" s="34" t="s">
        <v>168</v>
      </c>
      <c r="D2022" s="34" t="s">
        <v>119</v>
      </c>
      <c r="E2022" s="34" t="s">
        <v>93</v>
      </c>
      <c r="F2022" s="35">
        <v>26</v>
      </c>
      <c r="G2022" s="37">
        <v>100</v>
      </c>
      <c r="H2022" s="32">
        <f t="shared" si="37"/>
        <v>2600</v>
      </c>
    </row>
    <row r="2023" spans="2:8">
      <c r="B2023" s="28">
        <v>10373</v>
      </c>
      <c r="C2023" s="34" t="s">
        <v>208</v>
      </c>
      <c r="D2023" s="34" t="s">
        <v>104</v>
      </c>
      <c r="E2023" s="34" t="s">
        <v>93</v>
      </c>
      <c r="F2023" s="35">
        <v>39</v>
      </c>
      <c r="G2023" s="37">
        <v>73</v>
      </c>
      <c r="H2023" s="32">
        <f t="shared" si="37"/>
        <v>2847</v>
      </c>
    </row>
    <row r="2024" spans="2:8">
      <c r="B2024" s="28">
        <v>10386</v>
      </c>
      <c r="C2024" s="34" t="s">
        <v>261</v>
      </c>
      <c r="D2024" s="34" t="s">
        <v>119</v>
      </c>
      <c r="E2024" s="34" t="s">
        <v>526</v>
      </c>
      <c r="F2024" s="35">
        <v>41</v>
      </c>
      <c r="G2024" s="37">
        <v>73.319999999999993</v>
      </c>
      <c r="H2024" s="32">
        <f t="shared" si="37"/>
        <v>3006.12</v>
      </c>
    </row>
    <row r="2025" spans="2:8">
      <c r="B2025" s="28">
        <v>10398</v>
      </c>
      <c r="C2025" s="34" t="s">
        <v>109</v>
      </c>
      <c r="D2025" s="34" t="s">
        <v>104</v>
      </c>
      <c r="E2025" s="34" t="s">
        <v>93</v>
      </c>
      <c r="F2025" s="35">
        <v>41</v>
      </c>
      <c r="G2025" s="37">
        <v>68.239999999999995</v>
      </c>
      <c r="H2025" s="32">
        <f t="shared" si="37"/>
        <v>2797.8399999999997</v>
      </c>
    </row>
    <row r="2026" spans="2:8">
      <c r="B2026" s="28">
        <v>10401</v>
      </c>
      <c r="C2026" s="34" t="s">
        <v>100</v>
      </c>
      <c r="D2026" s="34" t="s">
        <v>119</v>
      </c>
      <c r="E2026" s="34" t="s">
        <v>518</v>
      </c>
      <c r="F2026" s="35">
        <v>64</v>
      </c>
      <c r="G2026" s="37">
        <v>60.05</v>
      </c>
      <c r="H2026" s="32">
        <f t="shared" si="37"/>
        <v>3843.2</v>
      </c>
    </row>
    <row r="2027" spans="2:8">
      <c r="B2027" s="28">
        <v>10416</v>
      </c>
      <c r="C2027" s="34" t="s">
        <v>352</v>
      </c>
      <c r="D2027" s="34" t="s">
        <v>104</v>
      </c>
      <c r="E2027" s="34" t="s">
        <v>93</v>
      </c>
      <c r="F2027" s="35">
        <v>18</v>
      </c>
      <c r="G2027" s="37">
        <v>75.06</v>
      </c>
      <c r="H2027" s="32">
        <f t="shared" si="37"/>
        <v>1351.08</v>
      </c>
    </row>
    <row r="2028" spans="2:8">
      <c r="B2028" s="28">
        <v>10100</v>
      </c>
      <c r="C2028" s="34" t="s">
        <v>100</v>
      </c>
      <c r="D2028" s="34" t="s">
        <v>104</v>
      </c>
      <c r="E2028" s="34" t="s">
        <v>93</v>
      </c>
      <c r="F2028" s="35">
        <v>49</v>
      </c>
      <c r="G2028" s="37">
        <v>34.47</v>
      </c>
      <c r="H2028" s="32">
        <f t="shared" si="37"/>
        <v>1689.03</v>
      </c>
    </row>
    <row r="2029" spans="2:8">
      <c r="B2029" s="28">
        <v>10110</v>
      </c>
      <c r="C2029" s="34" t="s">
        <v>252</v>
      </c>
      <c r="D2029" s="34" t="s">
        <v>104</v>
      </c>
      <c r="E2029" s="34" t="s">
        <v>93</v>
      </c>
      <c r="F2029" s="35">
        <v>48</v>
      </c>
      <c r="G2029" s="37">
        <v>34.47</v>
      </c>
      <c r="H2029" s="32">
        <f t="shared" si="37"/>
        <v>1654.56</v>
      </c>
    </row>
    <row r="2030" spans="2:8">
      <c r="B2030" s="28">
        <v>10124</v>
      </c>
      <c r="C2030" s="34" t="s">
        <v>100</v>
      </c>
      <c r="D2030" s="34" t="s">
        <v>104</v>
      </c>
      <c r="E2030" s="34" t="s">
        <v>93</v>
      </c>
      <c r="F2030" s="35">
        <v>46</v>
      </c>
      <c r="G2030" s="37">
        <v>33.229999999999997</v>
      </c>
      <c r="H2030" s="32">
        <f t="shared" si="37"/>
        <v>1528.58</v>
      </c>
    </row>
    <row r="2031" spans="2:8">
      <c r="B2031" s="28">
        <v>10149</v>
      </c>
      <c r="C2031" s="34" t="s">
        <v>100</v>
      </c>
      <c r="D2031" s="34" t="s">
        <v>104</v>
      </c>
      <c r="E2031" s="34" t="s">
        <v>93</v>
      </c>
      <c r="F2031" s="35">
        <v>26</v>
      </c>
      <c r="G2031" s="37">
        <v>38.979999999999997</v>
      </c>
      <c r="H2031" s="32">
        <f t="shared" si="37"/>
        <v>1013.4799999999999</v>
      </c>
    </row>
    <row r="2032" spans="2:8">
      <c r="B2032" s="28">
        <v>10162</v>
      </c>
      <c r="C2032" s="34" t="s">
        <v>100</v>
      </c>
      <c r="D2032" s="34" t="s">
        <v>104</v>
      </c>
      <c r="E2032" s="34" t="s">
        <v>93</v>
      </c>
      <c r="F2032" s="35">
        <v>37</v>
      </c>
      <c r="G2032" s="37">
        <v>38.979999999999997</v>
      </c>
      <c r="H2032" s="32">
        <f t="shared" si="37"/>
        <v>1442.26</v>
      </c>
    </row>
    <row r="2033" spans="2:8">
      <c r="B2033" s="28">
        <v>10173</v>
      </c>
      <c r="C2033" s="34" t="s">
        <v>352</v>
      </c>
      <c r="D2033" s="34" t="s">
        <v>104</v>
      </c>
      <c r="E2033" s="34" t="s">
        <v>93</v>
      </c>
      <c r="F2033" s="35">
        <v>35</v>
      </c>
      <c r="G2033" s="37">
        <v>33.229999999999997</v>
      </c>
      <c r="H2033" s="32">
        <f t="shared" si="37"/>
        <v>1163.05</v>
      </c>
    </row>
    <row r="2034" spans="2:8">
      <c r="B2034" s="28">
        <v>10182</v>
      </c>
      <c r="C2034" s="34" t="s">
        <v>100</v>
      </c>
      <c r="D2034" s="34" t="s">
        <v>104</v>
      </c>
      <c r="E2034" s="34" t="s">
        <v>93</v>
      </c>
      <c r="F2034" s="35">
        <v>23</v>
      </c>
      <c r="G2034" s="37">
        <v>42.26</v>
      </c>
      <c r="H2034" s="32">
        <f t="shared" si="37"/>
        <v>971.9799999999999</v>
      </c>
    </row>
    <row r="2035" spans="2:8">
      <c r="B2035" s="28">
        <v>10193</v>
      </c>
      <c r="C2035" s="34" t="s">
        <v>168</v>
      </c>
      <c r="D2035" s="34" t="s">
        <v>104</v>
      </c>
      <c r="E2035" s="34" t="s">
        <v>93</v>
      </c>
      <c r="F2035" s="35">
        <v>22</v>
      </c>
      <c r="G2035" s="37">
        <v>41.03</v>
      </c>
      <c r="H2035" s="32">
        <f t="shared" si="37"/>
        <v>902.66000000000008</v>
      </c>
    </row>
    <row r="2036" spans="2:8">
      <c r="B2036" s="28">
        <v>10204</v>
      </c>
      <c r="C2036" s="34" t="s">
        <v>100</v>
      </c>
      <c r="D2036" s="34" t="s">
        <v>104</v>
      </c>
      <c r="E2036" s="34" t="s">
        <v>93</v>
      </c>
      <c r="F2036" s="35">
        <v>39</v>
      </c>
      <c r="G2036" s="37">
        <v>33.229999999999997</v>
      </c>
      <c r="H2036" s="32">
        <f t="shared" si="37"/>
        <v>1295.9699999999998</v>
      </c>
    </row>
    <row r="2037" spans="2:8">
      <c r="B2037" s="28">
        <v>10214</v>
      </c>
      <c r="C2037" s="34" t="s">
        <v>261</v>
      </c>
      <c r="D2037" s="34" t="s">
        <v>104</v>
      </c>
      <c r="E2037" s="34" t="s">
        <v>93</v>
      </c>
      <c r="F2037" s="35">
        <v>44</v>
      </c>
      <c r="G2037" s="37">
        <v>34.880000000000003</v>
      </c>
      <c r="H2037" s="32">
        <f t="shared" si="37"/>
        <v>1534.72</v>
      </c>
    </row>
    <row r="2038" spans="2:8">
      <c r="B2038" s="28">
        <v>10227</v>
      </c>
      <c r="C2038" s="34" t="s">
        <v>109</v>
      </c>
      <c r="D2038" s="34" t="s">
        <v>104</v>
      </c>
      <c r="E2038" s="34" t="s">
        <v>93</v>
      </c>
      <c r="F2038" s="35">
        <v>27</v>
      </c>
      <c r="G2038" s="37">
        <v>43.9</v>
      </c>
      <c r="H2038" s="32">
        <f t="shared" si="37"/>
        <v>1185.3</v>
      </c>
    </row>
    <row r="2039" spans="2:8">
      <c r="B2039" s="28">
        <v>10242</v>
      </c>
      <c r="C2039" s="34" t="s">
        <v>100</v>
      </c>
      <c r="D2039" s="34" t="s">
        <v>104</v>
      </c>
      <c r="E2039" s="34" t="s">
        <v>93</v>
      </c>
      <c r="F2039" s="35">
        <v>46</v>
      </c>
      <c r="G2039" s="37">
        <v>36.93</v>
      </c>
      <c r="H2039" s="32">
        <f t="shared" si="37"/>
        <v>1698.78</v>
      </c>
    </row>
    <row r="2040" spans="2:8">
      <c r="B2040" s="28">
        <v>10280</v>
      </c>
      <c r="C2040" s="34" t="s">
        <v>352</v>
      </c>
      <c r="D2040" s="34" t="s">
        <v>104</v>
      </c>
      <c r="E2040" s="34" t="s">
        <v>93</v>
      </c>
      <c r="F2040" s="35">
        <v>33</v>
      </c>
      <c r="G2040" s="37">
        <v>41.85</v>
      </c>
      <c r="H2040" s="32">
        <f t="shared" si="37"/>
        <v>1381.05</v>
      </c>
    </row>
    <row r="2041" spans="2:8">
      <c r="B2041" s="28">
        <v>10288</v>
      </c>
      <c r="C2041" s="34" t="s">
        <v>287</v>
      </c>
      <c r="D2041" s="34" t="s">
        <v>104</v>
      </c>
      <c r="E2041" s="34" t="s">
        <v>93</v>
      </c>
      <c r="F2041" s="35">
        <v>33</v>
      </c>
      <c r="G2041" s="37">
        <v>40.619999999999997</v>
      </c>
      <c r="H2041" s="32">
        <f t="shared" si="37"/>
        <v>1340.4599999999998</v>
      </c>
    </row>
    <row r="2042" spans="2:8">
      <c r="B2042" s="28">
        <v>10303</v>
      </c>
      <c r="C2042" s="34" t="s">
        <v>261</v>
      </c>
      <c r="D2042" s="34" t="s">
        <v>104</v>
      </c>
      <c r="E2042" s="34" t="s">
        <v>93</v>
      </c>
      <c r="F2042" s="35">
        <v>24</v>
      </c>
      <c r="G2042" s="37">
        <v>40.21</v>
      </c>
      <c r="H2042" s="32">
        <f t="shared" si="37"/>
        <v>965.04</v>
      </c>
    </row>
    <row r="2043" spans="2:8">
      <c r="B2043" s="28">
        <v>10312</v>
      </c>
      <c r="C2043" s="34" t="s">
        <v>100</v>
      </c>
      <c r="D2043" s="34" t="s">
        <v>104</v>
      </c>
      <c r="E2043" s="34" t="s">
        <v>93</v>
      </c>
      <c r="F2043" s="35">
        <v>31</v>
      </c>
      <c r="G2043" s="37">
        <v>35.29</v>
      </c>
      <c r="H2043" s="32">
        <f t="shared" si="37"/>
        <v>1093.99</v>
      </c>
    </row>
    <row r="2044" spans="2:8">
      <c r="B2044" s="28">
        <v>10332</v>
      </c>
      <c r="C2044" s="34" t="s">
        <v>252</v>
      </c>
      <c r="D2044" s="34" t="s">
        <v>119</v>
      </c>
      <c r="E2044" s="34" t="s">
        <v>93</v>
      </c>
      <c r="F2044" s="35">
        <v>41</v>
      </c>
      <c r="G2044" s="37">
        <v>77.239999999999995</v>
      </c>
      <c r="H2044" s="32">
        <f t="shared" si="37"/>
        <v>3166.8399999999997</v>
      </c>
    </row>
    <row r="2045" spans="2:8">
      <c r="B2045" s="28">
        <v>10346</v>
      </c>
      <c r="C2045" s="34" t="s">
        <v>100</v>
      </c>
      <c r="D2045" s="34" t="s">
        <v>104</v>
      </c>
      <c r="E2045" s="34" t="s">
        <v>93</v>
      </c>
      <c r="F2045" s="35">
        <v>22</v>
      </c>
      <c r="G2045" s="37">
        <v>97.44</v>
      </c>
      <c r="H2045" s="32">
        <f t="shared" si="37"/>
        <v>2143.6799999999998</v>
      </c>
    </row>
    <row r="2046" spans="2:8">
      <c r="B2046" s="28">
        <v>10368</v>
      </c>
      <c r="C2046" s="34" t="s">
        <v>100</v>
      </c>
      <c r="D2046" s="34" t="s">
        <v>104</v>
      </c>
      <c r="E2046" s="34" t="s">
        <v>93</v>
      </c>
      <c r="F2046" s="35">
        <v>46</v>
      </c>
      <c r="G2046" s="37">
        <v>37.340000000000003</v>
      </c>
      <c r="H2046" s="32">
        <f t="shared" si="37"/>
        <v>1717.64</v>
      </c>
    </row>
    <row r="2047" spans="2:8">
      <c r="B2047" s="28">
        <v>10380</v>
      </c>
      <c r="C2047" s="34" t="s">
        <v>261</v>
      </c>
      <c r="D2047" s="34" t="s">
        <v>119</v>
      </c>
      <c r="E2047" s="34" t="s">
        <v>93</v>
      </c>
      <c r="F2047" s="35">
        <v>43</v>
      </c>
      <c r="G2047" s="37">
        <v>95.03</v>
      </c>
      <c r="H2047" s="32">
        <f t="shared" si="37"/>
        <v>4086.29</v>
      </c>
    </row>
    <row r="2048" spans="2:8">
      <c r="B2048" s="28">
        <v>10408</v>
      </c>
      <c r="C2048" s="34" t="s">
        <v>288</v>
      </c>
      <c r="D2048" s="34" t="s">
        <v>104</v>
      </c>
      <c r="E2048" s="34" t="s">
        <v>93</v>
      </c>
      <c r="F2048" s="35">
        <v>15</v>
      </c>
      <c r="G2048" s="37">
        <v>36.93</v>
      </c>
      <c r="H2048" s="32">
        <f t="shared" si="37"/>
        <v>553.95000000000005</v>
      </c>
    </row>
    <row r="2049" spans="2:8">
      <c r="B2049" s="28">
        <v>10420</v>
      </c>
      <c r="C2049" s="34" t="s">
        <v>168</v>
      </c>
      <c r="D2049" s="34" t="s">
        <v>104</v>
      </c>
      <c r="E2049" s="34" t="s">
        <v>400</v>
      </c>
      <c r="F2049" s="35">
        <v>15</v>
      </c>
      <c r="G2049" s="37">
        <v>43.49</v>
      </c>
      <c r="H2049" s="32">
        <f t="shared" si="37"/>
        <v>652.35</v>
      </c>
    </row>
    <row r="2050" spans="2:8">
      <c r="B2050" s="28">
        <v>10104</v>
      </c>
      <c r="C2050" s="34" t="s">
        <v>261</v>
      </c>
      <c r="D2050" s="34" t="s">
        <v>104</v>
      </c>
      <c r="E2050" s="34" t="s">
        <v>93</v>
      </c>
      <c r="F2050" s="35">
        <v>26</v>
      </c>
      <c r="G2050" s="37">
        <v>100</v>
      </c>
      <c r="H2050" s="32">
        <f t="shared" si="37"/>
        <v>2600</v>
      </c>
    </row>
    <row r="2051" spans="2:8">
      <c r="B2051" s="28">
        <v>10115</v>
      </c>
      <c r="C2051" s="34" t="s">
        <v>100</v>
      </c>
      <c r="D2051" s="34" t="s">
        <v>119</v>
      </c>
      <c r="E2051" s="34" t="s">
        <v>93</v>
      </c>
      <c r="F2051" s="35">
        <v>44</v>
      </c>
      <c r="G2051" s="37">
        <v>100</v>
      </c>
      <c r="H2051" s="32">
        <f t="shared" si="37"/>
        <v>4400</v>
      </c>
    </row>
    <row r="2052" spans="2:8">
      <c r="B2052" s="28">
        <v>10127</v>
      </c>
      <c r="C2052" s="34" t="s">
        <v>100</v>
      </c>
      <c r="D2052" s="34" t="s">
        <v>104</v>
      </c>
      <c r="E2052" s="34" t="s">
        <v>93</v>
      </c>
      <c r="F2052" s="35">
        <v>20</v>
      </c>
      <c r="G2052" s="37">
        <v>96.99</v>
      </c>
      <c r="H2052" s="32">
        <f t="shared" si="37"/>
        <v>1939.8</v>
      </c>
    </row>
    <row r="2053" spans="2:8">
      <c r="B2053" s="28">
        <v>10141</v>
      </c>
      <c r="C2053" s="34" t="s">
        <v>208</v>
      </c>
      <c r="D2053" s="34" t="s">
        <v>119</v>
      </c>
      <c r="E2053" s="34" t="s">
        <v>93</v>
      </c>
      <c r="F2053" s="35">
        <v>40</v>
      </c>
      <c r="G2053" s="37">
        <v>94.62</v>
      </c>
      <c r="H2053" s="32">
        <f t="shared" ref="H2053:H2116" si="38">F2053*G2053</f>
        <v>3784.8</v>
      </c>
    </row>
    <row r="2054" spans="2:8">
      <c r="B2054" s="28">
        <v>10152</v>
      </c>
      <c r="C2054" s="34" t="s">
        <v>168</v>
      </c>
      <c r="D2054" s="34" t="s">
        <v>104</v>
      </c>
      <c r="E2054" s="34" t="s">
        <v>93</v>
      </c>
      <c r="F2054" s="35">
        <v>23</v>
      </c>
      <c r="G2054" s="37">
        <v>100</v>
      </c>
      <c r="H2054" s="32">
        <f t="shared" si="38"/>
        <v>2300</v>
      </c>
    </row>
    <row r="2055" spans="2:8">
      <c r="B2055" s="28">
        <v>10165</v>
      </c>
      <c r="C2055" s="34" t="s">
        <v>287</v>
      </c>
      <c r="D2055" s="34" t="s">
        <v>104</v>
      </c>
      <c r="E2055" s="34" t="s">
        <v>93</v>
      </c>
      <c r="F2055" s="35">
        <v>24</v>
      </c>
      <c r="G2055" s="37">
        <v>99.36</v>
      </c>
      <c r="H2055" s="32">
        <f t="shared" si="38"/>
        <v>2384.64</v>
      </c>
    </row>
    <row r="2056" spans="2:8">
      <c r="B2056" s="28">
        <v>10176</v>
      </c>
      <c r="C2056" s="34" t="s">
        <v>352</v>
      </c>
      <c r="D2056" s="34" t="s">
        <v>104</v>
      </c>
      <c r="E2056" s="34" t="s">
        <v>93</v>
      </c>
      <c r="F2056" s="35">
        <v>29</v>
      </c>
      <c r="G2056" s="37">
        <v>100</v>
      </c>
      <c r="H2056" s="32">
        <f t="shared" si="38"/>
        <v>2900</v>
      </c>
    </row>
    <row r="2057" spans="2:8">
      <c r="B2057" s="28">
        <v>10184</v>
      </c>
      <c r="C2057" s="34" t="s">
        <v>261</v>
      </c>
      <c r="D2057" s="34" t="s">
        <v>119</v>
      </c>
      <c r="E2057" s="34" t="s">
        <v>93</v>
      </c>
      <c r="F2057" s="35">
        <v>49</v>
      </c>
      <c r="G2057" s="37">
        <v>100</v>
      </c>
      <c r="H2057" s="32">
        <f t="shared" si="38"/>
        <v>4900</v>
      </c>
    </row>
    <row r="2058" spans="2:8">
      <c r="B2058" s="28">
        <v>10195</v>
      </c>
      <c r="C2058" s="34" t="s">
        <v>100</v>
      </c>
      <c r="D2058" s="34" t="s">
        <v>119</v>
      </c>
      <c r="E2058" s="34" t="s">
        <v>93</v>
      </c>
      <c r="F2058" s="35">
        <v>34</v>
      </c>
      <c r="G2058" s="37">
        <v>100</v>
      </c>
      <c r="H2058" s="32">
        <f t="shared" si="38"/>
        <v>3400</v>
      </c>
    </row>
    <row r="2059" spans="2:8">
      <c r="B2059" s="28">
        <v>10207</v>
      </c>
      <c r="C2059" s="34" t="s">
        <v>100</v>
      </c>
      <c r="D2059" s="34" t="s">
        <v>104</v>
      </c>
      <c r="E2059" s="34" t="s">
        <v>93</v>
      </c>
      <c r="F2059" s="35">
        <v>28</v>
      </c>
      <c r="G2059" s="37">
        <v>100</v>
      </c>
      <c r="H2059" s="32">
        <f t="shared" si="38"/>
        <v>2800</v>
      </c>
    </row>
    <row r="2060" spans="2:8">
      <c r="B2060" s="28">
        <v>10220</v>
      </c>
      <c r="C2060" s="34" t="s">
        <v>614</v>
      </c>
      <c r="D2060" s="34" t="s">
        <v>119</v>
      </c>
      <c r="E2060" s="34" t="s">
        <v>93</v>
      </c>
      <c r="F2060" s="35">
        <v>37</v>
      </c>
      <c r="G2060" s="37">
        <v>100</v>
      </c>
      <c r="H2060" s="32">
        <f t="shared" si="38"/>
        <v>3700</v>
      </c>
    </row>
    <row r="2061" spans="2:8">
      <c r="B2061" s="28">
        <v>10230</v>
      </c>
      <c r="C2061" s="34" t="s">
        <v>566</v>
      </c>
      <c r="D2061" s="34" t="s">
        <v>119</v>
      </c>
      <c r="E2061" s="34" t="s">
        <v>93</v>
      </c>
      <c r="F2061" s="35">
        <v>45</v>
      </c>
      <c r="G2061" s="37">
        <v>100</v>
      </c>
      <c r="H2061" s="32">
        <f t="shared" si="38"/>
        <v>4500</v>
      </c>
    </row>
    <row r="2062" spans="2:8">
      <c r="B2062" s="28">
        <v>10246</v>
      </c>
      <c r="C2062" s="34" t="s">
        <v>261</v>
      </c>
      <c r="D2062" s="34" t="s">
        <v>119</v>
      </c>
      <c r="E2062" s="34" t="s">
        <v>93</v>
      </c>
      <c r="F2062" s="35">
        <v>46</v>
      </c>
      <c r="G2062" s="37">
        <v>100</v>
      </c>
      <c r="H2062" s="32">
        <f t="shared" si="38"/>
        <v>4600</v>
      </c>
    </row>
    <row r="2063" spans="2:8">
      <c r="B2063" s="28">
        <v>10271</v>
      </c>
      <c r="C2063" s="34" t="s">
        <v>100</v>
      </c>
      <c r="D2063" s="34" t="s">
        <v>119</v>
      </c>
      <c r="E2063" s="34" t="s">
        <v>93</v>
      </c>
      <c r="F2063" s="35">
        <v>22</v>
      </c>
      <c r="G2063" s="37">
        <v>100</v>
      </c>
      <c r="H2063" s="32">
        <f t="shared" si="38"/>
        <v>2200</v>
      </c>
    </row>
    <row r="2064" spans="2:8">
      <c r="B2064" s="28">
        <v>10282</v>
      </c>
      <c r="C2064" s="34" t="s">
        <v>100</v>
      </c>
      <c r="D2064" s="34" t="s">
        <v>119</v>
      </c>
      <c r="E2064" s="34" t="s">
        <v>93</v>
      </c>
      <c r="F2064" s="35">
        <v>39</v>
      </c>
      <c r="G2064" s="37">
        <v>100</v>
      </c>
      <c r="H2064" s="32">
        <f t="shared" si="38"/>
        <v>3900</v>
      </c>
    </row>
    <row r="2065" spans="2:8">
      <c r="B2065" s="28">
        <v>10292</v>
      </c>
      <c r="C2065" s="34" t="s">
        <v>100</v>
      </c>
      <c r="D2065" s="34" t="s">
        <v>119</v>
      </c>
      <c r="E2065" s="34" t="s">
        <v>93</v>
      </c>
      <c r="F2065" s="35">
        <v>27</v>
      </c>
      <c r="G2065" s="37">
        <v>100</v>
      </c>
      <c r="H2065" s="32">
        <f t="shared" si="38"/>
        <v>2700</v>
      </c>
    </row>
    <row r="2066" spans="2:8">
      <c r="B2066" s="28">
        <v>10305</v>
      </c>
      <c r="C2066" s="34" t="s">
        <v>100</v>
      </c>
      <c r="D2066" s="34" t="s">
        <v>119</v>
      </c>
      <c r="E2066" s="34" t="s">
        <v>93</v>
      </c>
      <c r="F2066" s="35">
        <v>36</v>
      </c>
      <c r="G2066" s="37">
        <v>100</v>
      </c>
      <c r="H2066" s="32">
        <f t="shared" si="38"/>
        <v>3600</v>
      </c>
    </row>
    <row r="2067" spans="2:8">
      <c r="B2067" s="28">
        <v>10314</v>
      </c>
      <c r="C2067" s="34" t="s">
        <v>429</v>
      </c>
      <c r="D2067" s="34" t="s">
        <v>119</v>
      </c>
      <c r="E2067" s="34" t="s">
        <v>93</v>
      </c>
      <c r="F2067" s="35">
        <v>38</v>
      </c>
      <c r="G2067" s="37">
        <v>100</v>
      </c>
      <c r="H2067" s="32">
        <f t="shared" si="38"/>
        <v>3800</v>
      </c>
    </row>
    <row r="2068" spans="2:8">
      <c r="B2068" s="28">
        <v>10325</v>
      </c>
      <c r="C2068" s="34" t="s">
        <v>149</v>
      </c>
      <c r="D2068" s="34" t="s">
        <v>119</v>
      </c>
      <c r="E2068" s="34" t="s">
        <v>93</v>
      </c>
      <c r="F2068" s="35">
        <v>44</v>
      </c>
      <c r="G2068" s="37">
        <v>100</v>
      </c>
      <c r="H2068" s="32">
        <f t="shared" si="38"/>
        <v>4400</v>
      </c>
    </row>
    <row r="2069" spans="2:8">
      <c r="B2069" s="28">
        <v>10336</v>
      </c>
      <c r="C2069" s="34" t="s">
        <v>109</v>
      </c>
      <c r="D2069" s="34" t="s">
        <v>119</v>
      </c>
      <c r="E2069" s="34" t="s">
        <v>93</v>
      </c>
      <c r="F2069" s="35">
        <v>31</v>
      </c>
      <c r="G2069" s="37">
        <v>100</v>
      </c>
      <c r="H2069" s="32">
        <f t="shared" si="38"/>
        <v>3100</v>
      </c>
    </row>
    <row r="2070" spans="2:8">
      <c r="B2070" s="28">
        <v>10349</v>
      </c>
      <c r="C2070" s="34" t="s">
        <v>100</v>
      </c>
      <c r="D2070" s="34" t="s">
        <v>119</v>
      </c>
      <c r="E2070" s="34" t="s">
        <v>93</v>
      </c>
      <c r="F2070" s="35">
        <v>23</v>
      </c>
      <c r="G2070" s="37">
        <v>100</v>
      </c>
      <c r="H2070" s="32">
        <f t="shared" si="38"/>
        <v>2300</v>
      </c>
    </row>
    <row r="2071" spans="2:8">
      <c r="B2071" s="28">
        <v>10359</v>
      </c>
      <c r="C2071" s="34" t="s">
        <v>109</v>
      </c>
      <c r="D2071" s="34" t="s">
        <v>104</v>
      </c>
      <c r="E2071" s="34" t="s">
        <v>93</v>
      </c>
      <c r="F2071" s="35">
        <v>22</v>
      </c>
      <c r="G2071" s="37">
        <v>100</v>
      </c>
      <c r="H2071" s="32">
        <f t="shared" si="38"/>
        <v>2200</v>
      </c>
    </row>
    <row r="2072" spans="2:8">
      <c r="B2072" s="28">
        <v>10371</v>
      </c>
      <c r="C2072" s="34" t="s">
        <v>100</v>
      </c>
      <c r="D2072" s="34" t="s">
        <v>104</v>
      </c>
      <c r="E2072" s="34" t="s">
        <v>93</v>
      </c>
      <c r="F2072" s="35">
        <v>28</v>
      </c>
      <c r="G2072" s="37">
        <v>50.32</v>
      </c>
      <c r="H2072" s="32">
        <f t="shared" si="38"/>
        <v>1408.96</v>
      </c>
    </row>
    <row r="2073" spans="2:8">
      <c r="B2073" s="28">
        <v>10383</v>
      </c>
      <c r="C2073" s="34" t="s">
        <v>261</v>
      </c>
      <c r="D2073" s="34" t="s">
        <v>104</v>
      </c>
      <c r="E2073" s="34" t="s">
        <v>93</v>
      </c>
      <c r="F2073" s="35">
        <v>21</v>
      </c>
      <c r="G2073" s="37">
        <v>93.91</v>
      </c>
      <c r="H2073" s="32">
        <f t="shared" si="38"/>
        <v>1972.11</v>
      </c>
    </row>
    <row r="2074" spans="2:8">
      <c r="B2074" s="28">
        <v>10394</v>
      </c>
      <c r="C2074" s="34" t="s">
        <v>261</v>
      </c>
      <c r="D2074" s="34" t="s">
        <v>119</v>
      </c>
      <c r="E2074" s="34" t="s">
        <v>93</v>
      </c>
      <c r="F2074" s="35">
        <v>37</v>
      </c>
      <c r="G2074" s="37">
        <v>100</v>
      </c>
      <c r="H2074" s="32">
        <f t="shared" si="38"/>
        <v>3700</v>
      </c>
    </row>
    <row r="2075" spans="2:8">
      <c r="B2075" s="28">
        <v>10412</v>
      </c>
      <c r="C2075" s="34" t="s">
        <v>261</v>
      </c>
      <c r="D2075" s="34" t="s">
        <v>119</v>
      </c>
      <c r="E2075" s="34" t="s">
        <v>93</v>
      </c>
      <c r="F2075" s="35">
        <v>31</v>
      </c>
      <c r="G2075" s="37">
        <v>100</v>
      </c>
      <c r="H2075" s="32">
        <f t="shared" si="38"/>
        <v>3100</v>
      </c>
    </row>
    <row r="2076" spans="2:8">
      <c r="B2076" s="28">
        <v>10103</v>
      </c>
      <c r="C2076" s="34" t="s">
        <v>149</v>
      </c>
      <c r="D2076" s="34" t="s">
        <v>104</v>
      </c>
      <c r="E2076" s="34" t="s">
        <v>93</v>
      </c>
      <c r="F2076" s="35">
        <v>25</v>
      </c>
      <c r="G2076" s="37">
        <v>100</v>
      </c>
      <c r="H2076" s="32">
        <f t="shared" si="38"/>
        <v>2500</v>
      </c>
    </row>
    <row r="2077" spans="2:8">
      <c r="B2077" s="28">
        <v>10111</v>
      </c>
      <c r="C2077" s="34" t="s">
        <v>100</v>
      </c>
      <c r="D2077" s="34" t="s">
        <v>104</v>
      </c>
      <c r="E2077" s="34" t="s">
        <v>93</v>
      </c>
      <c r="F2077" s="35">
        <v>26</v>
      </c>
      <c r="G2077" s="37">
        <v>86.68</v>
      </c>
      <c r="H2077" s="32">
        <f t="shared" si="38"/>
        <v>2253.6800000000003</v>
      </c>
    </row>
    <row r="2078" spans="2:8">
      <c r="B2078" s="28">
        <v>10126</v>
      </c>
      <c r="C2078" s="34" t="s">
        <v>261</v>
      </c>
      <c r="D2078" s="34" t="s">
        <v>119</v>
      </c>
      <c r="E2078" s="34" t="s">
        <v>93</v>
      </c>
      <c r="F2078" s="35">
        <v>34</v>
      </c>
      <c r="G2078" s="37">
        <v>100</v>
      </c>
      <c r="H2078" s="32">
        <f t="shared" si="38"/>
        <v>3400</v>
      </c>
    </row>
    <row r="2079" spans="2:8">
      <c r="B2079" s="28">
        <v>10139</v>
      </c>
      <c r="C2079" s="34" t="s">
        <v>168</v>
      </c>
      <c r="D2079" s="34" t="s">
        <v>119</v>
      </c>
      <c r="E2079" s="34" t="s">
        <v>93</v>
      </c>
      <c r="F2079" s="35">
        <v>29</v>
      </c>
      <c r="G2079" s="37">
        <v>100</v>
      </c>
      <c r="H2079" s="32">
        <f t="shared" si="38"/>
        <v>2900</v>
      </c>
    </row>
    <row r="2080" spans="2:8">
      <c r="B2080" s="28">
        <v>10149</v>
      </c>
      <c r="C2080" s="34" t="s">
        <v>100</v>
      </c>
      <c r="D2080" s="34" t="s">
        <v>104</v>
      </c>
      <c r="E2080" s="34" t="s">
        <v>93</v>
      </c>
      <c r="F2080" s="35">
        <v>20</v>
      </c>
      <c r="G2080" s="37">
        <v>90.57</v>
      </c>
      <c r="H2080" s="32">
        <f t="shared" si="38"/>
        <v>1811.3999999999999</v>
      </c>
    </row>
    <row r="2081" spans="2:8">
      <c r="B2081" s="28">
        <v>10163</v>
      </c>
      <c r="C2081" s="34" t="s">
        <v>100</v>
      </c>
      <c r="D2081" s="34" t="s">
        <v>119</v>
      </c>
      <c r="E2081" s="34" t="s">
        <v>93</v>
      </c>
      <c r="F2081" s="35">
        <v>42</v>
      </c>
      <c r="G2081" s="37">
        <v>91.55</v>
      </c>
      <c r="H2081" s="32">
        <f t="shared" si="38"/>
        <v>3845.1</v>
      </c>
    </row>
    <row r="2082" spans="2:8">
      <c r="B2082" s="28">
        <v>10173</v>
      </c>
      <c r="C2082" s="34" t="s">
        <v>352</v>
      </c>
      <c r="D2082" s="34" t="s">
        <v>104</v>
      </c>
      <c r="E2082" s="34" t="s">
        <v>93</v>
      </c>
      <c r="F2082" s="35">
        <v>22</v>
      </c>
      <c r="G2082" s="37">
        <v>100</v>
      </c>
      <c r="H2082" s="32">
        <f t="shared" si="38"/>
        <v>2200</v>
      </c>
    </row>
    <row r="2083" spans="2:8">
      <c r="B2083" s="28">
        <v>10183</v>
      </c>
      <c r="C2083" s="34" t="s">
        <v>100</v>
      </c>
      <c r="D2083" s="34" t="s">
        <v>119</v>
      </c>
      <c r="E2083" s="34" t="s">
        <v>93</v>
      </c>
      <c r="F2083" s="35">
        <v>47</v>
      </c>
      <c r="G2083" s="37">
        <v>100</v>
      </c>
      <c r="H2083" s="32">
        <f t="shared" si="38"/>
        <v>4700</v>
      </c>
    </row>
    <row r="2084" spans="2:8">
      <c r="B2084" s="28">
        <v>10193</v>
      </c>
      <c r="C2084" s="34" t="s">
        <v>168</v>
      </c>
      <c r="D2084" s="34" t="s">
        <v>104</v>
      </c>
      <c r="E2084" s="34" t="s">
        <v>93</v>
      </c>
      <c r="F2084" s="35">
        <v>20</v>
      </c>
      <c r="G2084" s="37">
        <v>100</v>
      </c>
      <c r="H2084" s="32">
        <f t="shared" si="38"/>
        <v>2000</v>
      </c>
    </row>
    <row r="2085" spans="2:8">
      <c r="B2085" s="28">
        <v>10206</v>
      </c>
      <c r="C2085" s="34" t="s">
        <v>322</v>
      </c>
      <c r="D2085" s="34" t="s">
        <v>119</v>
      </c>
      <c r="E2085" s="34" t="s">
        <v>93</v>
      </c>
      <c r="F2085" s="35">
        <v>33</v>
      </c>
      <c r="G2085" s="37">
        <v>97.39</v>
      </c>
      <c r="H2085" s="32">
        <f t="shared" si="38"/>
        <v>3213.87</v>
      </c>
    </row>
    <row r="2086" spans="2:8">
      <c r="B2086" s="28">
        <v>10215</v>
      </c>
      <c r="C2086" s="34" t="s">
        <v>100</v>
      </c>
      <c r="D2086" s="34" t="s">
        <v>119</v>
      </c>
      <c r="E2086" s="34" t="s">
        <v>93</v>
      </c>
      <c r="F2086" s="35">
        <v>39</v>
      </c>
      <c r="G2086" s="37">
        <v>90.57</v>
      </c>
      <c r="H2086" s="32">
        <f t="shared" si="38"/>
        <v>3532.2299999999996</v>
      </c>
    </row>
    <row r="2087" spans="2:8">
      <c r="B2087" s="28">
        <v>10228</v>
      </c>
      <c r="C2087" s="34" t="s">
        <v>100</v>
      </c>
      <c r="D2087" s="34" t="s">
        <v>119</v>
      </c>
      <c r="E2087" s="34" t="s">
        <v>93</v>
      </c>
      <c r="F2087" s="35">
        <v>33</v>
      </c>
      <c r="G2087" s="37">
        <v>100</v>
      </c>
      <c r="H2087" s="32">
        <f t="shared" si="38"/>
        <v>3300</v>
      </c>
    </row>
    <row r="2088" spans="2:8">
      <c r="B2088" s="28">
        <v>10244</v>
      </c>
      <c r="C2088" s="34" t="s">
        <v>261</v>
      </c>
      <c r="D2088" s="34" t="s">
        <v>119</v>
      </c>
      <c r="E2088" s="34" t="s">
        <v>93</v>
      </c>
      <c r="F2088" s="35">
        <v>40</v>
      </c>
      <c r="G2088" s="37">
        <v>86.68</v>
      </c>
      <c r="H2088" s="32">
        <f t="shared" si="38"/>
        <v>3467.2000000000003</v>
      </c>
    </row>
    <row r="2089" spans="2:8">
      <c r="B2089" s="28">
        <v>10257</v>
      </c>
      <c r="C2089" s="34" t="s">
        <v>100</v>
      </c>
      <c r="D2089" s="34" t="s">
        <v>119</v>
      </c>
      <c r="E2089" s="34" t="s">
        <v>93</v>
      </c>
      <c r="F2089" s="35">
        <v>46</v>
      </c>
      <c r="G2089" s="37">
        <v>78.89</v>
      </c>
      <c r="H2089" s="32">
        <f t="shared" si="38"/>
        <v>3628.94</v>
      </c>
    </row>
    <row r="2090" spans="2:8">
      <c r="B2090" s="28">
        <v>10269</v>
      </c>
      <c r="C2090" s="34" t="s">
        <v>229</v>
      </c>
      <c r="D2090" s="34" t="s">
        <v>119</v>
      </c>
      <c r="E2090" s="34" t="s">
        <v>93</v>
      </c>
      <c r="F2090" s="35">
        <v>48</v>
      </c>
      <c r="G2090" s="37">
        <v>97.39</v>
      </c>
      <c r="H2090" s="32">
        <f t="shared" si="38"/>
        <v>4674.72</v>
      </c>
    </row>
    <row r="2091" spans="2:8">
      <c r="B2091" s="28">
        <v>10280</v>
      </c>
      <c r="C2091" s="34" t="s">
        <v>352</v>
      </c>
      <c r="D2091" s="34" t="s">
        <v>104</v>
      </c>
      <c r="E2091" s="34" t="s">
        <v>93</v>
      </c>
      <c r="F2091" s="35">
        <v>21</v>
      </c>
      <c r="G2091" s="37">
        <v>78.89</v>
      </c>
      <c r="H2091" s="32">
        <f t="shared" si="38"/>
        <v>1656.69</v>
      </c>
    </row>
    <row r="2092" spans="2:8">
      <c r="B2092" s="28">
        <v>10290</v>
      </c>
      <c r="C2092" s="34" t="s">
        <v>100</v>
      </c>
      <c r="D2092" s="34" t="s">
        <v>119</v>
      </c>
      <c r="E2092" s="34" t="s">
        <v>93</v>
      </c>
      <c r="F2092" s="35">
        <v>45</v>
      </c>
      <c r="G2092" s="37">
        <v>100</v>
      </c>
      <c r="H2092" s="32">
        <f t="shared" si="38"/>
        <v>4500</v>
      </c>
    </row>
    <row r="2093" spans="2:8">
      <c r="B2093" s="28">
        <v>10304</v>
      </c>
      <c r="C2093" s="34" t="s">
        <v>109</v>
      </c>
      <c r="D2093" s="34" t="s">
        <v>119</v>
      </c>
      <c r="E2093" s="34" t="s">
        <v>93</v>
      </c>
      <c r="F2093" s="35">
        <v>33</v>
      </c>
      <c r="G2093" s="37">
        <v>100</v>
      </c>
      <c r="H2093" s="32">
        <f t="shared" si="38"/>
        <v>3300</v>
      </c>
    </row>
    <row r="2094" spans="2:8">
      <c r="B2094" s="28">
        <v>10312</v>
      </c>
      <c r="C2094" s="34" t="s">
        <v>100</v>
      </c>
      <c r="D2094" s="34" t="s">
        <v>119</v>
      </c>
      <c r="E2094" s="34" t="s">
        <v>93</v>
      </c>
      <c r="F2094" s="35">
        <v>44</v>
      </c>
      <c r="G2094" s="37">
        <v>100</v>
      </c>
      <c r="H2094" s="32">
        <f t="shared" si="38"/>
        <v>4400</v>
      </c>
    </row>
    <row r="2095" spans="2:8">
      <c r="B2095" s="28">
        <v>10324</v>
      </c>
      <c r="C2095" s="34" t="s">
        <v>100</v>
      </c>
      <c r="D2095" s="34" t="s">
        <v>119</v>
      </c>
      <c r="E2095" s="34" t="s">
        <v>93</v>
      </c>
      <c r="F2095" s="35">
        <v>33</v>
      </c>
      <c r="G2095" s="37">
        <v>100</v>
      </c>
      <c r="H2095" s="32">
        <f t="shared" si="38"/>
        <v>3300</v>
      </c>
    </row>
    <row r="2096" spans="2:8">
      <c r="B2096" s="28">
        <v>10333</v>
      </c>
      <c r="C2096" s="34" t="s">
        <v>100</v>
      </c>
      <c r="D2096" s="34" t="s">
        <v>119</v>
      </c>
      <c r="E2096" s="34" t="s">
        <v>93</v>
      </c>
      <c r="F2096" s="35">
        <v>39</v>
      </c>
      <c r="G2096" s="37">
        <v>100</v>
      </c>
      <c r="H2096" s="32">
        <f t="shared" si="38"/>
        <v>3900</v>
      </c>
    </row>
    <row r="2097" spans="2:8">
      <c r="B2097" s="28">
        <v>10348</v>
      </c>
      <c r="C2097" s="34" t="s">
        <v>261</v>
      </c>
      <c r="D2097" s="34" t="s">
        <v>104</v>
      </c>
      <c r="E2097" s="34" t="s">
        <v>93</v>
      </c>
      <c r="F2097" s="35">
        <v>39</v>
      </c>
      <c r="G2097" s="37">
        <v>50.31</v>
      </c>
      <c r="H2097" s="32">
        <f t="shared" si="38"/>
        <v>1962.0900000000001</v>
      </c>
    </row>
    <row r="2098" spans="2:8">
      <c r="B2098" s="28">
        <v>10358</v>
      </c>
      <c r="C2098" s="34" t="s">
        <v>261</v>
      </c>
      <c r="D2098" s="34" t="s">
        <v>119</v>
      </c>
      <c r="E2098" s="34" t="s">
        <v>93</v>
      </c>
      <c r="F2098" s="35">
        <v>41</v>
      </c>
      <c r="G2098" s="37">
        <v>100</v>
      </c>
      <c r="H2098" s="32">
        <f t="shared" si="38"/>
        <v>4100</v>
      </c>
    </row>
    <row r="2099" spans="2:8">
      <c r="B2099" s="28">
        <v>10369</v>
      </c>
      <c r="C2099" s="34" t="s">
        <v>100</v>
      </c>
      <c r="D2099" s="34" t="s">
        <v>119</v>
      </c>
      <c r="E2099" s="34" t="s">
        <v>93</v>
      </c>
      <c r="F2099" s="35">
        <v>40</v>
      </c>
      <c r="G2099" s="37">
        <v>86.92</v>
      </c>
      <c r="H2099" s="32">
        <f t="shared" si="38"/>
        <v>3476.8</v>
      </c>
    </row>
    <row r="2100" spans="2:8">
      <c r="B2100" s="28">
        <v>10382</v>
      </c>
      <c r="C2100" s="34" t="s">
        <v>100</v>
      </c>
      <c r="D2100" s="34" t="s">
        <v>119</v>
      </c>
      <c r="E2100" s="34" t="s">
        <v>93</v>
      </c>
      <c r="F2100" s="35">
        <v>33</v>
      </c>
      <c r="G2100" s="37">
        <v>100</v>
      </c>
      <c r="H2100" s="32">
        <f t="shared" si="38"/>
        <v>3300</v>
      </c>
    </row>
    <row r="2101" spans="2:8">
      <c r="B2101" s="28">
        <v>10423</v>
      </c>
      <c r="C2101" s="34" t="s">
        <v>480</v>
      </c>
      <c r="D2101" s="34" t="s">
        <v>104</v>
      </c>
      <c r="E2101" s="34" t="s">
        <v>400</v>
      </c>
      <c r="F2101" s="35">
        <v>28</v>
      </c>
      <c r="G2101" s="37">
        <v>78.89</v>
      </c>
      <c r="H2101" s="32">
        <f t="shared" si="38"/>
        <v>2208.92</v>
      </c>
    </row>
    <row r="2102" spans="2:8">
      <c r="B2102" s="28">
        <v>10106</v>
      </c>
      <c r="C2102" s="34" t="s">
        <v>352</v>
      </c>
      <c r="D2102" s="34" t="s">
        <v>104</v>
      </c>
      <c r="E2102" s="34" t="s">
        <v>93</v>
      </c>
      <c r="F2102" s="35">
        <v>26</v>
      </c>
      <c r="G2102" s="37">
        <v>63.76</v>
      </c>
      <c r="H2102" s="32">
        <f t="shared" si="38"/>
        <v>1657.76</v>
      </c>
    </row>
    <row r="2103" spans="2:8">
      <c r="B2103" s="28">
        <v>10120</v>
      </c>
      <c r="C2103" s="34" t="s">
        <v>168</v>
      </c>
      <c r="D2103" s="34" t="s">
        <v>104</v>
      </c>
      <c r="E2103" s="34" t="s">
        <v>93</v>
      </c>
      <c r="F2103" s="35">
        <v>29</v>
      </c>
      <c r="G2103" s="37">
        <v>85.49</v>
      </c>
      <c r="H2103" s="32">
        <f t="shared" si="38"/>
        <v>2479.21</v>
      </c>
    </row>
    <row r="2104" spans="2:8">
      <c r="B2104" s="28">
        <v>10133</v>
      </c>
      <c r="C2104" s="34" t="s">
        <v>261</v>
      </c>
      <c r="D2104" s="34" t="s">
        <v>119</v>
      </c>
      <c r="E2104" s="34" t="s">
        <v>93</v>
      </c>
      <c r="F2104" s="35">
        <v>46</v>
      </c>
      <c r="G2104" s="37">
        <v>77.52</v>
      </c>
      <c r="H2104" s="32">
        <f t="shared" si="38"/>
        <v>3565.9199999999996</v>
      </c>
    </row>
    <row r="2105" spans="2:8">
      <c r="B2105" s="28">
        <v>10145</v>
      </c>
      <c r="C2105" s="34" t="s">
        <v>100</v>
      </c>
      <c r="D2105" s="34" t="s">
        <v>104</v>
      </c>
      <c r="E2105" s="34" t="s">
        <v>93</v>
      </c>
      <c r="F2105" s="35">
        <v>33</v>
      </c>
      <c r="G2105" s="37">
        <v>84.77</v>
      </c>
      <c r="H2105" s="32">
        <f t="shared" si="38"/>
        <v>2797.41</v>
      </c>
    </row>
    <row r="2106" spans="2:8">
      <c r="B2106" s="28">
        <v>10168</v>
      </c>
      <c r="C2106" s="34" t="s">
        <v>100</v>
      </c>
      <c r="D2106" s="34" t="s">
        <v>119</v>
      </c>
      <c r="E2106" s="34" t="s">
        <v>93</v>
      </c>
      <c r="F2106" s="35">
        <v>48</v>
      </c>
      <c r="G2106" s="37">
        <v>78.25</v>
      </c>
      <c r="H2106" s="32">
        <f t="shared" si="38"/>
        <v>3756</v>
      </c>
    </row>
    <row r="2107" spans="2:8">
      <c r="B2107" s="28">
        <v>10210</v>
      </c>
      <c r="C2107" s="34" t="s">
        <v>288</v>
      </c>
      <c r="D2107" s="34" t="s">
        <v>104</v>
      </c>
      <c r="E2107" s="34" t="s">
        <v>93</v>
      </c>
      <c r="F2107" s="35">
        <v>40</v>
      </c>
      <c r="G2107" s="37">
        <v>71</v>
      </c>
      <c r="H2107" s="32">
        <f t="shared" si="38"/>
        <v>2840</v>
      </c>
    </row>
    <row r="2108" spans="2:8">
      <c r="B2108" s="28">
        <v>10223</v>
      </c>
      <c r="C2108" s="34" t="s">
        <v>168</v>
      </c>
      <c r="D2108" s="34" t="s">
        <v>104</v>
      </c>
      <c r="E2108" s="34" t="s">
        <v>93</v>
      </c>
      <c r="F2108" s="35">
        <v>23</v>
      </c>
      <c r="G2108" s="37">
        <v>74.62</v>
      </c>
      <c r="H2108" s="32">
        <f t="shared" si="38"/>
        <v>1716.2600000000002</v>
      </c>
    </row>
    <row r="2109" spans="2:8">
      <c r="B2109" s="28">
        <v>10235</v>
      </c>
      <c r="C2109" s="34" t="s">
        <v>322</v>
      </c>
      <c r="D2109" s="34" t="s">
        <v>119</v>
      </c>
      <c r="E2109" s="34" t="s">
        <v>93</v>
      </c>
      <c r="F2109" s="35">
        <v>40</v>
      </c>
      <c r="G2109" s="37">
        <v>81.14</v>
      </c>
      <c r="H2109" s="32">
        <f t="shared" si="38"/>
        <v>3245.6</v>
      </c>
    </row>
    <row r="2110" spans="2:8">
      <c r="B2110" s="28">
        <v>10250</v>
      </c>
      <c r="C2110" s="34" t="s">
        <v>100</v>
      </c>
      <c r="D2110" s="34" t="s">
        <v>104</v>
      </c>
      <c r="E2110" s="34" t="s">
        <v>93</v>
      </c>
      <c r="F2110" s="35">
        <v>37</v>
      </c>
      <c r="G2110" s="37">
        <v>74.62</v>
      </c>
      <c r="H2110" s="32">
        <f t="shared" si="38"/>
        <v>2760.94</v>
      </c>
    </row>
    <row r="2111" spans="2:8">
      <c r="B2111" s="28">
        <v>10263</v>
      </c>
      <c r="C2111" s="34" t="s">
        <v>100</v>
      </c>
      <c r="D2111" s="34" t="s">
        <v>104</v>
      </c>
      <c r="E2111" s="34" t="s">
        <v>93</v>
      </c>
      <c r="F2111" s="35">
        <v>24</v>
      </c>
      <c r="G2111" s="37">
        <v>75.349999999999994</v>
      </c>
      <c r="H2111" s="32">
        <f t="shared" si="38"/>
        <v>1808.3999999999999</v>
      </c>
    </row>
    <row r="2112" spans="2:8">
      <c r="B2112" s="28">
        <v>10275</v>
      </c>
      <c r="C2112" s="34" t="s">
        <v>109</v>
      </c>
      <c r="D2112" s="34" t="s">
        <v>104</v>
      </c>
      <c r="E2112" s="34" t="s">
        <v>93</v>
      </c>
      <c r="F2112" s="35">
        <v>27</v>
      </c>
      <c r="G2112" s="37">
        <v>62.31</v>
      </c>
      <c r="H2112" s="32">
        <f t="shared" si="38"/>
        <v>1682.3700000000001</v>
      </c>
    </row>
    <row r="2113" spans="2:8">
      <c r="B2113" s="28">
        <v>10284</v>
      </c>
      <c r="C2113" s="34" t="s">
        <v>149</v>
      </c>
      <c r="D2113" s="34" t="s">
        <v>104</v>
      </c>
      <c r="E2113" s="34" t="s">
        <v>93</v>
      </c>
      <c r="F2113" s="35">
        <v>21</v>
      </c>
      <c r="G2113" s="37">
        <v>71</v>
      </c>
      <c r="H2113" s="32">
        <f t="shared" si="38"/>
        <v>1491</v>
      </c>
    </row>
    <row r="2114" spans="2:8">
      <c r="B2114" s="28">
        <v>10297</v>
      </c>
      <c r="C2114" s="34" t="s">
        <v>614</v>
      </c>
      <c r="D2114" s="34" t="s">
        <v>104</v>
      </c>
      <c r="E2114" s="34" t="s">
        <v>93</v>
      </c>
      <c r="F2114" s="35">
        <v>23</v>
      </c>
      <c r="G2114" s="37">
        <v>72.45</v>
      </c>
      <c r="H2114" s="32">
        <f t="shared" si="38"/>
        <v>1666.3500000000001</v>
      </c>
    </row>
    <row r="2115" spans="2:8">
      <c r="B2115" s="28">
        <v>10308</v>
      </c>
      <c r="C2115" s="34" t="s">
        <v>100</v>
      </c>
      <c r="D2115" s="34" t="s">
        <v>119</v>
      </c>
      <c r="E2115" s="34" t="s">
        <v>93</v>
      </c>
      <c r="F2115" s="35">
        <v>44</v>
      </c>
      <c r="G2115" s="37">
        <v>83.32</v>
      </c>
      <c r="H2115" s="32">
        <f t="shared" si="38"/>
        <v>3666.08</v>
      </c>
    </row>
    <row r="2116" spans="2:8">
      <c r="B2116" s="28">
        <v>10317</v>
      </c>
      <c r="C2116" s="34" t="s">
        <v>100</v>
      </c>
      <c r="D2116" s="34" t="s">
        <v>104</v>
      </c>
      <c r="E2116" s="34" t="s">
        <v>93</v>
      </c>
      <c r="F2116" s="35">
        <v>35</v>
      </c>
      <c r="G2116" s="37">
        <v>83.32</v>
      </c>
      <c r="H2116" s="32">
        <f t="shared" si="38"/>
        <v>2916.2</v>
      </c>
    </row>
    <row r="2117" spans="2:8">
      <c r="B2117" s="28">
        <v>10328</v>
      </c>
      <c r="C2117" s="34" t="s">
        <v>352</v>
      </c>
      <c r="D2117" s="34" t="s">
        <v>104</v>
      </c>
      <c r="E2117" s="34" t="s">
        <v>93</v>
      </c>
      <c r="F2117" s="35">
        <v>43</v>
      </c>
      <c r="G2117" s="37">
        <v>60.86</v>
      </c>
      <c r="H2117" s="32">
        <f t="shared" ref="H2117:H2180" si="39">F2117*G2117</f>
        <v>2616.98</v>
      </c>
    </row>
    <row r="2118" spans="2:8">
      <c r="B2118" s="28">
        <v>10340</v>
      </c>
      <c r="C2118" s="34" t="s">
        <v>261</v>
      </c>
      <c r="D2118" s="34" t="s">
        <v>119</v>
      </c>
      <c r="E2118" s="34" t="s">
        <v>93</v>
      </c>
      <c r="F2118" s="35">
        <v>40</v>
      </c>
      <c r="G2118" s="37">
        <v>84.77</v>
      </c>
      <c r="H2118" s="32">
        <f t="shared" si="39"/>
        <v>3390.7999999999997</v>
      </c>
    </row>
    <row r="2119" spans="2:8">
      <c r="B2119" s="28">
        <v>10353</v>
      </c>
      <c r="C2119" s="34" t="s">
        <v>100</v>
      </c>
      <c r="D2119" s="34" t="s">
        <v>119</v>
      </c>
      <c r="E2119" s="34" t="s">
        <v>93</v>
      </c>
      <c r="F2119" s="35">
        <v>35</v>
      </c>
      <c r="G2119" s="37">
        <v>89.9</v>
      </c>
      <c r="H2119" s="32">
        <f t="shared" si="39"/>
        <v>3146.5</v>
      </c>
    </row>
    <row r="2120" spans="2:8">
      <c r="B2120" s="28">
        <v>10361</v>
      </c>
      <c r="C2120" s="34" t="s">
        <v>168</v>
      </c>
      <c r="D2120" s="34" t="s">
        <v>104</v>
      </c>
      <c r="E2120" s="34" t="s">
        <v>93</v>
      </c>
      <c r="F2120" s="35">
        <v>25</v>
      </c>
      <c r="G2120" s="37">
        <v>62.46</v>
      </c>
      <c r="H2120" s="32">
        <f t="shared" si="39"/>
        <v>1561.5</v>
      </c>
    </row>
    <row r="2121" spans="2:8">
      <c r="B2121" s="28">
        <v>10375</v>
      </c>
      <c r="C2121" s="34" t="s">
        <v>109</v>
      </c>
      <c r="D2121" s="34" t="s">
        <v>232</v>
      </c>
      <c r="E2121" s="34" t="s">
        <v>93</v>
      </c>
      <c r="F2121" s="35">
        <v>43</v>
      </c>
      <c r="G2121" s="37">
        <v>100</v>
      </c>
      <c r="H2121" s="32">
        <f t="shared" si="39"/>
        <v>4300</v>
      </c>
    </row>
    <row r="2122" spans="2:8">
      <c r="B2122" s="28">
        <v>10386</v>
      </c>
      <c r="C2122" s="34" t="s">
        <v>261</v>
      </c>
      <c r="D2122" s="34" t="s">
        <v>119</v>
      </c>
      <c r="E2122" s="34" t="s">
        <v>526</v>
      </c>
      <c r="F2122" s="35">
        <v>50</v>
      </c>
      <c r="G2122" s="37">
        <v>63.34</v>
      </c>
      <c r="H2122" s="32">
        <f t="shared" si="39"/>
        <v>3167</v>
      </c>
    </row>
    <row r="2123" spans="2:8">
      <c r="B2123" s="28">
        <v>10398</v>
      </c>
      <c r="C2123" s="34" t="s">
        <v>109</v>
      </c>
      <c r="D2123" s="34" t="s">
        <v>119</v>
      </c>
      <c r="E2123" s="34" t="s">
        <v>93</v>
      </c>
      <c r="F2123" s="35">
        <v>45</v>
      </c>
      <c r="G2123" s="37">
        <v>78.25</v>
      </c>
      <c r="H2123" s="32">
        <f t="shared" si="39"/>
        <v>3521.25</v>
      </c>
    </row>
    <row r="2124" spans="2:8">
      <c r="B2124" s="28">
        <v>10401</v>
      </c>
      <c r="C2124" s="34" t="s">
        <v>100</v>
      </c>
      <c r="D2124" s="34" t="s">
        <v>119</v>
      </c>
      <c r="E2124" s="34" t="s">
        <v>518</v>
      </c>
      <c r="F2124" s="35">
        <v>52</v>
      </c>
      <c r="G2124" s="37">
        <v>81.14</v>
      </c>
      <c r="H2124" s="32">
        <f t="shared" si="39"/>
        <v>4219.28</v>
      </c>
    </row>
    <row r="2125" spans="2:8">
      <c r="B2125" s="28">
        <v>10416</v>
      </c>
      <c r="C2125" s="34" t="s">
        <v>352</v>
      </c>
      <c r="D2125" s="34" t="s">
        <v>119</v>
      </c>
      <c r="E2125" s="34" t="s">
        <v>93</v>
      </c>
      <c r="F2125" s="35">
        <v>48</v>
      </c>
      <c r="G2125" s="37">
        <v>74.62</v>
      </c>
      <c r="H2125" s="32">
        <f t="shared" si="39"/>
        <v>3581.76</v>
      </c>
    </row>
    <row r="2126" spans="2:8">
      <c r="B2126" s="28">
        <v>10108</v>
      </c>
      <c r="C2126" s="34" t="s">
        <v>552</v>
      </c>
      <c r="D2126" s="34" t="s">
        <v>104</v>
      </c>
      <c r="E2126" s="34" t="s">
        <v>93</v>
      </c>
      <c r="F2126" s="35">
        <v>31</v>
      </c>
      <c r="G2126" s="37">
        <v>68.709999999999994</v>
      </c>
      <c r="H2126" s="32">
        <f t="shared" si="39"/>
        <v>2130.0099999999998</v>
      </c>
    </row>
    <row r="2127" spans="2:8">
      <c r="B2127" s="28">
        <v>10122</v>
      </c>
      <c r="C2127" s="34" t="s">
        <v>109</v>
      </c>
      <c r="D2127" s="34" t="s">
        <v>104</v>
      </c>
      <c r="E2127" s="34" t="s">
        <v>93</v>
      </c>
      <c r="F2127" s="35">
        <v>29</v>
      </c>
      <c r="G2127" s="37">
        <v>71.14</v>
      </c>
      <c r="H2127" s="32">
        <f t="shared" si="39"/>
        <v>2063.06</v>
      </c>
    </row>
    <row r="2128" spans="2:8">
      <c r="B2128" s="28">
        <v>10135</v>
      </c>
      <c r="C2128" s="34" t="s">
        <v>100</v>
      </c>
      <c r="D2128" s="34" t="s">
        <v>104</v>
      </c>
      <c r="E2128" s="34" t="s">
        <v>93</v>
      </c>
      <c r="F2128" s="35">
        <v>23</v>
      </c>
      <c r="G2128" s="37">
        <v>87.31</v>
      </c>
      <c r="H2128" s="32">
        <f t="shared" si="39"/>
        <v>2008.13</v>
      </c>
    </row>
    <row r="2129" spans="2:8">
      <c r="B2129" s="28">
        <v>10147</v>
      </c>
      <c r="C2129" s="34" t="s">
        <v>100</v>
      </c>
      <c r="D2129" s="34" t="s">
        <v>104</v>
      </c>
      <c r="E2129" s="34" t="s">
        <v>93</v>
      </c>
      <c r="F2129" s="35">
        <v>31</v>
      </c>
      <c r="G2129" s="37">
        <v>64.67</v>
      </c>
      <c r="H2129" s="32">
        <f t="shared" si="39"/>
        <v>2004.77</v>
      </c>
    </row>
    <row r="2130" spans="2:8">
      <c r="B2130" s="28">
        <v>10159</v>
      </c>
      <c r="C2130" s="34" t="s">
        <v>100</v>
      </c>
      <c r="D2130" s="34" t="s">
        <v>104</v>
      </c>
      <c r="E2130" s="34" t="s">
        <v>93</v>
      </c>
      <c r="F2130" s="35">
        <v>23</v>
      </c>
      <c r="G2130" s="37">
        <v>67.099999999999994</v>
      </c>
      <c r="H2130" s="32">
        <f t="shared" si="39"/>
        <v>1543.3</v>
      </c>
    </row>
    <row r="2131" spans="2:8">
      <c r="B2131" s="28">
        <v>10169</v>
      </c>
      <c r="C2131" s="34" t="s">
        <v>168</v>
      </c>
      <c r="D2131" s="34" t="s">
        <v>104</v>
      </c>
      <c r="E2131" s="34" t="s">
        <v>93</v>
      </c>
      <c r="F2131" s="35">
        <v>24</v>
      </c>
      <c r="G2131" s="37">
        <v>94.58</v>
      </c>
      <c r="H2131" s="32">
        <f t="shared" si="39"/>
        <v>2269.92</v>
      </c>
    </row>
    <row r="2132" spans="2:8">
      <c r="B2132" s="28">
        <v>10180</v>
      </c>
      <c r="C2132" s="34" t="s">
        <v>109</v>
      </c>
      <c r="D2132" s="34" t="s">
        <v>104</v>
      </c>
      <c r="E2132" s="34" t="s">
        <v>93</v>
      </c>
      <c r="F2132" s="35">
        <v>28</v>
      </c>
      <c r="G2132" s="37">
        <v>71.14</v>
      </c>
      <c r="H2132" s="32">
        <f t="shared" si="39"/>
        <v>1991.92</v>
      </c>
    </row>
    <row r="2133" spans="2:8">
      <c r="B2133" s="28">
        <v>10191</v>
      </c>
      <c r="C2133" s="34" t="s">
        <v>566</v>
      </c>
      <c r="D2133" s="34" t="s">
        <v>104</v>
      </c>
      <c r="E2133" s="34" t="s">
        <v>93</v>
      </c>
      <c r="F2133" s="35">
        <v>44</v>
      </c>
      <c r="G2133" s="37">
        <v>66.290000000000006</v>
      </c>
      <c r="H2133" s="32">
        <f t="shared" si="39"/>
        <v>2916.76</v>
      </c>
    </row>
    <row r="2134" spans="2:8">
      <c r="B2134" s="28">
        <v>10211</v>
      </c>
      <c r="C2134" s="34" t="s">
        <v>109</v>
      </c>
      <c r="D2134" s="34" t="s">
        <v>104</v>
      </c>
      <c r="E2134" s="34" t="s">
        <v>93</v>
      </c>
      <c r="F2134" s="35">
        <v>22</v>
      </c>
      <c r="G2134" s="37">
        <v>92.16</v>
      </c>
      <c r="H2134" s="32">
        <f t="shared" si="39"/>
        <v>2027.52</v>
      </c>
    </row>
    <row r="2135" spans="2:8">
      <c r="B2135" s="28">
        <v>10225</v>
      </c>
      <c r="C2135" s="34" t="s">
        <v>574</v>
      </c>
      <c r="D2135" s="34" t="s">
        <v>119</v>
      </c>
      <c r="E2135" s="34" t="s">
        <v>93</v>
      </c>
      <c r="F2135" s="35">
        <v>46</v>
      </c>
      <c r="G2135" s="37">
        <v>70.33</v>
      </c>
      <c r="H2135" s="32">
        <f t="shared" si="39"/>
        <v>3235.18</v>
      </c>
    </row>
    <row r="2136" spans="2:8">
      <c r="B2136" s="28">
        <v>10238</v>
      </c>
      <c r="C2136" s="34" t="s">
        <v>429</v>
      </c>
      <c r="D2136" s="34" t="s">
        <v>104</v>
      </c>
      <c r="E2136" s="34" t="s">
        <v>93</v>
      </c>
      <c r="F2136" s="35">
        <v>22</v>
      </c>
      <c r="G2136" s="37">
        <v>93.77</v>
      </c>
      <c r="H2136" s="32">
        <f t="shared" si="39"/>
        <v>2062.94</v>
      </c>
    </row>
    <row r="2137" spans="2:8">
      <c r="B2137" s="28">
        <v>10252</v>
      </c>
      <c r="C2137" s="34" t="s">
        <v>109</v>
      </c>
      <c r="D2137" s="34" t="s">
        <v>119</v>
      </c>
      <c r="E2137" s="34" t="s">
        <v>93</v>
      </c>
      <c r="F2137" s="35">
        <v>38</v>
      </c>
      <c r="G2137" s="37">
        <v>87.31</v>
      </c>
      <c r="H2137" s="32">
        <f t="shared" si="39"/>
        <v>3317.78</v>
      </c>
    </row>
    <row r="2138" spans="2:8">
      <c r="B2138" s="28">
        <v>10264</v>
      </c>
      <c r="C2138" s="34" t="s">
        <v>100</v>
      </c>
      <c r="D2138" s="34" t="s">
        <v>119</v>
      </c>
      <c r="E2138" s="34" t="s">
        <v>93</v>
      </c>
      <c r="F2138" s="35">
        <v>47</v>
      </c>
      <c r="G2138" s="37">
        <v>83.27</v>
      </c>
      <c r="H2138" s="32">
        <f t="shared" si="39"/>
        <v>3913.6899999999996</v>
      </c>
    </row>
    <row r="2139" spans="2:8">
      <c r="B2139" s="28">
        <v>10276</v>
      </c>
      <c r="C2139" s="34" t="s">
        <v>100</v>
      </c>
      <c r="D2139" s="34" t="s">
        <v>119</v>
      </c>
      <c r="E2139" s="34" t="s">
        <v>93</v>
      </c>
      <c r="F2139" s="35">
        <v>48</v>
      </c>
      <c r="G2139" s="37">
        <v>75.180000000000007</v>
      </c>
      <c r="H2139" s="32">
        <f t="shared" si="39"/>
        <v>3608.6400000000003</v>
      </c>
    </row>
    <row r="2140" spans="2:8">
      <c r="B2140" s="28">
        <v>10287</v>
      </c>
      <c r="C2140" s="34" t="s">
        <v>574</v>
      </c>
      <c r="D2140" s="34" t="s">
        <v>119</v>
      </c>
      <c r="E2140" s="34" t="s">
        <v>93</v>
      </c>
      <c r="F2140" s="35">
        <v>40</v>
      </c>
      <c r="G2140" s="37">
        <v>88.12</v>
      </c>
      <c r="H2140" s="32">
        <f t="shared" si="39"/>
        <v>3524.8</v>
      </c>
    </row>
    <row r="2141" spans="2:8">
      <c r="B2141" s="28">
        <v>10299</v>
      </c>
      <c r="C2141" s="34" t="s">
        <v>208</v>
      </c>
      <c r="D2141" s="34" t="s">
        <v>104</v>
      </c>
      <c r="E2141" s="34" t="s">
        <v>93</v>
      </c>
      <c r="F2141" s="35">
        <v>32</v>
      </c>
      <c r="G2141" s="37">
        <v>80.84</v>
      </c>
      <c r="H2141" s="32">
        <f t="shared" si="39"/>
        <v>2586.88</v>
      </c>
    </row>
    <row r="2142" spans="2:8">
      <c r="B2142" s="28">
        <v>10310</v>
      </c>
      <c r="C2142" s="34" t="s">
        <v>566</v>
      </c>
      <c r="D2142" s="34" t="s">
        <v>119</v>
      </c>
      <c r="E2142" s="34" t="s">
        <v>93</v>
      </c>
      <c r="F2142" s="35">
        <v>49</v>
      </c>
      <c r="G2142" s="37">
        <v>97.01</v>
      </c>
      <c r="H2142" s="32">
        <f t="shared" si="39"/>
        <v>4753.4900000000007</v>
      </c>
    </row>
    <row r="2143" spans="2:8">
      <c r="B2143" s="28">
        <v>10319</v>
      </c>
      <c r="C2143" s="34" t="s">
        <v>100</v>
      </c>
      <c r="D2143" s="34" t="s">
        <v>119</v>
      </c>
      <c r="E2143" s="34" t="s">
        <v>93</v>
      </c>
      <c r="F2143" s="35">
        <v>43</v>
      </c>
      <c r="G2143" s="37">
        <v>85.69</v>
      </c>
      <c r="H2143" s="32">
        <f t="shared" si="39"/>
        <v>3684.67</v>
      </c>
    </row>
    <row r="2144" spans="2:8">
      <c r="B2144" s="28">
        <v>10331</v>
      </c>
      <c r="C2144" s="34" t="s">
        <v>100</v>
      </c>
      <c r="D2144" s="34" t="s">
        <v>119</v>
      </c>
      <c r="E2144" s="34" t="s">
        <v>93</v>
      </c>
      <c r="F2144" s="35">
        <v>41</v>
      </c>
      <c r="G2144" s="37">
        <v>100</v>
      </c>
      <c r="H2144" s="32">
        <f t="shared" si="39"/>
        <v>4100</v>
      </c>
    </row>
    <row r="2145" spans="2:8">
      <c r="B2145" s="28">
        <v>10343</v>
      </c>
      <c r="C2145" s="34" t="s">
        <v>109</v>
      </c>
      <c r="D2145" s="34" t="s">
        <v>119</v>
      </c>
      <c r="E2145" s="34" t="s">
        <v>93</v>
      </c>
      <c r="F2145" s="35">
        <v>30</v>
      </c>
      <c r="G2145" s="37">
        <v>100</v>
      </c>
      <c r="H2145" s="32">
        <f t="shared" si="39"/>
        <v>3000</v>
      </c>
    </row>
    <row r="2146" spans="2:8">
      <c r="B2146" s="28">
        <v>10355</v>
      </c>
      <c r="C2146" s="34" t="s">
        <v>261</v>
      </c>
      <c r="D2146" s="34" t="s">
        <v>104</v>
      </c>
      <c r="E2146" s="34" t="s">
        <v>93</v>
      </c>
      <c r="F2146" s="35">
        <v>28</v>
      </c>
      <c r="G2146" s="37">
        <v>95.39</v>
      </c>
      <c r="H2146" s="32">
        <f t="shared" si="39"/>
        <v>2670.92</v>
      </c>
    </row>
    <row r="2147" spans="2:8">
      <c r="B2147" s="28">
        <v>10363</v>
      </c>
      <c r="C2147" s="34" t="s">
        <v>208</v>
      </c>
      <c r="D2147" s="34" t="s">
        <v>119</v>
      </c>
      <c r="E2147" s="34" t="s">
        <v>93</v>
      </c>
      <c r="F2147" s="35">
        <v>43</v>
      </c>
      <c r="G2147" s="37">
        <v>100</v>
      </c>
      <c r="H2147" s="32">
        <f t="shared" si="39"/>
        <v>4300</v>
      </c>
    </row>
    <row r="2148" spans="2:8">
      <c r="B2148" s="28">
        <v>10378</v>
      </c>
      <c r="C2148" s="34" t="s">
        <v>261</v>
      </c>
      <c r="D2148" s="34" t="s">
        <v>119</v>
      </c>
      <c r="E2148" s="34" t="s">
        <v>93</v>
      </c>
      <c r="F2148" s="35">
        <v>41</v>
      </c>
      <c r="G2148" s="37">
        <v>100</v>
      </c>
      <c r="H2148" s="32">
        <f t="shared" si="39"/>
        <v>4100</v>
      </c>
    </row>
    <row r="2149" spans="2:8">
      <c r="B2149" s="28">
        <v>10390</v>
      </c>
      <c r="C2149" s="34" t="s">
        <v>100</v>
      </c>
      <c r="D2149" s="34" t="s">
        <v>104</v>
      </c>
      <c r="E2149" s="34" t="s">
        <v>93</v>
      </c>
      <c r="F2149" s="35">
        <v>30</v>
      </c>
      <c r="G2149" s="37">
        <v>82.42</v>
      </c>
      <c r="H2149" s="32">
        <f t="shared" si="39"/>
        <v>2472.6</v>
      </c>
    </row>
    <row r="2150" spans="2:8">
      <c r="B2150" s="28">
        <v>10103</v>
      </c>
      <c r="C2150" s="34" t="s">
        <v>149</v>
      </c>
      <c r="D2150" s="34" t="s">
        <v>119</v>
      </c>
      <c r="E2150" s="34" t="s">
        <v>93</v>
      </c>
      <c r="F2150" s="35">
        <v>31</v>
      </c>
      <c r="G2150" s="37">
        <v>100</v>
      </c>
      <c r="H2150" s="32">
        <f t="shared" si="39"/>
        <v>3100</v>
      </c>
    </row>
    <row r="2151" spans="2:8">
      <c r="B2151" s="28">
        <v>10114</v>
      </c>
      <c r="C2151" s="34" t="s">
        <v>109</v>
      </c>
      <c r="D2151" s="34" t="s">
        <v>119</v>
      </c>
      <c r="E2151" s="34" t="s">
        <v>93</v>
      </c>
      <c r="F2151" s="35">
        <v>32</v>
      </c>
      <c r="G2151" s="37">
        <v>100</v>
      </c>
      <c r="H2151" s="32">
        <f t="shared" si="39"/>
        <v>3200</v>
      </c>
    </row>
    <row r="2152" spans="2:8">
      <c r="B2152" s="28">
        <v>10126</v>
      </c>
      <c r="C2152" s="34" t="s">
        <v>261</v>
      </c>
      <c r="D2152" s="34" t="s">
        <v>119</v>
      </c>
      <c r="E2152" s="34" t="s">
        <v>93</v>
      </c>
      <c r="F2152" s="35">
        <v>43</v>
      </c>
      <c r="G2152" s="37">
        <v>96.31</v>
      </c>
      <c r="H2152" s="32">
        <f t="shared" si="39"/>
        <v>4141.33</v>
      </c>
    </row>
    <row r="2153" spans="2:8">
      <c r="B2153" s="28">
        <v>10140</v>
      </c>
      <c r="C2153" s="34" t="s">
        <v>100</v>
      </c>
      <c r="D2153" s="34" t="s">
        <v>104</v>
      </c>
      <c r="E2153" s="34" t="s">
        <v>93</v>
      </c>
      <c r="F2153" s="35">
        <v>26</v>
      </c>
      <c r="G2153" s="37">
        <v>100</v>
      </c>
      <c r="H2153" s="32">
        <f t="shared" si="39"/>
        <v>2600</v>
      </c>
    </row>
    <row r="2154" spans="2:8">
      <c r="B2154" s="28">
        <v>10151</v>
      </c>
      <c r="C2154" s="34" t="s">
        <v>208</v>
      </c>
      <c r="D2154" s="34" t="s">
        <v>119</v>
      </c>
      <c r="E2154" s="34" t="s">
        <v>93</v>
      </c>
      <c r="F2154" s="35">
        <v>27</v>
      </c>
      <c r="G2154" s="37">
        <v>100</v>
      </c>
      <c r="H2154" s="32">
        <f t="shared" si="39"/>
        <v>2700</v>
      </c>
    </row>
    <row r="2155" spans="2:8">
      <c r="B2155" s="28">
        <v>10164</v>
      </c>
      <c r="C2155" s="34" t="s">
        <v>229</v>
      </c>
      <c r="D2155" s="34" t="s">
        <v>104</v>
      </c>
      <c r="E2155" s="34" t="s">
        <v>526</v>
      </c>
      <c r="F2155" s="35">
        <v>24</v>
      </c>
      <c r="G2155" s="37">
        <v>100</v>
      </c>
      <c r="H2155" s="32">
        <f t="shared" si="39"/>
        <v>2400</v>
      </c>
    </row>
    <row r="2156" spans="2:8">
      <c r="B2156" s="28">
        <v>10175</v>
      </c>
      <c r="C2156" s="34" t="s">
        <v>252</v>
      </c>
      <c r="D2156" s="34" t="s">
        <v>104</v>
      </c>
      <c r="E2156" s="34" t="s">
        <v>93</v>
      </c>
      <c r="F2156" s="35">
        <v>22</v>
      </c>
      <c r="G2156" s="37">
        <v>100</v>
      </c>
      <c r="H2156" s="32">
        <f t="shared" si="39"/>
        <v>2200</v>
      </c>
    </row>
    <row r="2157" spans="2:8">
      <c r="B2157" s="28">
        <v>10184</v>
      </c>
      <c r="C2157" s="34" t="s">
        <v>261</v>
      </c>
      <c r="D2157" s="34" t="s">
        <v>119</v>
      </c>
      <c r="E2157" s="34" t="s">
        <v>93</v>
      </c>
      <c r="F2157" s="35">
        <v>46</v>
      </c>
      <c r="G2157" s="37">
        <v>100</v>
      </c>
      <c r="H2157" s="32">
        <f t="shared" si="39"/>
        <v>4600</v>
      </c>
    </row>
    <row r="2158" spans="2:8">
      <c r="B2158" s="28">
        <v>10194</v>
      </c>
      <c r="C2158" s="34" t="s">
        <v>109</v>
      </c>
      <c r="D2158" s="34" t="s">
        <v>119</v>
      </c>
      <c r="E2158" s="34" t="s">
        <v>93</v>
      </c>
      <c r="F2158" s="35">
        <v>37</v>
      </c>
      <c r="G2158" s="37">
        <v>97.27</v>
      </c>
      <c r="H2158" s="32">
        <f t="shared" si="39"/>
        <v>3598.99</v>
      </c>
    </row>
    <row r="2159" spans="2:8">
      <c r="B2159" s="28">
        <v>10207</v>
      </c>
      <c r="C2159" s="34" t="s">
        <v>100</v>
      </c>
      <c r="D2159" s="34" t="s">
        <v>119</v>
      </c>
      <c r="E2159" s="34" t="s">
        <v>93</v>
      </c>
      <c r="F2159" s="35">
        <v>49</v>
      </c>
      <c r="G2159" s="37">
        <v>80.900000000000006</v>
      </c>
      <c r="H2159" s="32">
        <f t="shared" si="39"/>
        <v>3964.1000000000004</v>
      </c>
    </row>
    <row r="2160" spans="2:8">
      <c r="B2160" s="28">
        <v>10217</v>
      </c>
      <c r="C2160" s="34" t="s">
        <v>287</v>
      </c>
      <c r="D2160" s="34" t="s">
        <v>104</v>
      </c>
      <c r="E2160" s="34" t="s">
        <v>93</v>
      </c>
      <c r="F2160" s="35">
        <v>21</v>
      </c>
      <c r="G2160" s="37">
        <v>100</v>
      </c>
      <c r="H2160" s="32">
        <f t="shared" si="39"/>
        <v>2100</v>
      </c>
    </row>
    <row r="2161" spans="2:8">
      <c r="B2161" s="28">
        <v>10229</v>
      </c>
      <c r="C2161" s="34" t="s">
        <v>100</v>
      </c>
      <c r="D2161" s="34" t="s">
        <v>104</v>
      </c>
      <c r="E2161" s="34" t="s">
        <v>93</v>
      </c>
      <c r="F2161" s="35">
        <v>25</v>
      </c>
      <c r="G2161" s="37">
        <v>100</v>
      </c>
      <c r="H2161" s="32">
        <f t="shared" si="39"/>
        <v>2500</v>
      </c>
    </row>
    <row r="2162" spans="2:8">
      <c r="B2162" s="28">
        <v>10245</v>
      </c>
      <c r="C2162" s="34" t="s">
        <v>100</v>
      </c>
      <c r="D2162" s="34" t="s">
        <v>119</v>
      </c>
      <c r="E2162" s="34" t="s">
        <v>93</v>
      </c>
      <c r="F2162" s="35">
        <v>37</v>
      </c>
      <c r="G2162" s="37">
        <v>100</v>
      </c>
      <c r="H2162" s="32">
        <f t="shared" si="39"/>
        <v>3700</v>
      </c>
    </row>
    <row r="2163" spans="2:8">
      <c r="B2163" s="28">
        <v>10259</v>
      </c>
      <c r="C2163" s="34" t="s">
        <v>287</v>
      </c>
      <c r="D2163" s="34" t="s">
        <v>119</v>
      </c>
      <c r="E2163" s="34" t="s">
        <v>93</v>
      </c>
      <c r="F2163" s="35">
        <v>45</v>
      </c>
      <c r="G2163" s="37">
        <v>86.68</v>
      </c>
      <c r="H2163" s="32">
        <f t="shared" si="39"/>
        <v>3900.6000000000004</v>
      </c>
    </row>
    <row r="2164" spans="2:8">
      <c r="B2164" s="28">
        <v>10270</v>
      </c>
      <c r="C2164" s="34" t="s">
        <v>168</v>
      </c>
      <c r="D2164" s="34" t="s">
        <v>104</v>
      </c>
      <c r="E2164" s="34" t="s">
        <v>93</v>
      </c>
      <c r="F2164" s="35">
        <v>32</v>
      </c>
      <c r="G2164" s="37">
        <v>85.72</v>
      </c>
      <c r="H2164" s="32">
        <f t="shared" si="39"/>
        <v>2743.04</v>
      </c>
    </row>
    <row r="2165" spans="2:8">
      <c r="B2165" s="28">
        <v>10281</v>
      </c>
      <c r="C2165" s="34" t="s">
        <v>100</v>
      </c>
      <c r="D2165" s="34" t="s">
        <v>104</v>
      </c>
      <c r="E2165" s="34" t="s">
        <v>93</v>
      </c>
      <c r="F2165" s="35">
        <v>29</v>
      </c>
      <c r="G2165" s="37">
        <v>82.83</v>
      </c>
      <c r="H2165" s="32">
        <f t="shared" si="39"/>
        <v>2402.0700000000002</v>
      </c>
    </row>
    <row r="2166" spans="2:8">
      <c r="B2166" s="28">
        <v>10291</v>
      </c>
      <c r="C2166" s="34" t="s">
        <v>273</v>
      </c>
      <c r="D2166" s="34" t="s">
        <v>104</v>
      </c>
      <c r="E2166" s="34" t="s">
        <v>93</v>
      </c>
      <c r="F2166" s="35">
        <v>26</v>
      </c>
      <c r="G2166" s="37">
        <v>83.79</v>
      </c>
      <c r="H2166" s="32">
        <f t="shared" si="39"/>
        <v>2178.54</v>
      </c>
    </row>
    <row r="2167" spans="2:8">
      <c r="B2167" s="28">
        <v>10305</v>
      </c>
      <c r="C2167" s="34" t="s">
        <v>100</v>
      </c>
      <c r="D2167" s="34" t="s">
        <v>119</v>
      </c>
      <c r="E2167" s="34" t="s">
        <v>93</v>
      </c>
      <c r="F2167" s="35">
        <v>28</v>
      </c>
      <c r="G2167" s="37">
        <v>100</v>
      </c>
      <c r="H2167" s="32">
        <f t="shared" si="39"/>
        <v>2800</v>
      </c>
    </row>
    <row r="2168" spans="2:8">
      <c r="B2168" s="28">
        <v>10313</v>
      </c>
      <c r="C2168" s="34" t="s">
        <v>322</v>
      </c>
      <c r="D2168" s="34" t="s">
        <v>104</v>
      </c>
      <c r="E2168" s="34" t="s">
        <v>93</v>
      </c>
      <c r="F2168" s="35">
        <v>27</v>
      </c>
      <c r="G2168" s="37">
        <v>87.64</v>
      </c>
      <c r="H2168" s="32">
        <f t="shared" si="39"/>
        <v>2366.2800000000002</v>
      </c>
    </row>
    <row r="2169" spans="2:8">
      <c r="B2169" s="28">
        <v>10324</v>
      </c>
      <c r="C2169" s="34" t="s">
        <v>100</v>
      </c>
      <c r="D2169" s="34" t="s">
        <v>104</v>
      </c>
      <c r="E2169" s="34" t="s">
        <v>93</v>
      </c>
      <c r="F2169" s="35">
        <v>20</v>
      </c>
      <c r="G2169" s="37">
        <v>98.18</v>
      </c>
      <c r="H2169" s="32">
        <f t="shared" si="39"/>
        <v>1963.6000000000001</v>
      </c>
    </row>
    <row r="2170" spans="2:8">
      <c r="B2170" s="28">
        <v>10335</v>
      </c>
      <c r="C2170" s="34" t="s">
        <v>100</v>
      </c>
      <c r="D2170" s="34" t="s">
        <v>119</v>
      </c>
      <c r="E2170" s="34" t="s">
        <v>93</v>
      </c>
      <c r="F2170" s="35">
        <v>44</v>
      </c>
      <c r="G2170" s="37">
        <v>100</v>
      </c>
      <c r="H2170" s="32">
        <f t="shared" si="39"/>
        <v>4400</v>
      </c>
    </row>
    <row r="2171" spans="2:8">
      <c r="B2171" s="28">
        <v>10348</v>
      </c>
      <c r="C2171" s="34" t="s">
        <v>261</v>
      </c>
      <c r="D2171" s="34" t="s">
        <v>119</v>
      </c>
      <c r="E2171" s="34" t="s">
        <v>93</v>
      </c>
      <c r="F2171" s="35">
        <v>42</v>
      </c>
      <c r="G2171" s="37">
        <v>100</v>
      </c>
      <c r="H2171" s="32">
        <f t="shared" si="39"/>
        <v>4200</v>
      </c>
    </row>
    <row r="2172" spans="2:8">
      <c r="B2172" s="28">
        <v>10358</v>
      </c>
      <c r="C2172" s="34" t="s">
        <v>261</v>
      </c>
      <c r="D2172" s="34" t="s">
        <v>119</v>
      </c>
      <c r="E2172" s="34" t="s">
        <v>93</v>
      </c>
      <c r="F2172" s="35">
        <v>41</v>
      </c>
      <c r="G2172" s="37">
        <v>100</v>
      </c>
      <c r="H2172" s="32">
        <f t="shared" si="39"/>
        <v>4100</v>
      </c>
    </row>
    <row r="2173" spans="2:8">
      <c r="B2173" s="28">
        <v>10371</v>
      </c>
      <c r="C2173" s="34" t="s">
        <v>100</v>
      </c>
      <c r="D2173" s="34" t="s">
        <v>119</v>
      </c>
      <c r="E2173" s="34" t="s">
        <v>93</v>
      </c>
      <c r="F2173" s="35">
        <v>26</v>
      </c>
      <c r="G2173" s="37">
        <v>100</v>
      </c>
      <c r="H2173" s="32">
        <f t="shared" si="39"/>
        <v>2600</v>
      </c>
    </row>
    <row r="2174" spans="2:8">
      <c r="B2174" s="28">
        <v>10382</v>
      </c>
      <c r="C2174" s="34" t="s">
        <v>100</v>
      </c>
      <c r="D2174" s="34" t="s">
        <v>104</v>
      </c>
      <c r="E2174" s="34" t="s">
        <v>93</v>
      </c>
      <c r="F2174" s="35">
        <v>26</v>
      </c>
      <c r="G2174" s="37">
        <v>100</v>
      </c>
      <c r="H2174" s="32">
        <f t="shared" si="39"/>
        <v>2600</v>
      </c>
    </row>
    <row r="2175" spans="2:8">
      <c r="B2175" s="28">
        <v>10411</v>
      </c>
      <c r="C2175" s="34" t="s">
        <v>322</v>
      </c>
      <c r="D2175" s="34" t="s">
        <v>104</v>
      </c>
      <c r="E2175" s="34" t="s">
        <v>93</v>
      </c>
      <c r="F2175" s="35">
        <v>26</v>
      </c>
      <c r="G2175" s="37">
        <v>100</v>
      </c>
      <c r="H2175" s="32">
        <f t="shared" si="39"/>
        <v>2600</v>
      </c>
    </row>
    <row r="2176" spans="2:8">
      <c r="B2176" s="28">
        <v>10425</v>
      </c>
      <c r="C2176" s="34" t="s">
        <v>109</v>
      </c>
      <c r="D2176" s="34" t="s">
        <v>119</v>
      </c>
      <c r="E2176" s="34" t="s">
        <v>400</v>
      </c>
      <c r="F2176" s="35">
        <v>41</v>
      </c>
      <c r="G2176" s="37">
        <v>86.68</v>
      </c>
      <c r="H2176" s="32">
        <f t="shared" si="39"/>
        <v>3553.88</v>
      </c>
    </row>
    <row r="2177" spans="2:8">
      <c r="B2177" s="28">
        <v>10107</v>
      </c>
      <c r="C2177" s="34" t="s">
        <v>100</v>
      </c>
      <c r="D2177" s="34" t="s">
        <v>104</v>
      </c>
      <c r="E2177" s="34" t="s">
        <v>93</v>
      </c>
      <c r="F2177" s="35">
        <v>20</v>
      </c>
      <c r="G2177" s="37">
        <v>92.9</v>
      </c>
      <c r="H2177" s="32">
        <f t="shared" si="39"/>
        <v>1858</v>
      </c>
    </row>
    <row r="2178" spans="2:8">
      <c r="B2178" s="28">
        <v>10120</v>
      </c>
      <c r="C2178" s="34" t="s">
        <v>168</v>
      </c>
      <c r="D2178" s="34" t="s">
        <v>104</v>
      </c>
      <c r="E2178" s="34" t="s">
        <v>93</v>
      </c>
      <c r="F2178" s="35">
        <v>22</v>
      </c>
      <c r="G2178" s="37">
        <v>100</v>
      </c>
      <c r="H2178" s="32">
        <f t="shared" si="39"/>
        <v>2200</v>
      </c>
    </row>
    <row r="2179" spans="2:8">
      <c r="B2179" s="28">
        <v>10133</v>
      </c>
      <c r="C2179" s="34" t="s">
        <v>261</v>
      </c>
      <c r="D2179" s="34" t="s">
        <v>104</v>
      </c>
      <c r="E2179" s="34" t="s">
        <v>93</v>
      </c>
      <c r="F2179" s="35">
        <v>23</v>
      </c>
      <c r="G2179" s="37">
        <v>100</v>
      </c>
      <c r="H2179" s="32">
        <f t="shared" si="39"/>
        <v>2300</v>
      </c>
    </row>
    <row r="2180" spans="2:8">
      <c r="B2180" s="28">
        <v>10145</v>
      </c>
      <c r="C2180" s="34" t="s">
        <v>100</v>
      </c>
      <c r="D2180" s="34" t="s">
        <v>119</v>
      </c>
      <c r="E2180" s="34" t="s">
        <v>93</v>
      </c>
      <c r="F2180" s="35">
        <v>33</v>
      </c>
      <c r="G2180" s="37">
        <v>93.9</v>
      </c>
      <c r="H2180" s="32">
        <f t="shared" si="39"/>
        <v>3098.7000000000003</v>
      </c>
    </row>
    <row r="2181" spans="2:8">
      <c r="B2181" s="28">
        <v>10168</v>
      </c>
      <c r="C2181" s="34" t="s">
        <v>100</v>
      </c>
      <c r="D2181" s="34" t="s">
        <v>119</v>
      </c>
      <c r="E2181" s="34" t="s">
        <v>93</v>
      </c>
      <c r="F2181" s="35">
        <v>28</v>
      </c>
      <c r="G2181" s="37">
        <v>100</v>
      </c>
      <c r="H2181" s="32">
        <f t="shared" ref="H2181:H2244" si="40">F2181*G2181</f>
        <v>2800</v>
      </c>
    </row>
    <row r="2182" spans="2:8">
      <c r="B2182" s="28">
        <v>10188</v>
      </c>
      <c r="C2182" s="34" t="s">
        <v>149</v>
      </c>
      <c r="D2182" s="34" t="s">
        <v>119</v>
      </c>
      <c r="E2182" s="34" t="s">
        <v>93</v>
      </c>
      <c r="F2182" s="35">
        <v>44</v>
      </c>
      <c r="G2182" s="37">
        <v>98.89</v>
      </c>
      <c r="H2182" s="32">
        <f t="shared" si="40"/>
        <v>4351.16</v>
      </c>
    </row>
    <row r="2183" spans="2:8">
      <c r="B2183" s="28">
        <v>10210</v>
      </c>
      <c r="C2183" s="34" t="s">
        <v>288</v>
      </c>
      <c r="D2183" s="34" t="s">
        <v>119</v>
      </c>
      <c r="E2183" s="34" t="s">
        <v>93</v>
      </c>
      <c r="F2183" s="35">
        <v>46</v>
      </c>
      <c r="G2183" s="37">
        <v>79.91</v>
      </c>
      <c r="H2183" s="32">
        <f t="shared" si="40"/>
        <v>3675.8599999999997</v>
      </c>
    </row>
    <row r="2184" spans="2:8">
      <c r="B2184" s="28">
        <v>10223</v>
      </c>
      <c r="C2184" s="34" t="s">
        <v>168</v>
      </c>
      <c r="D2184" s="34" t="s">
        <v>104</v>
      </c>
      <c r="E2184" s="34" t="s">
        <v>93</v>
      </c>
      <c r="F2184" s="35">
        <v>21</v>
      </c>
      <c r="G2184" s="37">
        <v>100</v>
      </c>
      <c r="H2184" s="32">
        <f t="shared" si="40"/>
        <v>2100</v>
      </c>
    </row>
    <row r="2185" spans="2:8">
      <c r="B2185" s="28">
        <v>10235</v>
      </c>
      <c r="C2185" s="34" t="s">
        <v>322</v>
      </c>
      <c r="D2185" s="34" t="s">
        <v>119</v>
      </c>
      <c r="E2185" s="34" t="s">
        <v>93</v>
      </c>
      <c r="F2185" s="35">
        <v>41</v>
      </c>
      <c r="G2185" s="37">
        <v>100</v>
      </c>
      <c r="H2185" s="32">
        <f t="shared" si="40"/>
        <v>4100</v>
      </c>
    </row>
    <row r="2186" spans="2:8">
      <c r="B2186" s="28">
        <v>10250</v>
      </c>
      <c r="C2186" s="34" t="s">
        <v>100</v>
      </c>
      <c r="D2186" s="34" t="s">
        <v>119</v>
      </c>
      <c r="E2186" s="34" t="s">
        <v>93</v>
      </c>
      <c r="F2186" s="35">
        <v>31</v>
      </c>
      <c r="G2186" s="37">
        <v>100</v>
      </c>
      <c r="H2186" s="32">
        <f t="shared" si="40"/>
        <v>3100</v>
      </c>
    </row>
    <row r="2187" spans="2:8">
      <c r="B2187" s="28">
        <v>10263</v>
      </c>
      <c r="C2187" s="34" t="s">
        <v>100</v>
      </c>
      <c r="D2187" s="34" t="s">
        <v>104</v>
      </c>
      <c r="E2187" s="34" t="s">
        <v>93</v>
      </c>
      <c r="F2187" s="35">
        <v>31</v>
      </c>
      <c r="G2187" s="37">
        <v>79.91</v>
      </c>
      <c r="H2187" s="32">
        <f t="shared" si="40"/>
        <v>2477.21</v>
      </c>
    </row>
    <row r="2188" spans="2:8">
      <c r="B2188" s="28">
        <v>10275</v>
      </c>
      <c r="C2188" s="34" t="s">
        <v>109</v>
      </c>
      <c r="D2188" s="34" t="s">
        <v>104</v>
      </c>
      <c r="E2188" s="34" t="s">
        <v>93</v>
      </c>
      <c r="F2188" s="35">
        <v>23</v>
      </c>
      <c r="G2188" s="37">
        <v>81.91</v>
      </c>
      <c r="H2188" s="32">
        <f t="shared" si="40"/>
        <v>1883.9299999999998</v>
      </c>
    </row>
    <row r="2189" spans="2:8">
      <c r="B2189" s="28">
        <v>10285</v>
      </c>
      <c r="C2189" s="34" t="s">
        <v>100</v>
      </c>
      <c r="D2189" s="34" t="s">
        <v>119</v>
      </c>
      <c r="E2189" s="34" t="s">
        <v>93</v>
      </c>
      <c r="F2189" s="35">
        <v>37</v>
      </c>
      <c r="G2189" s="37">
        <v>98.89</v>
      </c>
      <c r="H2189" s="32">
        <f t="shared" si="40"/>
        <v>3658.93</v>
      </c>
    </row>
    <row r="2190" spans="2:8">
      <c r="B2190" s="28">
        <v>10297</v>
      </c>
      <c r="C2190" s="34" t="s">
        <v>614</v>
      </c>
      <c r="D2190" s="34" t="s">
        <v>104</v>
      </c>
      <c r="E2190" s="34" t="s">
        <v>93</v>
      </c>
      <c r="F2190" s="35">
        <v>26</v>
      </c>
      <c r="G2190" s="37">
        <v>100</v>
      </c>
      <c r="H2190" s="32">
        <f t="shared" si="40"/>
        <v>2600</v>
      </c>
    </row>
    <row r="2191" spans="2:8">
      <c r="B2191" s="28">
        <v>10308</v>
      </c>
      <c r="C2191" s="34" t="s">
        <v>100</v>
      </c>
      <c r="D2191" s="34" t="s">
        <v>104</v>
      </c>
      <c r="E2191" s="34" t="s">
        <v>93</v>
      </c>
      <c r="F2191" s="35">
        <v>24</v>
      </c>
      <c r="G2191" s="37">
        <v>79.91</v>
      </c>
      <c r="H2191" s="32">
        <f t="shared" si="40"/>
        <v>1917.84</v>
      </c>
    </row>
    <row r="2192" spans="2:8">
      <c r="B2192" s="28">
        <v>10318</v>
      </c>
      <c r="C2192" s="34" t="s">
        <v>100</v>
      </c>
      <c r="D2192" s="34" t="s">
        <v>119</v>
      </c>
      <c r="E2192" s="34" t="s">
        <v>93</v>
      </c>
      <c r="F2192" s="35">
        <v>47</v>
      </c>
      <c r="G2192" s="37">
        <v>100</v>
      </c>
      <c r="H2192" s="32">
        <f t="shared" si="40"/>
        <v>4700</v>
      </c>
    </row>
    <row r="2193" spans="2:8">
      <c r="B2193" s="28">
        <v>10329</v>
      </c>
      <c r="C2193" s="34" t="s">
        <v>100</v>
      </c>
      <c r="D2193" s="34" t="s">
        <v>104</v>
      </c>
      <c r="E2193" s="34" t="s">
        <v>93</v>
      </c>
      <c r="F2193" s="35">
        <v>45</v>
      </c>
      <c r="G2193" s="37">
        <v>63.91</v>
      </c>
      <c r="H2193" s="32">
        <f t="shared" si="40"/>
        <v>2875.95</v>
      </c>
    </row>
    <row r="2194" spans="2:8">
      <c r="B2194" s="28">
        <v>10340</v>
      </c>
      <c r="C2194" s="34" t="s">
        <v>261</v>
      </c>
      <c r="D2194" s="34" t="s">
        <v>119</v>
      </c>
      <c r="E2194" s="34" t="s">
        <v>93</v>
      </c>
      <c r="F2194" s="35">
        <v>55</v>
      </c>
      <c r="G2194" s="37">
        <v>100</v>
      </c>
      <c r="H2194" s="32">
        <f t="shared" si="40"/>
        <v>5500</v>
      </c>
    </row>
    <row r="2195" spans="2:8">
      <c r="B2195" s="28">
        <v>10353</v>
      </c>
      <c r="C2195" s="34" t="s">
        <v>100</v>
      </c>
      <c r="D2195" s="34" t="s">
        <v>119</v>
      </c>
      <c r="E2195" s="34" t="s">
        <v>93</v>
      </c>
      <c r="F2195" s="35">
        <v>46</v>
      </c>
      <c r="G2195" s="37">
        <v>81.17</v>
      </c>
      <c r="H2195" s="32">
        <f t="shared" si="40"/>
        <v>3733.82</v>
      </c>
    </row>
    <row r="2196" spans="2:8">
      <c r="B2196" s="28">
        <v>10363</v>
      </c>
      <c r="C2196" s="34" t="s">
        <v>208</v>
      </c>
      <c r="D2196" s="34" t="s">
        <v>119</v>
      </c>
      <c r="E2196" s="34" t="s">
        <v>93</v>
      </c>
      <c r="F2196" s="35">
        <v>50</v>
      </c>
      <c r="G2196" s="37">
        <v>100</v>
      </c>
      <c r="H2196" s="32">
        <f t="shared" si="40"/>
        <v>5000</v>
      </c>
    </row>
    <row r="2197" spans="2:8">
      <c r="B2197" s="28">
        <v>10375</v>
      </c>
      <c r="C2197" s="34" t="s">
        <v>109</v>
      </c>
      <c r="D2197" s="34" t="s">
        <v>119</v>
      </c>
      <c r="E2197" s="34" t="s">
        <v>93</v>
      </c>
      <c r="F2197" s="35">
        <v>37</v>
      </c>
      <c r="G2197" s="37">
        <v>100</v>
      </c>
      <c r="H2197" s="32">
        <f t="shared" si="40"/>
        <v>3700</v>
      </c>
    </row>
    <row r="2198" spans="2:8">
      <c r="B2198" s="28">
        <v>10387</v>
      </c>
      <c r="C2198" s="34" t="s">
        <v>287</v>
      </c>
      <c r="D2198" s="34" t="s">
        <v>119</v>
      </c>
      <c r="E2198" s="34" t="s">
        <v>93</v>
      </c>
      <c r="F2198" s="35">
        <v>44</v>
      </c>
      <c r="G2198" s="37">
        <v>94.9</v>
      </c>
      <c r="H2198" s="32">
        <f t="shared" si="40"/>
        <v>4175.6000000000004</v>
      </c>
    </row>
    <row r="2199" spans="2:8">
      <c r="B2199" s="28">
        <v>10401</v>
      </c>
      <c r="C2199" s="34" t="s">
        <v>100</v>
      </c>
      <c r="D2199" s="34" t="s">
        <v>119</v>
      </c>
      <c r="E2199" s="34" t="s">
        <v>518</v>
      </c>
      <c r="F2199" s="35">
        <v>49</v>
      </c>
      <c r="G2199" s="37">
        <v>100</v>
      </c>
      <c r="H2199" s="32">
        <f t="shared" si="40"/>
        <v>4900</v>
      </c>
    </row>
    <row r="2200" spans="2:8">
      <c r="B2200" s="28">
        <v>10416</v>
      </c>
      <c r="C2200" s="34" t="s">
        <v>352</v>
      </c>
      <c r="D2200" s="34" t="s">
        <v>119</v>
      </c>
      <c r="E2200" s="34" t="s">
        <v>93</v>
      </c>
      <c r="F2200" s="35">
        <v>45</v>
      </c>
      <c r="G2200" s="37">
        <v>100</v>
      </c>
      <c r="H2200" s="32">
        <f t="shared" si="40"/>
        <v>4500</v>
      </c>
    </row>
    <row r="2201" spans="2:8">
      <c r="B2201" s="28">
        <v>10108</v>
      </c>
      <c r="C2201" s="34" t="s">
        <v>552</v>
      </c>
      <c r="D2201" s="34" t="s">
        <v>104</v>
      </c>
      <c r="E2201" s="34" t="s">
        <v>93</v>
      </c>
      <c r="F2201" s="35">
        <v>27</v>
      </c>
      <c r="G2201" s="37">
        <v>43.45</v>
      </c>
      <c r="H2201" s="32">
        <f t="shared" si="40"/>
        <v>1173.1500000000001</v>
      </c>
    </row>
    <row r="2202" spans="2:8">
      <c r="B2202" s="28">
        <v>10122</v>
      </c>
      <c r="C2202" s="34" t="s">
        <v>109</v>
      </c>
      <c r="D2202" s="34" t="s">
        <v>104</v>
      </c>
      <c r="E2202" s="34" t="s">
        <v>93</v>
      </c>
      <c r="F2202" s="35">
        <v>31</v>
      </c>
      <c r="G2202" s="37">
        <v>44.66</v>
      </c>
      <c r="H2202" s="32">
        <f t="shared" si="40"/>
        <v>1384.4599999999998</v>
      </c>
    </row>
    <row r="2203" spans="2:8">
      <c r="B2203" s="28">
        <v>10135</v>
      </c>
      <c r="C2203" s="34" t="s">
        <v>100</v>
      </c>
      <c r="D2203" s="34" t="s">
        <v>104</v>
      </c>
      <c r="E2203" s="34" t="s">
        <v>93</v>
      </c>
      <c r="F2203" s="35">
        <v>33</v>
      </c>
      <c r="G2203" s="37">
        <v>40.229999999999997</v>
      </c>
      <c r="H2203" s="32">
        <f t="shared" si="40"/>
        <v>1327.59</v>
      </c>
    </row>
    <row r="2204" spans="2:8">
      <c r="B2204" s="28">
        <v>10145</v>
      </c>
      <c r="C2204" s="34" t="s">
        <v>100</v>
      </c>
      <c r="D2204" s="34" t="s">
        <v>104</v>
      </c>
      <c r="E2204" s="34" t="s">
        <v>93</v>
      </c>
      <c r="F2204" s="35">
        <v>31</v>
      </c>
      <c r="G2204" s="37">
        <v>35.799999999999997</v>
      </c>
      <c r="H2204" s="32">
        <f t="shared" si="40"/>
        <v>1109.8</v>
      </c>
    </row>
    <row r="2205" spans="2:8">
      <c r="B2205" s="28">
        <v>10159</v>
      </c>
      <c r="C2205" s="34" t="s">
        <v>100</v>
      </c>
      <c r="D2205" s="34" t="s">
        <v>104</v>
      </c>
      <c r="E2205" s="34" t="s">
        <v>93</v>
      </c>
      <c r="F2205" s="35">
        <v>35</v>
      </c>
      <c r="G2205" s="37">
        <v>35.4</v>
      </c>
      <c r="H2205" s="32">
        <f t="shared" si="40"/>
        <v>1239</v>
      </c>
    </row>
    <row r="2206" spans="2:8">
      <c r="B2206" s="28">
        <v>10169</v>
      </c>
      <c r="C2206" s="34" t="s">
        <v>168</v>
      </c>
      <c r="D2206" s="34" t="s">
        <v>104</v>
      </c>
      <c r="E2206" s="34" t="s">
        <v>93</v>
      </c>
      <c r="F2206" s="35">
        <v>26</v>
      </c>
      <c r="G2206" s="37">
        <v>39.83</v>
      </c>
      <c r="H2206" s="32">
        <f t="shared" si="40"/>
        <v>1035.58</v>
      </c>
    </row>
    <row r="2207" spans="2:8">
      <c r="B2207" s="28">
        <v>10180</v>
      </c>
      <c r="C2207" s="34" t="s">
        <v>109</v>
      </c>
      <c r="D2207" s="34" t="s">
        <v>104</v>
      </c>
      <c r="E2207" s="34" t="s">
        <v>93</v>
      </c>
      <c r="F2207" s="35">
        <v>34</v>
      </c>
      <c r="G2207" s="37">
        <v>45.46</v>
      </c>
      <c r="H2207" s="32">
        <f t="shared" si="40"/>
        <v>1545.64</v>
      </c>
    </row>
    <row r="2208" spans="2:8">
      <c r="B2208" s="28">
        <v>10190</v>
      </c>
      <c r="C2208" s="34" t="s">
        <v>261</v>
      </c>
      <c r="D2208" s="34" t="s">
        <v>104</v>
      </c>
      <c r="E2208" s="34" t="s">
        <v>93</v>
      </c>
      <c r="F2208" s="35">
        <v>46</v>
      </c>
      <c r="G2208" s="37">
        <v>32.99</v>
      </c>
      <c r="H2208" s="32">
        <f t="shared" si="40"/>
        <v>1517.5400000000002</v>
      </c>
    </row>
    <row r="2209" spans="2:8">
      <c r="B2209" s="28">
        <v>10211</v>
      </c>
      <c r="C2209" s="34" t="s">
        <v>109</v>
      </c>
      <c r="D2209" s="34" t="s">
        <v>104</v>
      </c>
      <c r="E2209" s="34" t="s">
        <v>93</v>
      </c>
      <c r="F2209" s="35">
        <v>41</v>
      </c>
      <c r="G2209" s="37">
        <v>42.24</v>
      </c>
      <c r="H2209" s="32">
        <f t="shared" si="40"/>
        <v>1731.8400000000001</v>
      </c>
    </row>
    <row r="2210" spans="2:8">
      <c r="B2210" s="28">
        <v>10224</v>
      </c>
      <c r="C2210" s="34" t="s">
        <v>109</v>
      </c>
      <c r="D2210" s="34" t="s">
        <v>104</v>
      </c>
      <c r="E2210" s="34" t="s">
        <v>93</v>
      </c>
      <c r="F2210" s="35">
        <v>43</v>
      </c>
      <c r="G2210" s="37">
        <v>39.43</v>
      </c>
      <c r="H2210" s="32">
        <f t="shared" si="40"/>
        <v>1695.49</v>
      </c>
    </row>
    <row r="2211" spans="2:8">
      <c r="B2211" s="28">
        <v>10237</v>
      </c>
      <c r="C2211" s="34" t="s">
        <v>100</v>
      </c>
      <c r="D2211" s="34" t="s">
        <v>104</v>
      </c>
      <c r="E2211" s="34" t="s">
        <v>93</v>
      </c>
      <c r="F2211" s="35">
        <v>26</v>
      </c>
      <c r="G2211" s="37">
        <v>40.229999999999997</v>
      </c>
      <c r="H2211" s="32">
        <f t="shared" si="40"/>
        <v>1045.98</v>
      </c>
    </row>
    <row r="2212" spans="2:8">
      <c r="B2212" s="28">
        <v>10252</v>
      </c>
      <c r="C2212" s="34" t="s">
        <v>109</v>
      </c>
      <c r="D2212" s="34" t="s">
        <v>104</v>
      </c>
      <c r="E2212" s="34" t="s">
        <v>93</v>
      </c>
      <c r="F2212" s="35">
        <v>36</v>
      </c>
      <c r="G2212" s="37">
        <v>48.28</v>
      </c>
      <c r="H2212" s="32">
        <f t="shared" si="40"/>
        <v>1738.08</v>
      </c>
    </row>
    <row r="2213" spans="2:8">
      <c r="B2213" s="28">
        <v>10264</v>
      </c>
      <c r="C2213" s="34" t="s">
        <v>100</v>
      </c>
      <c r="D2213" s="34" t="s">
        <v>104</v>
      </c>
      <c r="E2213" s="34" t="s">
        <v>93</v>
      </c>
      <c r="F2213" s="35">
        <v>20</v>
      </c>
      <c r="G2213" s="37">
        <v>32.590000000000003</v>
      </c>
      <c r="H2213" s="32">
        <f t="shared" si="40"/>
        <v>651.80000000000007</v>
      </c>
    </row>
    <row r="2214" spans="2:8">
      <c r="B2214" s="28">
        <v>10276</v>
      </c>
      <c r="C2214" s="34" t="s">
        <v>100</v>
      </c>
      <c r="D2214" s="34" t="s">
        <v>104</v>
      </c>
      <c r="E2214" s="34" t="s">
        <v>93</v>
      </c>
      <c r="F2214" s="35">
        <v>27</v>
      </c>
      <c r="G2214" s="37">
        <v>36.61</v>
      </c>
      <c r="H2214" s="32">
        <f t="shared" si="40"/>
        <v>988.47</v>
      </c>
    </row>
    <row r="2215" spans="2:8">
      <c r="B2215" s="28">
        <v>10285</v>
      </c>
      <c r="C2215" s="34" t="s">
        <v>100</v>
      </c>
      <c r="D2215" s="34" t="s">
        <v>104</v>
      </c>
      <c r="E2215" s="34" t="s">
        <v>93</v>
      </c>
      <c r="F2215" s="35">
        <v>37</v>
      </c>
      <c r="G2215" s="37">
        <v>41.03</v>
      </c>
      <c r="H2215" s="32">
        <f t="shared" si="40"/>
        <v>1518.1100000000001</v>
      </c>
    </row>
    <row r="2216" spans="2:8">
      <c r="B2216" s="28">
        <v>10299</v>
      </c>
      <c r="C2216" s="34" t="s">
        <v>208</v>
      </c>
      <c r="D2216" s="34" t="s">
        <v>104</v>
      </c>
      <c r="E2216" s="34" t="s">
        <v>93</v>
      </c>
      <c r="F2216" s="35">
        <v>24</v>
      </c>
      <c r="G2216" s="37">
        <v>42.24</v>
      </c>
      <c r="H2216" s="32">
        <f t="shared" si="40"/>
        <v>1013.76</v>
      </c>
    </row>
    <row r="2217" spans="2:8">
      <c r="B2217" s="28">
        <v>10310</v>
      </c>
      <c r="C2217" s="34" t="s">
        <v>566</v>
      </c>
      <c r="D2217" s="34" t="s">
        <v>104</v>
      </c>
      <c r="E2217" s="34" t="s">
        <v>93</v>
      </c>
      <c r="F2217" s="35">
        <v>36</v>
      </c>
      <c r="G2217" s="37">
        <v>43.05</v>
      </c>
      <c r="H2217" s="32">
        <f t="shared" si="40"/>
        <v>1549.8</v>
      </c>
    </row>
    <row r="2218" spans="2:8">
      <c r="B2218" s="28">
        <v>10319</v>
      </c>
      <c r="C2218" s="34" t="s">
        <v>100</v>
      </c>
      <c r="D2218" s="34" t="s">
        <v>104</v>
      </c>
      <c r="E2218" s="34" t="s">
        <v>93</v>
      </c>
      <c r="F2218" s="35">
        <v>29</v>
      </c>
      <c r="G2218" s="37">
        <v>38.22</v>
      </c>
      <c r="H2218" s="32">
        <f t="shared" si="40"/>
        <v>1108.3799999999999</v>
      </c>
    </row>
    <row r="2219" spans="2:8">
      <c r="B2219" s="28">
        <v>10331</v>
      </c>
      <c r="C2219" s="34" t="s">
        <v>100</v>
      </c>
      <c r="D2219" s="34" t="s">
        <v>119</v>
      </c>
      <c r="E2219" s="34" t="s">
        <v>93</v>
      </c>
      <c r="F2219" s="35">
        <v>28</v>
      </c>
      <c r="G2219" s="37">
        <v>100</v>
      </c>
      <c r="H2219" s="32">
        <f t="shared" si="40"/>
        <v>2800</v>
      </c>
    </row>
    <row r="2220" spans="2:8">
      <c r="B2220" s="28">
        <v>10343</v>
      </c>
      <c r="C2220" s="34" t="s">
        <v>109</v>
      </c>
      <c r="D2220" s="34" t="s">
        <v>119</v>
      </c>
      <c r="E2220" s="34" t="s">
        <v>93</v>
      </c>
      <c r="F2220" s="35">
        <v>29</v>
      </c>
      <c r="G2220" s="37">
        <v>100</v>
      </c>
      <c r="H2220" s="32">
        <f t="shared" si="40"/>
        <v>2900</v>
      </c>
    </row>
    <row r="2221" spans="2:8">
      <c r="B2221" s="28">
        <v>10355</v>
      </c>
      <c r="C2221" s="34" t="s">
        <v>261</v>
      </c>
      <c r="D2221" s="34" t="s">
        <v>104</v>
      </c>
      <c r="E2221" s="34" t="s">
        <v>93</v>
      </c>
      <c r="F2221" s="35">
        <v>38</v>
      </c>
      <c r="G2221" s="37">
        <v>39.83</v>
      </c>
      <c r="H2221" s="32">
        <f t="shared" si="40"/>
        <v>1513.54</v>
      </c>
    </row>
    <row r="2222" spans="2:8">
      <c r="B2222" s="28">
        <v>10364</v>
      </c>
      <c r="C2222" s="34" t="s">
        <v>109</v>
      </c>
      <c r="D2222" s="34" t="s">
        <v>104</v>
      </c>
      <c r="E2222" s="34" t="s">
        <v>93</v>
      </c>
      <c r="F2222" s="35">
        <v>48</v>
      </c>
      <c r="G2222" s="37">
        <v>48.28</v>
      </c>
      <c r="H2222" s="32">
        <f t="shared" si="40"/>
        <v>2317.44</v>
      </c>
    </row>
    <row r="2223" spans="2:8">
      <c r="B2223" s="28">
        <v>10378</v>
      </c>
      <c r="C2223" s="34" t="s">
        <v>261</v>
      </c>
      <c r="D2223" s="34" t="s">
        <v>119</v>
      </c>
      <c r="E2223" s="34" t="s">
        <v>93</v>
      </c>
      <c r="F2223" s="35">
        <v>40</v>
      </c>
      <c r="G2223" s="37">
        <v>82.46</v>
      </c>
      <c r="H2223" s="32">
        <f t="shared" si="40"/>
        <v>3298.3999999999996</v>
      </c>
    </row>
    <row r="2224" spans="2:8">
      <c r="B2224" s="28">
        <v>10390</v>
      </c>
      <c r="C2224" s="34" t="s">
        <v>100</v>
      </c>
      <c r="D2224" s="34" t="s">
        <v>104</v>
      </c>
      <c r="E2224" s="34" t="s">
        <v>93</v>
      </c>
      <c r="F2224" s="35">
        <v>41</v>
      </c>
      <c r="G2224" s="37">
        <v>44.56</v>
      </c>
      <c r="H2224" s="32">
        <f t="shared" si="40"/>
        <v>1826.96</v>
      </c>
    </row>
    <row r="2225" spans="2:8">
      <c r="B2225" s="28">
        <v>10403</v>
      </c>
      <c r="C2225" s="34" t="s">
        <v>252</v>
      </c>
      <c r="D2225" s="34" t="s">
        <v>104</v>
      </c>
      <c r="E2225" s="34" t="s">
        <v>93</v>
      </c>
      <c r="F2225" s="35">
        <v>30</v>
      </c>
      <c r="G2225" s="37">
        <v>40.229999999999997</v>
      </c>
      <c r="H2225" s="32">
        <f t="shared" si="40"/>
        <v>1206.8999999999999</v>
      </c>
    </row>
    <row r="2226" spans="2:8">
      <c r="B2226" s="28">
        <v>10104</v>
      </c>
      <c r="C2226" s="34" t="s">
        <v>261</v>
      </c>
      <c r="D2226" s="34" t="s">
        <v>104</v>
      </c>
      <c r="E2226" s="34" t="s">
        <v>93</v>
      </c>
      <c r="F2226" s="35">
        <v>35</v>
      </c>
      <c r="G2226" s="37">
        <v>47.62</v>
      </c>
      <c r="H2226" s="32">
        <f t="shared" si="40"/>
        <v>1666.6999999999998</v>
      </c>
    </row>
    <row r="2227" spans="2:8">
      <c r="B2227" s="28">
        <v>10114</v>
      </c>
      <c r="C2227" s="34" t="s">
        <v>109</v>
      </c>
      <c r="D2227" s="34" t="s">
        <v>104</v>
      </c>
      <c r="E2227" s="34" t="s">
        <v>93</v>
      </c>
      <c r="F2227" s="35">
        <v>28</v>
      </c>
      <c r="G2227" s="37">
        <v>55.73</v>
      </c>
      <c r="H2227" s="32">
        <f t="shared" si="40"/>
        <v>1560.4399999999998</v>
      </c>
    </row>
    <row r="2228" spans="2:8">
      <c r="B2228" s="28">
        <v>10127</v>
      </c>
      <c r="C2228" s="34" t="s">
        <v>100</v>
      </c>
      <c r="D2228" s="34" t="s">
        <v>104</v>
      </c>
      <c r="E2228" s="34" t="s">
        <v>93</v>
      </c>
      <c r="F2228" s="35">
        <v>45</v>
      </c>
      <c r="G2228" s="37">
        <v>51.95</v>
      </c>
      <c r="H2228" s="32">
        <f t="shared" si="40"/>
        <v>2337.75</v>
      </c>
    </row>
    <row r="2229" spans="2:8">
      <c r="B2229" s="28">
        <v>10141</v>
      </c>
      <c r="C2229" s="34" t="s">
        <v>208</v>
      </c>
      <c r="D2229" s="34" t="s">
        <v>104</v>
      </c>
      <c r="E2229" s="34" t="s">
        <v>93</v>
      </c>
      <c r="F2229" s="35">
        <v>24</v>
      </c>
      <c r="G2229" s="37">
        <v>45.99</v>
      </c>
      <c r="H2229" s="32">
        <f t="shared" si="40"/>
        <v>1103.76</v>
      </c>
    </row>
    <row r="2230" spans="2:8">
      <c r="B2230" s="28">
        <v>10151</v>
      </c>
      <c r="C2230" s="34" t="s">
        <v>208</v>
      </c>
      <c r="D2230" s="34" t="s">
        <v>104</v>
      </c>
      <c r="E2230" s="34" t="s">
        <v>93</v>
      </c>
      <c r="F2230" s="35">
        <v>41</v>
      </c>
      <c r="G2230" s="37">
        <v>63.85</v>
      </c>
      <c r="H2230" s="32">
        <f t="shared" si="40"/>
        <v>2617.85</v>
      </c>
    </row>
    <row r="2231" spans="2:8">
      <c r="B2231" s="28">
        <v>10165</v>
      </c>
      <c r="C2231" s="34" t="s">
        <v>287</v>
      </c>
      <c r="D2231" s="34" t="s">
        <v>104</v>
      </c>
      <c r="E2231" s="34" t="s">
        <v>93</v>
      </c>
      <c r="F2231" s="35">
        <v>48</v>
      </c>
      <c r="G2231" s="37">
        <v>45.99</v>
      </c>
      <c r="H2231" s="32">
        <f t="shared" si="40"/>
        <v>2207.52</v>
      </c>
    </row>
    <row r="2232" spans="2:8">
      <c r="B2232" s="28">
        <v>10175</v>
      </c>
      <c r="C2232" s="34" t="s">
        <v>252</v>
      </c>
      <c r="D2232" s="34" t="s">
        <v>119</v>
      </c>
      <c r="E2232" s="34" t="s">
        <v>93</v>
      </c>
      <c r="F2232" s="35">
        <v>50</v>
      </c>
      <c r="G2232" s="37">
        <v>63.31</v>
      </c>
      <c r="H2232" s="32">
        <f t="shared" si="40"/>
        <v>3165.5</v>
      </c>
    </row>
    <row r="2233" spans="2:8">
      <c r="B2233" s="28">
        <v>10184</v>
      </c>
      <c r="C2233" s="34" t="s">
        <v>261</v>
      </c>
      <c r="D2233" s="34" t="s">
        <v>104</v>
      </c>
      <c r="E2233" s="34" t="s">
        <v>93</v>
      </c>
      <c r="F2233" s="35">
        <v>33</v>
      </c>
      <c r="G2233" s="37">
        <v>62.77</v>
      </c>
      <c r="H2233" s="32">
        <f t="shared" si="40"/>
        <v>2071.4100000000003</v>
      </c>
    </row>
    <row r="2234" spans="2:8">
      <c r="B2234" s="28">
        <v>10195</v>
      </c>
      <c r="C2234" s="34" t="s">
        <v>100</v>
      </c>
      <c r="D2234" s="34" t="s">
        <v>104</v>
      </c>
      <c r="E2234" s="34" t="s">
        <v>93</v>
      </c>
      <c r="F2234" s="35">
        <v>32</v>
      </c>
      <c r="G2234" s="37">
        <v>43.29</v>
      </c>
      <c r="H2234" s="32">
        <f t="shared" si="40"/>
        <v>1385.28</v>
      </c>
    </row>
    <row r="2235" spans="2:8">
      <c r="B2235" s="28">
        <v>10207</v>
      </c>
      <c r="C2235" s="34" t="s">
        <v>100</v>
      </c>
      <c r="D2235" s="34" t="s">
        <v>104</v>
      </c>
      <c r="E2235" s="34" t="s">
        <v>93</v>
      </c>
      <c r="F2235" s="35">
        <v>27</v>
      </c>
      <c r="G2235" s="37">
        <v>60.06</v>
      </c>
      <c r="H2235" s="32">
        <f t="shared" si="40"/>
        <v>1621.6200000000001</v>
      </c>
    </row>
    <row r="2236" spans="2:8">
      <c r="B2236" s="28">
        <v>10219</v>
      </c>
      <c r="C2236" s="34" t="s">
        <v>100</v>
      </c>
      <c r="D2236" s="34" t="s">
        <v>104</v>
      </c>
      <c r="E2236" s="34" t="s">
        <v>93</v>
      </c>
      <c r="F2236" s="35">
        <v>35</v>
      </c>
      <c r="G2236" s="37">
        <v>55.19</v>
      </c>
      <c r="H2236" s="32">
        <f t="shared" si="40"/>
        <v>1931.6499999999999</v>
      </c>
    </row>
    <row r="2237" spans="2:8">
      <c r="B2237" s="28">
        <v>10229</v>
      </c>
      <c r="C2237" s="34" t="s">
        <v>100</v>
      </c>
      <c r="D2237" s="34" t="s">
        <v>104</v>
      </c>
      <c r="E2237" s="34" t="s">
        <v>93</v>
      </c>
      <c r="F2237" s="35">
        <v>23</v>
      </c>
      <c r="G2237" s="37">
        <v>54.11</v>
      </c>
      <c r="H2237" s="32">
        <f t="shared" si="40"/>
        <v>1244.53</v>
      </c>
    </row>
    <row r="2238" spans="2:8">
      <c r="B2238" s="28">
        <v>10246</v>
      </c>
      <c r="C2238" s="34" t="s">
        <v>261</v>
      </c>
      <c r="D2238" s="34" t="s">
        <v>104</v>
      </c>
      <c r="E2238" s="34" t="s">
        <v>93</v>
      </c>
      <c r="F2238" s="35">
        <v>35</v>
      </c>
      <c r="G2238" s="37">
        <v>48.7</v>
      </c>
      <c r="H2238" s="32">
        <f t="shared" si="40"/>
        <v>1704.5</v>
      </c>
    </row>
    <row r="2239" spans="2:8">
      <c r="B2239" s="28">
        <v>10259</v>
      </c>
      <c r="C2239" s="34" t="s">
        <v>287</v>
      </c>
      <c r="D2239" s="34" t="s">
        <v>104</v>
      </c>
      <c r="E2239" s="34" t="s">
        <v>93</v>
      </c>
      <c r="F2239" s="35">
        <v>40</v>
      </c>
      <c r="G2239" s="37">
        <v>43.83</v>
      </c>
      <c r="H2239" s="32">
        <f t="shared" si="40"/>
        <v>1753.1999999999998</v>
      </c>
    </row>
    <row r="2240" spans="2:8">
      <c r="B2240" s="28">
        <v>10271</v>
      </c>
      <c r="C2240" s="34" t="s">
        <v>100</v>
      </c>
      <c r="D2240" s="34" t="s">
        <v>104</v>
      </c>
      <c r="E2240" s="34" t="s">
        <v>93</v>
      </c>
      <c r="F2240" s="35">
        <v>35</v>
      </c>
      <c r="G2240" s="37">
        <v>47.62</v>
      </c>
      <c r="H2240" s="32">
        <f t="shared" si="40"/>
        <v>1666.6999999999998</v>
      </c>
    </row>
    <row r="2241" spans="2:8">
      <c r="B2241" s="28">
        <v>10281</v>
      </c>
      <c r="C2241" s="34" t="s">
        <v>100</v>
      </c>
      <c r="D2241" s="34" t="s">
        <v>104</v>
      </c>
      <c r="E2241" s="34" t="s">
        <v>93</v>
      </c>
      <c r="F2241" s="35">
        <v>31</v>
      </c>
      <c r="G2241" s="37">
        <v>55.19</v>
      </c>
      <c r="H2241" s="32">
        <f t="shared" si="40"/>
        <v>1710.8899999999999</v>
      </c>
    </row>
    <row r="2242" spans="2:8">
      <c r="B2242" s="28">
        <v>10292</v>
      </c>
      <c r="C2242" s="34" t="s">
        <v>100</v>
      </c>
      <c r="D2242" s="34" t="s">
        <v>104</v>
      </c>
      <c r="E2242" s="34" t="s">
        <v>93</v>
      </c>
      <c r="F2242" s="35">
        <v>50</v>
      </c>
      <c r="G2242" s="37">
        <v>46.53</v>
      </c>
      <c r="H2242" s="32">
        <f t="shared" si="40"/>
        <v>2326.5</v>
      </c>
    </row>
    <row r="2243" spans="2:8">
      <c r="B2243" s="28">
        <v>10305</v>
      </c>
      <c r="C2243" s="34" t="s">
        <v>100</v>
      </c>
      <c r="D2243" s="34" t="s">
        <v>104</v>
      </c>
      <c r="E2243" s="34" t="s">
        <v>93</v>
      </c>
      <c r="F2243" s="35">
        <v>40</v>
      </c>
      <c r="G2243" s="37">
        <v>57.9</v>
      </c>
      <c r="H2243" s="32">
        <f t="shared" si="40"/>
        <v>2316</v>
      </c>
    </row>
    <row r="2244" spans="2:8">
      <c r="B2244" s="28">
        <v>10313</v>
      </c>
      <c r="C2244" s="34" t="s">
        <v>322</v>
      </c>
      <c r="D2244" s="34" t="s">
        <v>104</v>
      </c>
      <c r="E2244" s="34" t="s">
        <v>93</v>
      </c>
      <c r="F2244" s="35">
        <v>38</v>
      </c>
      <c r="G2244" s="37">
        <v>45.45</v>
      </c>
      <c r="H2244" s="32">
        <f t="shared" si="40"/>
        <v>1727.1000000000001</v>
      </c>
    </row>
    <row r="2245" spans="2:8">
      <c r="B2245" s="28">
        <v>10325</v>
      </c>
      <c r="C2245" s="34" t="s">
        <v>149</v>
      </c>
      <c r="D2245" s="34" t="s">
        <v>232</v>
      </c>
      <c r="E2245" s="34" t="s">
        <v>93</v>
      </c>
      <c r="F2245" s="35">
        <v>38</v>
      </c>
      <c r="G2245" s="37">
        <v>100</v>
      </c>
      <c r="H2245" s="32">
        <f t="shared" ref="H2245:H2308" si="41">F2245*G2245</f>
        <v>3800</v>
      </c>
    </row>
    <row r="2246" spans="2:8">
      <c r="B2246" s="28">
        <v>10335</v>
      </c>
      <c r="C2246" s="34" t="s">
        <v>100</v>
      </c>
      <c r="D2246" s="34" t="s">
        <v>104</v>
      </c>
      <c r="E2246" s="34" t="s">
        <v>93</v>
      </c>
      <c r="F2246" s="35">
        <v>40</v>
      </c>
      <c r="G2246" s="37">
        <v>60.6</v>
      </c>
      <c r="H2246" s="32">
        <f t="shared" si="41"/>
        <v>2424</v>
      </c>
    </row>
    <row r="2247" spans="2:8">
      <c r="B2247" s="28">
        <v>10349</v>
      </c>
      <c r="C2247" s="34" t="s">
        <v>100</v>
      </c>
      <c r="D2247" s="34" t="s">
        <v>104</v>
      </c>
      <c r="E2247" s="34" t="s">
        <v>93</v>
      </c>
      <c r="F2247" s="35">
        <v>33</v>
      </c>
      <c r="G2247" s="37">
        <v>46.53</v>
      </c>
      <c r="H2247" s="32">
        <f t="shared" si="41"/>
        <v>1535.49</v>
      </c>
    </row>
    <row r="2248" spans="2:8">
      <c r="B2248" s="28">
        <v>10359</v>
      </c>
      <c r="C2248" s="34" t="s">
        <v>109</v>
      </c>
      <c r="D2248" s="34" t="s">
        <v>119</v>
      </c>
      <c r="E2248" s="34" t="s">
        <v>93</v>
      </c>
      <c r="F2248" s="35">
        <v>36</v>
      </c>
      <c r="G2248" s="37">
        <v>100</v>
      </c>
      <c r="H2248" s="32">
        <f t="shared" si="41"/>
        <v>3600</v>
      </c>
    </row>
    <row r="2249" spans="2:8">
      <c r="B2249" s="28">
        <v>10371</v>
      </c>
      <c r="C2249" s="34" t="s">
        <v>100</v>
      </c>
      <c r="D2249" s="34" t="s">
        <v>104</v>
      </c>
      <c r="E2249" s="34" t="s">
        <v>93</v>
      </c>
      <c r="F2249" s="35">
        <v>20</v>
      </c>
      <c r="G2249" s="37">
        <v>66.47</v>
      </c>
      <c r="H2249" s="32">
        <f t="shared" si="41"/>
        <v>1329.4</v>
      </c>
    </row>
    <row r="2250" spans="2:8">
      <c r="B2250" s="28">
        <v>10383</v>
      </c>
      <c r="C2250" s="34" t="s">
        <v>261</v>
      </c>
      <c r="D2250" s="34" t="s">
        <v>104</v>
      </c>
      <c r="E2250" s="34" t="s">
        <v>93</v>
      </c>
      <c r="F2250" s="35">
        <v>32</v>
      </c>
      <c r="G2250" s="37">
        <v>53.18</v>
      </c>
      <c r="H2250" s="32">
        <f t="shared" si="41"/>
        <v>1701.76</v>
      </c>
    </row>
    <row r="2251" spans="2:8">
      <c r="B2251" s="28">
        <v>10394</v>
      </c>
      <c r="C2251" s="34" t="s">
        <v>261</v>
      </c>
      <c r="D2251" s="34" t="s">
        <v>104</v>
      </c>
      <c r="E2251" s="34" t="s">
        <v>93</v>
      </c>
      <c r="F2251" s="35">
        <v>36</v>
      </c>
      <c r="G2251" s="37">
        <v>62.77</v>
      </c>
      <c r="H2251" s="32">
        <f t="shared" si="41"/>
        <v>2259.7200000000003</v>
      </c>
    </row>
    <row r="2252" spans="2:8">
      <c r="B2252" s="28">
        <v>10412</v>
      </c>
      <c r="C2252" s="34" t="s">
        <v>261</v>
      </c>
      <c r="D2252" s="34" t="s">
        <v>104</v>
      </c>
      <c r="E2252" s="34" t="s">
        <v>93</v>
      </c>
      <c r="F2252" s="35">
        <v>19</v>
      </c>
      <c r="G2252" s="37">
        <v>48.7</v>
      </c>
      <c r="H2252" s="32">
        <f t="shared" si="41"/>
        <v>925.30000000000007</v>
      </c>
    </row>
    <row r="2253" spans="2:8">
      <c r="B2253" s="28">
        <v>10425</v>
      </c>
      <c r="C2253" s="34" t="s">
        <v>109</v>
      </c>
      <c r="D2253" s="34" t="s">
        <v>104</v>
      </c>
      <c r="E2253" s="34" t="s">
        <v>400</v>
      </c>
      <c r="F2253" s="35">
        <v>11</v>
      </c>
      <c r="G2253" s="37">
        <v>43.83</v>
      </c>
      <c r="H2253" s="32">
        <f t="shared" si="41"/>
        <v>482.13</v>
      </c>
    </row>
    <row r="2254" spans="2:8">
      <c r="B2254" s="28">
        <v>10104</v>
      </c>
      <c r="C2254" s="34" t="s">
        <v>261</v>
      </c>
      <c r="D2254" s="34" t="s">
        <v>119</v>
      </c>
      <c r="E2254" s="34" t="s">
        <v>93</v>
      </c>
      <c r="F2254" s="35">
        <v>49</v>
      </c>
      <c r="G2254" s="37">
        <v>65.87</v>
      </c>
      <c r="H2254" s="32">
        <f t="shared" si="41"/>
        <v>3227.63</v>
      </c>
    </row>
    <row r="2255" spans="2:8">
      <c r="B2255" s="28">
        <v>10116</v>
      </c>
      <c r="C2255" s="34" t="s">
        <v>480</v>
      </c>
      <c r="D2255" s="34" t="s">
        <v>104</v>
      </c>
      <c r="E2255" s="34" t="s">
        <v>93</v>
      </c>
      <c r="F2255" s="35">
        <v>27</v>
      </c>
      <c r="G2255" s="37">
        <v>63.38</v>
      </c>
      <c r="H2255" s="32">
        <f t="shared" si="41"/>
        <v>1711.26</v>
      </c>
    </row>
    <row r="2256" spans="2:8">
      <c r="B2256" s="28">
        <v>10127</v>
      </c>
      <c r="C2256" s="34" t="s">
        <v>100</v>
      </c>
      <c r="D2256" s="34" t="s">
        <v>104</v>
      </c>
      <c r="E2256" s="34" t="s">
        <v>93</v>
      </c>
      <c r="F2256" s="35">
        <v>29</v>
      </c>
      <c r="G2256" s="37">
        <v>70.84</v>
      </c>
      <c r="H2256" s="32">
        <f t="shared" si="41"/>
        <v>2054.36</v>
      </c>
    </row>
    <row r="2257" spans="2:8">
      <c r="B2257" s="28">
        <v>10142</v>
      </c>
      <c r="C2257" s="34" t="s">
        <v>100</v>
      </c>
      <c r="D2257" s="34" t="s">
        <v>119</v>
      </c>
      <c r="E2257" s="34" t="s">
        <v>93</v>
      </c>
      <c r="F2257" s="35">
        <v>42</v>
      </c>
      <c r="G2257" s="37">
        <v>74.569999999999993</v>
      </c>
      <c r="H2257" s="32">
        <f t="shared" si="41"/>
        <v>3131.9399999999996</v>
      </c>
    </row>
    <row r="2258" spans="2:8">
      <c r="B2258" s="28">
        <v>10152</v>
      </c>
      <c r="C2258" s="34" t="s">
        <v>168</v>
      </c>
      <c r="D2258" s="34" t="s">
        <v>104</v>
      </c>
      <c r="E2258" s="34" t="s">
        <v>93</v>
      </c>
      <c r="F2258" s="35">
        <v>33</v>
      </c>
      <c r="G2258" s="37">
        <v>50.95</v>
      </c>
      <c r="H2258" s="32">
        <f t="shared" si="41"/>
        <v>1681.3500000000001</v>
      </c>
    </row>
    <row r="2259" spans="2:8">
      <c r="B2259" s="28">
        <v>10165</v>
      </c>
      <c r="C2259" s="34" t="s">
        <v>287</v>
      </c>
      <c r="D2259" s="34" t="s">
        <v>104</v>
      </c>
      <c r="E2259" s="34" t="s">
        <v>93</v>
      </c>
      <c r="F2259" s="35">
        <v>44</v>
      </c>
      <c r="G2259" s="37">
        <v>53.44</v>
      </c>
      <c r="H2259" s="32">
        <f t="shared" si="41"/>
        <v>2351.3599999999997</v>
      </c>
    </row>
    <row r="2260" spans="2:8">
      <c r="B2260" s="28">
        <v>10176</v>
      </c>
      <c r="C2260" s="34" t="s">
        <v>352</v>
      </c>
      <c r="D2260" s="34" t="s">
        <v>104</v>
      </c>
      <c r="E2260" s="34" t="s">
        <v>93</v>
      </c>
      <c r="F2260" s="35">
        <v>22</v>
      </c>
      <c r="G2260" s="37">
        <v>64</v>
      </c>
      <c r="H2260" s="32">
        <f t="shared" si="41"/>
        <v>1408</v>
      </c>
    </row>
    <row r="2261" spans="2:8">
      <c r="B2261" s="28">
        <v>10184</v>
      </c>
      <c r="C2261" s="34" t="s">
        <v>261</v>
      </c>
      <c r="D2261" s="34" t="s">
        <v>104</v>
      </c>
      <c r="E2261" s="34" t="s">
        <v>93</v>
      </c>
      <c r="F2261" s="35">
        <v>48</v>
      </c>
      <c r="G2261" s="37">
        <v>50.95</v>
      </c>
      <c r="H2261" s="32">
        <f t="shared" si="41"/>
        <v>2445.6000000000004</v>
      </c>
    </row>
    <row r="2262" spans="2:8">
      <c r="B2262" s="28">
        <v>10195</v>
      </c>
      <c r="C2262" s="34" t="s">
        <v>100</v>
      </c>
      <c r="D2262" s="34" t="s">
        <v>104</v>
      </c>
      <c r="E2262" s="34" t="s">
        <v>93</v>
      </c>
      <c r="F2262" s="35">
        <v>33</v>
      </c>
      <c r="G2262" s="37">
        <v>54.68</v>
      </c>
      <c r="H2262" s="32">
        <f t="shared" si="41"/>
        <v>1804.44</v>
      </c>
    </row>
    <row r="2263" spans="2:8">
      <c r="B2263" s="28">
        <v>10207</v>
      </c>
      <c r="C2263" s="34" t="s">
        <v>100</v>
      </c>
      <c r="D2263" s="34" t="s">
        <v>104</v>
      </c>
      <c r="E2263" s="34" t="s">
        <v>93</v>
      </c>
      <c r="F2263" s="35">
        <v>45</v>
      </c>
      <c r="G2263" s="37">
        <v>56.55</v>
      </c>
      <c r="H2263" s="32">
        <f t="shared" si="41"/>
        <v>2544.75</v>
      </c>
    </row>
    <row r="2264" spans="2:8">
      <c r="B2264" s="28">
        <v>10220</v>
      </c>
      <c r="C2264" s="34" t="s">
        <v>614</v>
      </c>
      <c r="D2264" s="34" t="s">
        <v>104</v>
      </c>
      <c r="E2264" s="34" t="s">
        <v>93</v>
      </c>
      <c r="F2264" s="35">
        <v>20</v>
      </c>
      <c r="G2264" s="37">
        <v>52.82</v>
      </c>
      <c r="H2264" s="32">
        <f t="shared" si="41"/>
        <v>1056.4000000000001</v>
      </c>
    </row>
    <row r="2265" spans="2:8">
      <c r="B2265" s="28">
        <v>10230</v>
      </c>
      <c r="C2265" s="34" t="s">
        <v>566</v>
      </c>
      <c r="D2265" s="34" t="s">
        <v>104</v>
      </c>
      <c r="E2265" s="34" t="s">
        <v>93</v>
      </c>
      <c r="F2265" s="35">
        <v>46</v>
      </c>
      <c r="G2265" s="37">
        <v>60.9</v>
      </c>
      <c r="H2265" s="32">
        <f t="shared" si="41"/>
        <v>2801.4</v>
      </c>
    </row>
    <row r="2266" spans="2:8">
      <c r="B2266" s="28">
        <v>10247</v>
      </c>
      <c r="C2266" s="34" t="s">
        <v>208</v>
      </c>
      <c r="D2266" s="34" t="s">
        <v>104</v>
      </c>
      <c r="E2266" s="34" t="s">
        <v>93</v>
      </c>
      <c r="F2266" s="35">
        <v>40</v>
      </c>
      <c r="G2266" s="37">
        <v>49.71</v>
      </c>
      <c r="H2266" s="32">
        <f t="shared" si="41"/>
        <v>1988.4</v>
      </c>
    </row>
    <row r="2267" spans="2:8">
      <c r="B2267" s="28">
        <v>10272</v>
      </c>
      <c r="C2267" s="34" t="s">
        <v>100</v>
      </c>
      <c r="D2267" s="34" t="s">
        <v>104</v>
      </c>
      <c r="E2267" s="34" t="s">
        <v>93</v>
      </c>
      <c r="F2267" s="35">
        <v>45</v>
      </c>
      <c r="G2267" s="37">
        <v>64.63</v>
      </c>
      <c r="H2267" s="32">
        <f t="shared" si="41"/>
        <v>2908.35</v>
      </c>
    </row>
    <row r="2268" spans="2:8">
      <c r="B2268" s="28">
        <v>10282</v>
      </c>
      <c r="C2268" s="34" t="s">
        <v>100</v>
      </c>
      <c r="D2268" s="34" t="s">
        <v>104</v>
      </c>
      <c r="E2268" s="34" t="s">
        <v>93</v>
      </c>
      <c r="F2268" s="35">
        <v>36</v>
      </c>
      <c r="G2268" s="37">
        <v>59.65</v>
      </c>
      <c r="H2268" s="32">
        <f t="shared" si="41"/>
        <v>2147.4</v>
      </c>
    </row>
    <row r="2269" spans="2:8">
      <c r="B2269" s="28">
        <v>10292</v>
      </c>
      <c r="C2269" s="34" t="s">
        <v>100</v>
      </c>
      <c r="D2269" s="34" t="s">
        <v>104</v>
      </c>
      <c r="E2269" s="34" t="s">
        <v>93</v>
      </c>
      <c r="F2269" s="35">
        <v>31</v>
      </c>
      <c r="G2269" s="37">
        <v>67.73</v>
      </c>
      <c r="H2269" s="32">
        <f t="shared" si="41"/>
        <v>2099.63</v>
      </c>
    </row>
    <row r="2270" spans="2:8">
      <c r="B2270" s="28">
        <v>10306</v>
      </c>
      <c r="C2270" s="34" t="s">
        <v>252</v>
      </c>
      <c r="D2270" s="34" t="s">
        <v>104</v>
      </c>
      <c r="E2270" s="34" t="s">
        <v>93</v>
      </c>
      <c r="F2270" s="35">
        <v>46</v>
      </c>
      <c r="G2270" s="37">
        <v>50.33</v>
      </c>
      <c r="H2270" s="32">
        <f t="shared" si="41"/>
        <v>2315.1799999999998</v>
      </c>
    </row>
    <row r="2271" spans="2:8">
      <c r="B2271" s="28">
        <v>10314</v>
      </c>
      <c r="C2271" s="34" t="s">
        <v>429</v>
      </c>
      <c r="D2271" s="34" t="s">
        <v>104</v>
      </c>
      <c r="E2271" s="34" t="s">
        <v>93</v>
      </c>
      <c r="F2271" s="35">
        <v>35</v>
      </c>
      <c r="G2271" s="37">
        <v>66.489999999999995</v>
      </c>
      <c r="H2271" s="32">
        <f t="shared" si="41"/>
        <v>2327.1499999999996</v>
      </c>
    </row>
    <row r="2272" spans="2:8">
      <c r="B2272" s="28">
        <v>10325</v>
      </c>
      <c r="C2272" s="34" t="s">
        <v>149</v>
      </c>
      <c r="D2272" s="34" t="s">
        <v>119</v>
      </c>
      <c r="E2272" s="34" t="s">
        <v>93</v>
      </c>
      <c r="F2272" s="35">
        <v>28</v>
      </c>
      <c r="G2272" s="37">
        <v>100</v>
      </c>
      <c r="H2272" s="32">
        <f t="shared" si="41"/>
        <v>2800</v>
      </c>
    </row>
    <row r="2273" spans="2:8">
      <c r="B2273" s="28">
        <v>10336</v>
      </c>
      <c r="C2273" s="34" t="s">
        <v>109</v>
      </c>
      <c r="D2273" s="34" t="s">
        <v>104</v>
      </c>
      <c r="E2273" s="34" t="s">
        <v>93</v>
      </c>
      <c r="F2273" s="35">
        <v>31</v>
      </c>
      <c r="G2273" s="37">
        <v>84.71</v>
      </c>
      <c r="H2273" s="32">
        <f t="shared" si="41"/>
        <v>2626.0099999999998</v>
      </c>
    </row>
    <row r="2274" spans="2:8">
      <c r="B2274" s="28">
        <v>10350</v>
      </c>
      <c r="C2274" s="34" t="s">
        <v>261</v>
      </c>
      <c r="D2274" s="34" t="s">
        <v>119</v>
      </c>
      <c r="E2274" s="34" t="s">
        <v>93</v>
      </c>
      <c r="F2274" s="35">
        <v>27</v>
      </c>
      <c r="G2274" s="37">
        <v>100</v>
      </c>
      <c r="H2274" s="32">
        <f t="shared" si="41"/>
        <v>2700</v>
      </c>
    </row>
    <row r="2275" spans="2:8">
      <c r="B2275" s="28">
        <v>10359</v>
      </c>
      <c r="C2275" s="34" t="s">
        <v>109</v>
      </c>
      <c r="D2275" s="34" t="s">
        <v>119</v>
      </c>
      <c r="E2275" s="34" t="s">
        <v>93</v>
      </c>
      <c r="F2275" s="35">
        <v>22</v>
      </c>
      <c r="G2275" s="37">
        <v>100</v>
      </c>
      <c r="H2275" s="32">
        <f t="shared" si="41"/>
        <v>2200</v>
      </c>
    </row>
    <row r="2276" spans="2:8">
      <c r="B2276" s="28">
        <v>10371</v>
      </c>
      <c r="C2276" s="34" t="s">
        <v>100</v>
      </c>
      <c r="D2276" s="34" t="s">
        <v>104</v>
      </c>
      <c r="E2276" s="34" t="s">
        <v>93</v>
      </c>
      <c r="F2276" s="35">
        <v>30</v>
      </c>
      <c r="G2276" s="37">
        <v>99.55</v>
      </c>
      <c r="H2276" s="32">
        <f t="shared" si="41"/>
        <v>2986.5</v>
      </c>
    </row>
    <row r="2277" spans="2:8">
      <c r="B2277" s="28">
        <v>10383</v>
      </c>
      <c r="C2277" s="34" t="s">
        <v>261</v>
      </c>
      <c r="D2277" s="34" t="s">
        <v>104</v>
      </c>
      <c r="E2277" s="34" t="s">
        <v>93</v>
      </c>
      <c r="F2277" s="35">
        <v>44</v>
      </c>
      <c r="G2277" s="37">
        <v>36.07</v>
      </c>
      <c r="H2277" s="32">
        <f t="shared" si="41"/>
        <v>1587.08</v>
      </c>
    </row>
    <row r="2278" spans="2:8">
      <c r="B2278" s="28">
        <v>10394</v>
      </c>
      <c r="C2278" s="34" t="s">
        <v>261</v>
      </c>
      <c r="D2278" s="34" t="s">
        <v>104</v>
      </c>
      <c r="E2278" s="34" t="s">
        <v>93</v>
      </c>
      <c r="F2278" s="35">
        <v>30</v>
      </c>
      <c r="G2278" s="37">
        <v>60.28</v>
      </c>
      <c r="H2278" s="32">
        <f t="shared" si="41"/>
        <v>1808.4</v>
      </c>
    </row>
    <row r="2279" spans="2:8">
      <c r="B2279" s="28">
        <v>10413</v>
      </c>
      <c r="C2279" s="34" t="s">
        <v>100</v>
      </c>
      <c r="D2279" s="34" t="s">
        <v>104</v>
      </c>
      <c r="E2279" s="34" t="s">
        <v>93</v>
      </c>
      <c r="F2279" s="35">
        <v>24</v>
      </c>
      <c r="G2279" s="37">
        <v>49.71</v>
      </c>
      <c r="H2279" s="32">
        <f t="shared" si="41"/>
        <v>1193.04</v>
      </c>
    </row>
    <row r="2280" spans="2:8">
      <c r="B2280" s="28">
        <v>10103</v>
      </c>
      <c r="C2280" s="34" t="s">
        <v>149</v>
      </c>
      <c r="D2280" s="34" t="s">
        <v>119</v>
      </c>
      <c r="E2280" s="34" t="s">
        <v>93</v>
      </c>
      <c r="F2280" s="35">
        <v>45</v>
      </c>
      <c r="G2280" s="37">
        <v>75.63</v>
      </c>
      <c r="H2280" s="32">
        <f t="shared" si="41"/>
        <v>3403.35</v>
      </c>
    </row>
    <row r="2281" spans="2:8">
      <c r="B2281" s="28">
        <v>10113</v>
      </c>
      <c r="C2281" s="34" t="s">
        <v>100</v>
      </c>
      <c r="D2281" s="34" t="s">
        <v>104</v>
      </c>
      <c r="E2281" s="34" t="s">
        <v>93</v>
      </c>
      <c r="F2281" s="35">
        <v>23</v>
      </c>
      <c r="G2281" s="37">
        <v>68.52</v>
      </c>
      <c r="H2281" s="32">
        <f t="shared" si="41"/>
        <v>1575.9599999999998</v>
      </c>
    </row>
    <row r="2282" spans="2:8">
      <c r="B2282" s="28">
        <v>10126</v>
      </c>
      <c r="C2282" s="34" t="s">
        <v>261</v>
      </c>
      <c r="D2282" s="34" t="s">
        <v>104</v>
      </c>
      <c r="E2282" s="34" t="s">
        <v>93</v>
      </c>
      <c r="F2282" s="35">
        <v>26</v>
      </c>
      <c r="G2282" s="37">
        <v>62.7</v>
      </c>
      <c r="H2282" s="32">
        <f t="shared" si="41"/>
        <v>1630.2</v>
      </c>
    </row>
    <row r="2283" spans="2:8">
      <c r="B2283" s="28">
        <v>10140</v>
      </c>
      <c r="C2283" s="34" t="s">
        <v>100</v>
      </c>
      <c r="D2283" s="34" t="s">
        <v>104</v>
      </c>
      <c r="E2283" s="34" t="s">
        <v>93</v>
      </c>
      <c r="F2283" s="35">
        <v>28</v>
      </c>
      <c r="G2283" s="37">
        <v>60.76</v>
      </c>
      <c r="H2283" s="32">
        <f t="shared" si="41"/>
        <v>1701.28</v>
      </c>
    </row>
    <row r="2284" spans="2:8">
      <c r="B2284" s="28">
        <v>10150</v>
      </c>
      <c r="C2284" s="34" t="s">
        <v>287</v>
      </c>
      <c r="D2284" s="34" t="s">
        <v>104</v>
      </c>
      <c r="E2284" s="34" t="s">
        <v>93</v>
      </c>
      <c r="F2284" s="35">
        <v>49</v>
      </c>
      <c r="G2284" s="37">
        <v>58.18</v>
      </c>
      <c r="H2284" s="32">
        <f t="shared" si="41"/>
        <v>2850.82</v>
      </c>
    </row>
    <row r="2285" spans="2:8">
      <c r="B2285" s="28">
        <v>10164</v>
      </c>
      <c r="C2285" s="34" t="s">
        <v>229</v>
      </c>
      <c r="D2285" s="34" t="s">
        <v>104</v>
      </c>
      <c r="E2285" s="34" t="s">
        <v>526</v>
      </c>
      <c r="F2285" s="35">
        <v>49</v>
      </c>
      <c r="G2285" s="37">
        <v>54.94</v>
      </c>
      <c r="H2285" s="32">
        <f t="shared" si="41"/>
        <v>2692.06</v>
      </c>
    </row>
    <row r="2286" spans="2:8">
      <c r="B2286" s="28">
        <v>10175</v>
      </c>
      <c r="C2286" s="34" t="s">
        <v>252</v>
      </c>
      <c r="D2286" s="34" t="s">
        <v>104</v>
      </c>
      <c r="E2286" s="34" t="s">
        <v>93</v>
      </c>
      <c r="F2286" s="35">
        <v>29</v>
      </c>
      <c r="G2286" s="37">
        <v>74.98</v>
      </c>
      <c r="H2286" s="32">
        <f t="shared" si="41"/>
        <v>2174.42</v>
      </c>
    </row>
    <row r="2287" spans="2:8">
      <c r="B2287" s="28">
        <v>10183</v>
      </c>
      <c r="C2287" s="34" t="s">
        <v>100</v>
      </c>
      <c r="D2287" s="34" t="s">
        <v>119</v>
      </c>
      <c r="E2287" s="34" t="s">
        <v>93</v>
      </c>
      <c r="F2287" s="35">
        <v>49</v>
      </c>
      <c r="G2287" s="37">
        <v>64.64</v>
      </c>
      <c r="H2287" s="32">
        <f t="shared" si="41"/>
        <v>3167.36</v>
      </c>
    </row>
    <row r="2288" spans="2:8">
      <c r="B2288" s="28">
        <v>10194</v>
      </c>
      <c r="C2288" s="34" t="s">
        <v>109</v>
      </c>
      <c r="D2288" s="34" t="s">
        <v>104</v>
      </c>
      <c r="E2288" s="34" t="s">
        <v>93</v>
      </c>
      <c r="F2288" s="35">
        <v>39</v>
      </c>
      <c r="G2288" s="37">
        <v>54.94</v>
      </c>
      <c r="H2288" s="32">
        <f t="shared" si="41"/>
        <v>2142.66</v>
      </c>
    </row>
    <row r="2289" spans="2:8">
      <c r="B2289" s="28">
        <v>10206</v>
      </c>
      <c r="C2289" s="34" t="s">
        <v>322</v>
      </c>
      <c r="D2289" s="34" t="s">
        <v>104</v>
      </c>
      <c r="E2289" s="34" t="s">
        <v>93</v>
      </c>
      <c r="F2289" s="35">
        <v>36</v>
      </c>
      <c r="G2289" s="37">
        <v>58.82</v>
      </c>
      <c r="H2289" s="32">
        <f t="shared" si="41"/>
        <v>2117.52</v>
      </c>
    </row>
    <row r="2290" spans="2:8">
      <c r="B2290" s="28">
        <v>10217</v>
      </c>
      <c r="C2290" s="34" t="s">
        <v>287</v>
      </c>
      <c r="D2290" s="34" t="s">
        <v>104</v>
      </c>
      <c r="E2290" s="34" t="s">
        <v>93</v>
      </c>
      <c r="F2290" s="35">
        <v>39</v>
      </c>
      <c r="G2290" s="37">
        <v>62.05</v>
      </c>
      <c r="H2290" s="32">
        <f t="shared" si="41"/>
        <v>2419.9499999999998</v>
      </c>
    </row>
    <row r="2291" spans="2:8">
      <c r="B2291" s="28">
        <v>10229</v>
      </c>
      <c r="C2291" s="34" t="s">
        <v>100</v>
      </c>
      <c r="D2291" s="34" t="s">
        <v>104</v>
      </c>
      <c r="E2291" s="34" t="s">
        <v>93</v>
      </c>
      <c r="F2291" s="35">
        <v>30</v>
      </c>
      <c r="G2291" s="37">
        <v>73.040000000000006</v>
      </c>
      <c r="H2291" s="32">
        <f t="shared" si="41"/>
        <v>2191.2000000000003</v>
      </c>
    </row>
    <row r="2292" spans="2:8">
      <c r="B2292" s="28">
        <v>10245</v>
      </c>
      <c r="C2292" s="34" t="s">
        <v>100</v>
      </c>
      <c r="D2292" s="34" t="s">
        <v>119</v>
      </c>
      <c r="E2292" s="34" t="s">
        <v>93</v>
      </c>
      <c r="F2292" s="35">
        <v>44</v>
      </c>
      <c r="G2292" s="37">
        <v>69.16</v>
      </c>
      <c r="H2292" s="32">
        <f t="shared" si="41"/>
        <v>3043.04</v>
      </c>
    </row>
    <row r="2293" spans="2:8">
      <c r="B2293" s="28">
        <v>10258</v>
      </c>
      <c r="C2293" s="34" t="s">
        <v>288</v>
      </c>
      <c r="D2293" s="34" t="s">
        <v>104</v>
      </c>
      <c r="E2293" s="34" t="s">
        <v>93</v>
      </c>
      <c r="F2293" s="35">
        <v>20</v>
      </c>
      <c r="G2293" s="37">
        <v>61.41</v>
      </c>
      <c r="H2293" s="32">
        <f t="shared" si="41"/>
        <v>1228.1999999999998</v>
      </c>
    </row>
    <row r="2294" spans="2:8">
      <c r="B2294" s="28">
        <v>10270</v>
      </c>
      <c r="C2294" s="34" t="s">
        <v>168</v>
      </c>
      <c r="D2294" s="34" t="s">
        <v>104</v>
      </c>
      <c r="E2294" s="34" t="s">
        <v>93</v>
      </c>
      <c r="F2294" s="35">
        <v>21</v>
      </c>
      <c r="G2294" s="37">
        <v>63.35</v>
      </c>
      <c r="H2294" s="32">
        <f t="shared" si="41"/>
        <v>1330.3500000000001</v>
      </c>
    </row>
    <row r="2295" spans="2:8">
      <c r="B2295" s="28">
        <v>10281</v>
      </c>
      <c r="C2295" s="34" t="s">
        <v>100</v>
      </c>
      <c r="D2295" s="34" t="s">
        <v>104</v>
      </c>
      <c r="E2295" s="34" t="s">
        <v>93</v>
      </c>
      <c r="F2295" s="35">
        <v>36</v>
      </c>
      <c r="G2295" s="37">
        <v>77.569999999999993</v>
      </c>
      <c r="H2295" s="32">
        <f t="shared" si="41"/>
        <v>2792.5199999999995</v>
      </c>
    </row>
    <row r="2296" spans="2:8">
      <c r="B2296" s="28">
        <v>10291</v>
      </c>
      <c r="C2296" s="34" t="s">
        <v>273</v>
      </c>
      <c r="D2296" s="34" t="s">
        <v>104</v>
      </c>
      <c r="E2296" s="34" t="s">
        <v>93</v>
      </c>
      <c r="F2296" s="35">
        <v>32</v>
      </c>
      <c r="G2296" s="37">
        <v>71.75</v>
      </c>
      <c r="H2296" s="32">
        <f t="shared" si="41"/>
        <v>2296</v>
      </c>
    </row>
    <row r="2297" spans="2:8">
      <c r="B2297" s="28">
        <v>10304</v>
      </c>
      <c r="C2297" s="34" t="s">
        <v>109</v>
      </c>
      <c r="D2297" s="34" t="s">
        <v>104</v>
      </c>
      <c r="E2297" s="34" t="s">
        <v>93</v>
      </c>
      <c r="F2297" s="35">
        <v>36</v>
      </c>
      <c r="G2297" s="37">
        <v>73.040000000000006</v>
      </c>
      <c r="H2297" s="32">
        <f t="shared" si="41"/>
        <v>2629.44</v>
      </c>
    </row>
    <row r="2298" spans="2:8">
      <c r="B2298" s="28">
        <v>10313</v>
      </c>
      <c r="C2298" s="34" t="s">
        <v>322</v>
      </c>
      <c r="D2298" s="34" t="s">
        <v>104</v>
      </c>
      <c r="E2298" s="34" t="s">
        <v>93</v>
      </c>
      <c r="F2298" s="35">
        <v>34</v>
      </c>
      <c r="G2298" s="37">
        <v>56.24</v>
      </c>
      <c r="H2298" s="32">
        <f t="shared" si="41"/>
        <v>1912.16</v>
      </c>
    </row>
    <row r="2299" spans="2:8">
      <c r="B2299" s="28">
        <v>10324</v>
      </c>
      <c r="C2299" s="34" t="s">
        <v>100</v>
      </c>
      <c r="D2299" s="34" t="s">
        <v>232</v>
      </c>
      <c r="E2299" s="34" t="s">
        <v>93</v>
      </c>
      <c r="F2299" s="35">
        <v>48</v>
      </c>
      <c r="G2299" s="37">
        <v>100</v>
      </c>
      <c r="H2299" s="32">
        <f t="shared" si="41"/>
        <v>4800</v>
      </c>
    </row>
    <row r="2300" spans="2:8">
      <c r="B2300" s="28">
        <v>10333</v>
      </c>
      <c r="C2300" s="34" t="s">
        <v>100</v>
      </c>
      <c r="D2300" s="34" t="s">
        <v>104</v>
      </c>
      <c r="E2300" s="34" t="s">
        <v>93</v>
      </c>
      <c r="F2300" s="35">
        <v>33</v>
      </c>
      <c r="G2300" s="37">
        <v>73.69</v>
      </c>
      <c r="H2300" s="32">
        <f t="shared" si="41"/>
        <v>2431.77</v>
      </c>
    </row>
    <row r="2301" spans="2:8">
      <c r="B2301" s="28">
        <v>10348</v>
      </c>
      <c r="C2301" s="34" t="s">
        <v>261</v>
      </c>
      <c r="D2301" s="34" t="s">
        <v>119</v>
      </c>
      <c r="E2301" s="34" t="s">
        <v>93</v>
      </c>
      <c r="F2301" s="35">
        <v>31</v>
      </c>
      <c r="G2301" s="37">
        <v>100</v>
      </c>
      <c r="H2301" s="32">
        <f t="shared" si="41"/>
        <v>3100</v>
      </c>
    </row>
    <row r="2302" spans="2:8">
      <c r="B2302" s="28">
        <v>10358</v>
      </c>
      <c r="C2302" s="34" t="s">
        <v>261</v>
      </c>
      <c r="D2302" s="34" t="s">
        <v>119</v>
      </c>
      <c r="E2302" s="34" t="s">
        <v>93</v>
      </c>
      <c r="F2302" s="35">
        <v>36</v>
      </c>
      <c r="G2302" s="37">
        <v>100</v>
      </c>
      <c r="H2302" s="32">
        <f t="shared" si="41"/>
        <v>3600</v>
      </c>
    </row>
    <row r="2303" spans="2:8">
      <c r="B2303" s="28">
        <v>10370</v>
      </c>
      <c r="C2303" s="34" t="s">
        <v>168</v>
      </c>
      <c r="D2303" s="34" t="s">
        <v>119</v>
      </c>
      <c r="E2303" s="34" t="s">
        <v>93</v>
      </c>
      <c r="F2303" s="35">
        <v>25</v>
      </c>
      <c r="G2303" s="37">
        <v>100</v>
      </c>
      <c r="H2303" s="32">
        <f t="shared" si="41"/>
        <v>2500</v>
      </c>
    </row>
    <row r="2304" spans="2:8">
      <c r="B2304" s="28">
        <v>10382</v>
      </c>
      <c r="C2304" s="34" t="s">
        <v>100</v>
      </c>
      <c r="D2304" s="34" t="s">
        <v>119</v>
      </c>
      <c r="E2304" s="34" t="s">
        <v>93</v>
      </c>
      <c r="F2304" s="35">
        <v>48</v>
      </c>
      <c r="G2304" s="37">
        <v>100</v>
      </c>
      <c r="H2304" s="32">
        <f t="shared" si="41"/>
        <v>4800</v>
      </c>
    </row>
    <row r="2305" spans="2:8">
      <c r="B2305" s="28">
        <v>10411</v>
      </c>
      <c r="C2305" s="34" t="s">
        <v>322</v>
      </c>
      <c r="D2305" s="34" t="s">
        <v>104</v>
      </c>
      <c r="E2305" s="34" t="s">
        <v>93</v>
      </c>
      <c r="F2305" s="35">
        <v>27</v>
      </c>
      <c r="G2305" s="37">
        <v>69.16</v>
      </c>
      <c r="H2305" s="32">
        <f t="shared" si="41"/>
        <v>1867.32</v>
      </c>
    </row>
    <row r="2306" spans="2:8">
      <c r="B2306" s="28">
        <v>10424</v>
      </c>
      <c r="C2306" s="34" t="s">
        <v>261</v>
      </c>
      <c r="D2306" s="34" t="s">
        <v>104</v>
      </c>
      <c r="E2306" s="34" t="s">
        <v>400</v>
      </c>
      <c r="F2306" s="35">
        <v>44</v>
      </c>
      <c r="G2306" s="37">
        <v>61.41</v>
      </c>
      <c r="H2306" s="32">
        <f t="shared" si="41"/>
        <v>2702.04</v>
      </c>
    </row>
    <row r="2307" spans="2:8">
      <c r="B2307" s="28">
        <v>10106</v>
      </c>
      <c r="C2307" s="34" t="s">
        <v>352</v>
      </c>
      <c r="D2307" s="34" t="s">
        <v>104</v>
      </c>
      <c r="E2307" s="34" t="s">
        <v>93</v>
      </c>
      <c r="F2307" s="35">
        <v>33</v>
      </c>
      <c r="G2307" s="37">
        <v>72.92</v>
      </c>
      <c r="H2307" s="32">
        <f t="shared" si="41"/>
        <v>2406.36</v>
      </c>
    </row>
    <row r="2308" spans="2:8">
      <c r="B2308" s="28">
        <v>10120</v>
      </c>
      <c r="C2308" s="34" t="s">
        <v>168</v>
      </c>
      <c r="D2308" s="34" t="s">
        <v>104</v>
      </c>
      <c r="E2308" s="34" t="s">
        <v>93</v>
      </c>
      <c r="F2308" s="35">
        <v>29</v>
      </c>
      <c r="G2308" s="37">
        <v>72.23</v>
      </c>
      <c r="H2308" s="32">
        <f t="shared" si="41"/>
        <v>2094.67</v>
      </c>
    </row>
    <row r="2309" spans="2:8">
      <c r="B2309" s="28">
        <v>10133</v>
      </c>
      <c r="C2309" s="34" t="s">
        <v>261</v>
      </c>
      <c r="D2309" s="34" t="s">
        <v>104</v>
      </c>
      <c r="E2309" s="34" t="s">
        <v>93</v>
      </c>
      <c r="F2309" s="35">
        <v>49</v>
      </c>
      <c r="G2309" s="37">
        <v>57.1</v>
      </c>
      <c r="H2309" s="32">
        <f t="shared" ref="H2309:H2372" si="42">F2309*G2309</f>
        <v>2797.9</v>
      </c>
    </row>
    <row r="2310" spans="2:8">
      <c r="B2310" s="28">
        <v>10144</v>
      </c>
      <c r="C2310" s="34" t="s">
        <v>480</v>
      </c>
      <c r="D2310" s="34" t="s">
        <v>104</v>
      </c>
      <c r="E2310" s="34" t="s">
        <v>93</v>
      </c>
      <c r="F2310" s="35">
        <v>20</v>
      </c>
      <c r="G2310" s="37">
        <v>81.86</v>
      </c>
      <c r="H2310" s="32">
        <f t="shared" si="42"/>
        <v>1637.2</v>
      </c>
    </row>
    <row r="2311" spans="2:8">
      <c r="B2311" s="28">
        <v>10168</v>
      </c>
      <c r="C2311" s="34" t="s">
        <v>100</v>
      </c>
      <c r="D2311" s="34" t="s">
        <v>104</v>
      </c>
      <c r="E2311" s="34" t="s">
        <v>93</v>
      </c>
      <c r="F2311" s="35">
        <v>31</v>
      </c>
      <c r="G2311" s="37">
        <v>73.61</v>
      </c>
      <c r="H2311" s="32">
        <f t="shared" si="42"/>
        <v>2281.91</v>
      </c>
    </row>
    <row r="2312" spans="2:8">
      <c r="B2312" s="28">
        <v>10210</v>
      </c>
      <c r="C2312" s="34" t="s">
        <v>288</v>
      </c>
      <c r="D2312" s="34" t="s">
        <v>104</v>
      </c>
      <c r="E2312" s="34" t="s">
        <v>93</v>
      </c>
      <c r="F2312" s="35">
        <v>39</v>
      </c>
      <c r="G2312" s="37">
        <v>59.16</v>
      </c>
      <c r="H2312" s="32">
        <f t="shared" si="42"/>
        <v>2307.2399999999998</v>
      </c>
    </row>
    <row r="2313" spans="2:8">
      <c r="B2313" s="28">
        <v>10223</v>
      </c>
      <c r="C2313" s="34" t="s">
        <v>168</v>
      </c>
      <c r="D2313" s="34" t="s">
        <v>104</v>
      </c>
      <c r="E2313" s="34" t="s">
        <v>93</v>
      </c>
      <c r="F2313" s="35">
        <v>20</v>
      </c>
      <c r="G2313" s="37">
        <v>66.040000000000006</v>
      </c>
      <c r="H2313" s="32">
        <f t="shared" si="42"/>
        <v>1320.8000000000002</v>
      </c>
    </row>
    <row r="2314" spans="2:8">
      <c r="B2314" s="28">
        <v>10235</v>
      </c>
      <c r="C2314" s="34" t="s">
        <v>322</v>
      </c>
      <c r="D2314" s="34" t="s">
        <v>104</v>
      </c>
      <c r="E2314" s="34" t="s">
        <v>93</v>
      </c>
      <c r="F2314" s="35">
        <v>34</v>
      </c>
      <c r="G2314" s="37">
        <v>77.73</v>
      </c>
      <c r="H2314" s="32">
        <f t="shared" si="42"/>
        <v>2642.82</v>
      </c>
    </row>
    <row r="2315" spans="2:8">
      <c r="B2315" s="28">
        <v>10250</v>
      </c>
      <c r="C2315" s="34" t="s">
        <v>100</v>
      </c>
      <c r="D2315" s="34" t="s">
        <v>119</v>
      </c>
      <c r="E2315" s="34" t="s">
        <v>93</v>
      </c>
      <c r="F2315" s="35">
        <v>50</v>
      </c>
      <c r="G2315" s="37">
        <v>61.22</v>
      </c>
      <c r="H2315" s="32">
        <f t="shared" si="42"/>
        <v>3061</v>
      </c>
    </row>
    <row r="2316" spans="2:8">
      <c r="B2316" s="28">
        <v>10262</v>
      </c>
      <c r="C2316" s="34" t="s">
        <v>261</v>
      </c>
      <c r="D2316" s="34" t="s">
        <v>119</v>
      </c>
      <c r="E2316" s="34" t="s">
        <v>444</v>
      </c>
      <c r="F2316" s="35">
        <v>40</v>
      </c>
      <c r="G2316" s="37">
        <v>79.11</v>
      </c>
      <c r="H2316" s="32">
        <f t="shared" si="42"/>
        <v>3164.4</v>
      </c>
    </row>
    <row r="2317" spans="2:8">
      <c r="B2317" s="28">
        <v>10275</v>
      </c>
      <c r="C2317" s="34" t="s">
        <v>109</v>
      </c>
      <c r="D2317" s="34" t="s">
        <v>104</v>
      </c>
      <c r="E2317" s="34" t="s">
        <v>93</v>
      </c>
      <c r="F2317" s="35">
        <v>28</v>
      </c>
      <c r="G2317" s="37">
        <v>63.97</v>
      </c>
      <c r="H2317" s="32">
        <f t="shared" si="42"/>
        <v>1791.1599999999999</v>
      </c>
    </row>
    <row r="2318" spans="2:8">
      <c r="B2318" s="28">
        <v>10284</v>
      </c>
      <c r="C2318" s="34" t="s">
        <v>149</v>
      </c>
      <c r="D2318" s="34" t="s">
        <v>119</v>
      </c>
      <c r="E2318" s="34" t="s">
        <v>93</v>
      </c>
      <c r="F2318" s="35">
        <v>50</v>
      </c>
      <c r="G2318" s="37">
        <v>81.86</v>
      </c>
      <c r="H2318" s="32">
        <f t="shared" si="42"/>
        <v>4093</v>
      </c>
    </row>
    <row r="2319" spans="2:8">
      <c r="B2319" s="28">
        <v>10297</v>
      </c>
      <c r="C2319" s="34" t="s">
        <v>614</v>
      </c>
      <c r="D2319" s="34" t="s">
        <v>104</v>
      </c>
      <c r="E2319" s="34" t="s">
        <v>93</v>
      </c>
      <c r="F2319" s="35">
        <v>28</v>
      </c>
      <c r="G2319" s="37">
        <v>79.8</v>
      </c>
      <c r="H2319" s="32">
        <f t="shared" si="42"/>
        <v>2234.4</v>
      </c>
    </row>
    <row r="2320" spans="2:8">
      <c r="B2320" s="28">
        <v>10308</v>
      </c>
      <c r="C2320" s="34" t="s">
        <v>100</v>
      </c>
      <c r="D2320" s="34" t="s">
        <v>119</v>
      </c>
      <c r="E2320" s="34" t="s">
        <v>93</v>
      </c>
      <c r="F2320" s="35">
        <v>46</v>
      </c>
      <c r="G2320" s="37">
        <v>66.040000000000006</v>
      </c>
      <c r="H2320" s="32">
        <f t="shared" si="42"/>
        <v>3037.84</v>
      </c>
    </row>
    <row r="2321" spans="2:8">
      <c r="B2321" s="28">
        <v>10316</v>
      </c>
      <c r="C2321" s="34" t="s">
        <v>252</v>
      </c>
      <c r="D2321" s="34" t="s">
        <v>104</v>
      </c>
      <c r="E2321" s="34" t="s">
        <v>93</v>
      </c>
      <c r="F2321" s="35">
        <v>24</v>
      </c>
      <c r="G2321" s="37">
        <v>59.16</v>
      </c>
      <c r="H2321" s="32">
        <f t="shared" si="42"/>
        <v>1419.84</v>
      </c>
    </row>
    <row r="2322" spans="2:8">
      <c r="B2322" s="28">
        <v>10328</v>
      </c>
      <c r="C2322" s="34" t="s">
        <v>352</v>
      </c>
      <c r="D2322" s="34" t="s">
        <v>104</v>
      </c>
      <c r="E2322" s="34" t="s">
        <v>93</v>
      </c>
      <c r="F2322" s="35">
        <v>24</v>
      </c>
      <c r="G2322" s="37">
        <v>81.17</v>
      </c>
      <c r="H2322" s="32">
        <f t="shared" si="42"/>
        <v>1948.08</v>
      </c>
    </row>
    <row r="2323" spans="2:8">
      <c r="B2323" s="28">
        <v>10340</v>
      </c>
      <c r="C2323" s="34" t="s">
        <v>261</v>
      </c>
      <c r="D2323" s="34" t="s">
        <v>104</v>
      </c>
      <c r="E2323" s="34" t="s">
        <v>93</v>
      </c>
      <c r="F2323" s="35">
        <v>39</v>
      </c>
      <c r="G2323" s="37">
        <v>59.16</v>
      </c>
      <c r="H2323" s="32">
        <f t="shared" si="42"/>
        <v>2307.2399999999998</v>
      </c>
    </row>
    <row r="2324" spans="2:8">
      <c r="B2324" s="28">
        <v>10353</v>
      </c>
      <c r="C2324" s="34" t="s">
        <v>100</v>
      </c>
      <c r="D2324" s="34" t="s">
        <v>104</v>
      </c>
      <c r="E2324" s="34" t="s">
        <v>93</v>
      </c>
      <c r="F2324" s="35">
        <v>40</v>
      </c>
      <c r="G2324" s="37">
        <v>44.51</v>
      </c>
      <c r="H2324" s="32">
        <f t="shared" si="42"/>
        <v>1780.3999999999999</v>
      </c>
    </row>
    <row r="2325" spans="2:8">
      <c r="B2325" s="28">
        <v>10361</v>
      </c>
      <c r="C2325" s="34" t="s">
        <v>168</v>
      </c>
      <c r="D2325" s="34" t="s">
        <v>119</v>
      </c>
      <c r="E2325" s="34" t="s">
        <v>93</v>
      </c>
      <c r="F2325" s="35">
        <v>49</v>
      </c>
      <c r="G2325" s="37">
        <v>72.33</v>
      </c>
      <c r="H2325" s="32">
        <f t="shared" si="42"/>
        <v>3544.17</v>
      </c>
    </row>
    <row r="2326" spans="2:8">
      <c r="B2326" s="28">
        <v>10375</v>
      </c>
      <c r="C2326" s="34" t="s">
        <v>109</v>
      </c>
      <c r="D2326" s="34" t="s">
        <v>119</v>
      </c>
      <c r="E2326" s="34" t="s">
        <v>93</v>
      </c>
      <c r="F2326" s="35">
        <v>44</v>
      </c>
      <c r="G2326" s="37">
        <v>82.26</v>
      </c>
      <c r="H2326" s="32">
        <f t="shared" si="42"/>
        <v>3619.44</v>
      </c>
    </row>
    <row r="2327" spans="2:8">
      <c r="B2327" s="28">
        <v>10388</v>
      </c>
      <c r="C2327" s="34" t="s">
        <v>100</v>
      </c>
      <c r="D2327" s="34" t="s">
        <v>119</v>
      </c>
      <c r="E2327" s="34" t="s">
        <v>93</v>
      </c>
      <c r="F2327" s="35">
        <v>35</v>
      </c>
      <c r="G2327" s="37">
        <v>100</v>
      </c>
      <c r="H2327" s="32">
        <f t="shared" si="42"/>
        <v>3500</v>
      </c>
    </row>
    <row r="2328" spans="2:8">
      <c r="B2328" s="28">
        <v>10398</v>
      </c>
      <c r="C2328" s="34" t="s">
        <v>109</v>
      </c>
      <c r="D2328" s="34" t="s">
        <v>104</v>
      </c>
      <c r="E2328" s="34" t="s">
        <v>93</v>
      </c>
      <c r="F2328" s="35">
        <v>22</v>
      </c>
      <c r="G2328" s="37">
        <v>67.41</v>
      </c>
      <c r="H2328" s="32">
        <f t="shared" si="42"/>
        <v>1483.02</v>
      </c>
    </row>
    <row r="2329" spans="2:8">
      <c r="B2329" s="28">
        <v>10401</v>
      </c>
      <c r="C2329" s="34" t="s">
        <v>100</v>
      </c>
      <c r="D2329" s="34" t="s">
        <v>119</v>
      </c>
      <c r="E2329" s="34" t="s">
        <v>518</v>
      </c>
      <c r="F2329" s="35">
        <v>62</v>
      </c>
      <c r="G2329" s="37">
        <v>77.73</v>
      </c>
      <c r="H2329" s="32">
        <f t="shared" si="42"/>
        <v>4819.26</v>
      </c>
    </row>
    <row r="2330" spans="2:8">
      <c r="B2330" s="28">
        <v>10416</v>
      </c>
      <c r="C2330" s="34" t="s">
        <v>352</v>
      </c>
      <c r="D2330" s="34" t="s">
        <v>104</v>
      </c>
      <c r="E2330" s="34" t="s">
        <v>93</v>
      </c>
      <c r="F2330" s="35">
        <v>26</v>
      </c>
      <c r="G2330" s="37">
        <v>61.22</v>
      </c>
      <c r="H2330" s="32">
        <f t="shared" si="42"/>
        <v>1591.72</v>
      </c>
    </row>
    <row r="2331" spans="2:8">
      <c r="B2331" s="28">
        <v>10108</v>
      </c>
      <c r="C2331" s="34" t="s">
        <v>552</v>
      </c>
      <c r="D2331" s="34" t="s">
        <v>119</v>
      </c>
      <c r="E2331" s="34" t="s">
        <v>93</v>
      </c>
      <c r="F2331" s="35">
        <v>31</v>
      </c>
      <c r="G2331" s="37">
        <v>100</v>
      </c>
      <c r="H2331" s="32">
        <f t="shared" si="42"/>
        <v>3100</v>
      </c>
    </row>
    <row r="2332" spans="2:8">
      <c r="B2332" s="28">
        <v>10121</v>
      </c>
      <c r="C2332" s="34" t="s">
        <v>109</v>
      </c>
      <c r="D2332" s="34" t="s">
        <v>104</v>
      </c>
      <c r="E2332" s="34" t="s">
        <v>93</v>
      </c>
      <c r="F2332" s="35">
        <v>25</v>
      </c>
      <c r="G2332" s="37">
        <v>86.74</v>
      </c>
      <c r="H2332" s="32">
        <f t="shared" si="42"/>
        <v>2168.5</v>
      </c>
    </row>
    <row r="2333" spans="2:8">
      <c r="B2333" s="28">
        <v>10135</v>
      </c>
      <c r="C2333" s="34" t="s">
        <v>100</v>
      </c>
      <c r="D2333" s="34" t="s">
        <v>104</v>
      </c>
      <c r="E2333" s="34" t="s">
        <v>93</v>
      </c>
      <c r="F2333" s="35">
        <v>30</v>
      </c>
      <c r="G2333" s="37">
        <v>89.8</v>
      </c>
      <c r="H2333" s="32">
        <f t="shared" si="42"/>
        <v>2694</v>
      </c>
    </row>
    <row r="2334" spans="2:8">
      <c r="B2334" s="28">
        <v>10145</v>
      </c>
      <c r="C2334" s="34" t="s">
        <v>100</v>
      </c>
      <c r="D2334" s="34" t="s">
        <v>119</v>
      </c>
      <c r="E2334" s="34" t="s">
        <v>93</v>
      </c>
      <c r="F2334" s="35">
        <v>27</v>
      </c>
      <c r="G2334" s="37">
        <v>100</v>
      </c>
      <c r="H2334" s="32">
        <f t="shared" si="42"/>
        <v>2700</v>
      </c>
    </row>
    <row r="2335" spans="2:8">
      <c r="B2335" s="28">
        <v>10159</v>
      </c>
      <c r="C2335" s="34" t="s">
        <v>100</v>
      </c>
      <c r="D2335" s="34" t="s">
        <v>104</v>
      </c>
      <c r="E2335" s="34" t="s">
        <v>93</v>
      </c>
      <c r="F2335" s="35">
        <v>23</v>
      </c>
      <c r="G2335" s="37">
        <v>100</v>
      </c>
      <c r="H2335" s="32">
        <f t="shared" si="42"/>
        <v>2300</v>
      </c>
    </row>
    <row r="2336" spans="2:8">
      <c r="B2336" s="28">
        <v>10169</v>
      </c>
      <c r="C2336" s="34" t="s">
        <v>168</v>
      </c>
      <c r="D2336" s="34" t="s">
        <v>119</v>
      </c>
      <c r="E2336" s="34" t="s">
        <v>93</v>
      </c>
      <c r="F2336" s="35">
        <v>34</v>
      </c>
      <c r="G2336" s="37">
        <v>100</v>
      </c>
      <c r="H2336" s="32">
        <f t="shared" si="42"/>
        <v>3400</v>
      </c>
    </row>
    <row r="2337" spans="2:8">
      <c r="B2337" s="28">
        <v>10180</v>
      </c>
      <c r="C2337" s="34" t="s">
        <v>109</v>
      </c>
      <c r="D2337" s="34" t="s">
        <v>104</v>
      </c>
      <c r="E2337" s="34" t="s">
        <v>93</v>
      </c>
      <c r="F2337" s="35">
        <v>22</v>
      </c>
      <c r="G2337" s="37">
        <v>100</v>
      </c>
      <c r="H2337" s="32">
        <f t="shared" si="42"/>
        <v>2200</v>
      </c>
    </row>
    <row r="2338" spans="2:8">
      <c r="B2338" s="28">
        <v>10190</v>
      </c>
      <c r="C2338" s="34" t="s">
        <v>261</v>
      </c>
      <c r="D2338" s="34" t="s">
        <v>119</v>
      </c>
      <c r="E2338" s="34" t="s">
        <v>93</v>
      </c>
      <c r="F2338" s="35">
        <v>42</v>
      </c>
      <c r="G2338" s="37">
        <v>85.72</v>
      </c>
      <c r="H2338" s="32">
        <f t="shared" si="42"/>
        <v>3600.24</v>
      </c>
    </row>
    <row r="2339" spans="2:8">
      <c r="B2339" s="28">
        <v>10211</v>
      </c>
      <c r="C2339" s="34" t="s">
        <v>109</v>
      </c>
      <c r="D2339" s="34" t="s">
        <v>119</v>
      </c>
      <c r="E2339" s="34" t="s">
        <v>93</v>
      </c>
      <c r="F2339" s="35">
        <v>37</v>
      </c>
      <c r="G2339" s="37">
        <v>100</v>
      </c>
      <c r="H2339" s="32">
        <f t="shared" si="42"/>
        <v>3700</v>
      </c>
    </row>
    <row r="2340" spans="2:8">
      <c r="B2340" s="28">
        <v>10224</v>
      </c>
      <c r="C2340" s="34" t="s">
        <v>109</v>
      </c>
      <c r="D2340" s="34" t="s">
        <v>119</v>
      </c>
      <c r="E2340" s="34" t="s">
        <v>93</v>
      </c>
      <c r="F2340" s="35">
        <v>30</v>
      </c>
      <c r="G2340" s="37">
        <v>100</v>
      </c>
      <c r="H2340" s="32">
        <f t="shared" si="42"/>
        <v>3000</v>
      </c>
    </row>
    <row r="2341" spans="2:8">
      <c r="B2341" s="28">
        <v>10237</v>
      </c>
      <c r="C2341" s="34" t="s">
        <v>100</v>
      </c>
      <c r="D2341" s="34" t="s">
        <v>119</v>
      </c>
      <c r="E2341" s="34" t="s">
        <v>93</v>
      </c>
      <c r="F2341" s="35">
        <v>27</v>
      </c>
      <c r="G2341" s="37">
        <v>100</v>
      </c>
      <c r="H2341" s="32">
        <f t="shared" si="42"/>
        <v>2700</v>
      </c>
    </row>
    <row r="2342" spans="2:8">
      <c r="B2342" s="28">
        <v>10252</v>
      </c>
      <c r="C2342" s="34" t="s">
        <v>109</v>
      </c>
      <c r="D2342" s="34" t="s">
        <v>104</v>
      </c>
      <c r="E2342" s="34" t="s">
        <v>93</v>
      </c>
      <c r="F2342" s="35">
        <v>25</v>
      </c>
      <c r="G2342" s="37">
        <v>100</v>
      </c>
      <c r="H2342" s="32">
        <f t="shared" si="42"/>
        <v>2500</v>
      </c>
    </row>
    <row r="2343" spans="2:8">
      <c r="B2343" s="28">
        <v>10264</v>
      </c>
      <c r="C2343" s="34" t="s">
        <v>100</v>
      </c>
      <c r="D2343" s="34" t="s">
        <v>119</v>
      </c>
      <c r="E2343" s="34" t="s">
        <v>93</v>
      </c>
      <c r="F2343" s="35">
        <v>34</v>
      </c>
      <c r="G2343" s="37">
        <v>97.97</v>
      </c>
      <c r="H2343" s="32">
        <f t="shared" si="42"/>
        <v>3330.98</v>
      </c>
    </row>
    <row r="2344" spans="2:8">
      <c r="B2344" s="28">
        <v>10276</v>
      </c>
      <c r="C2344" s="34" t="s">
        <v>100</v>
      </c>
      <c r="D2344" s="34" t="s">
        <v>119</v>
      </c>
      <c r="E2344" s="34" t="s">
        <v>93</v>
      </c>
      <c r="F2344" s="35">
        <v>38</v>
      </c>
      <c r="G2344" s="37">
        <v>100</v>
      </c>
      <c r="H2344" s="32">
        <f t="shared" si="42"/>
        <v>3800</v>
      </c>
    </row>
    <row r="2345" spans="2:8">
      <c r="B2345" s="28">
        <v>10285</v>
      </c>
      <c r="C2345" s="34" t="s">
        <v>100</v>
      </c>
      <c r="D2345" s="34" t="s">
        <v>104</v>
      </c>
      <c r="E2345" s="34" t="s">
        <v>93</v>
      </c>
      <c r="F2345" s="35">
        <v>26</v>
      </c>
      <c r="G2345" s="37">
        <v>100</v>
      </c>
      <c r="H2345" s="32">
        <f t="shared" si="42"/>
        <v>2600</v>
      </c>
    </row>
    <row r="2346" spans="2:8">
      <c r="B2346" s="28">
        <v>10299</v>
      </c>
      <c r="C2346" s="34" t="s">
        <v>208</v>
      </c>
      <c r="D2346" s="34" t="s">
        <v>119</v>
      </c>
      <c r="E2346" s="34" t="s">
        <v>93</v>
      </c>
      <c r="F2346" s="35">
        <v>38</v>
      </c>
      <c r="G2346" s="37">
        <v>100</v>
      </c>
      <c r="H2346" s="32">
        <f t="shared" si="42"/>
        <v>3800</v>
      </c>
    </row>
    <row r="2347" spans="2:8">
      <c r="B2347" s="28">
        <v>10309</v>
      </c>
      <c r="C2347" s="34" t="s">
        <v>149</v>
      </c>
      <c r="D2347" s="34" t="s">
        <v>119</v>
      </c>
      <c r="E2347" s="34" t="s">
        <v>93</v>
      </c>
      <c r="F2347" s="35">
        <v>50</v>
      </c>
      <c r="G2347" s="37">
        <v>84.7</v>
      </c>
      <c r="H2347" s="32">
        <f t="shared" si="42"/>
        <v>4235</v>
      </c>
    </row>
    <row r="2348" spans="2:8">
      <c r="B2348" s="28">
        <v>10319</v>
      </c>
      <c r="C2348" s="34" t="s">
        <v>100</v>
      </c>
      <c r="D2348" s="34" t="s">
        <v>104</v>
      </c>
      <c r="E2348" s="34" t="s">
        <v>93</v>
      </c>
      <c r="F2348" s="35">
        <v>22</v>
      </c>
      <c r="G2348" s="37">
        <v>100</v>
      </c>
      <c r="H2348" s="32">
        <f t="shared" si="42"/>
        <v>2200</v>
      </c>
    </row>
    <row r="2349" spans="2:8">
      <c r="B2349" s="28">
        <v>10331</v>
      </c>
      <c r="C2349" s="34" t="s">
        <v>100</v>
      </c>
      <c r="D2349" s="34" t="s">
        <v>119</v>
      </c>
      <c r="E2349" s="34" t="s">
        <v>93</v>
      </c>
      <c r="F2349" s="35">
        <v>32</v>
      </c>
      <c r="G2349" s="37">
        <v>100</v>
      </c>
      <c r="H2349" s="32">
        <f t="shared" si="42"/>
        <v>3200</v>
      </c>
    </row>
    <row r="2350" spans="2:8">
      <c r="B2350" s="28">
        <v>10341</v>
      </c>
      <c r="C2350" s="34" t="s">
        <v>229</v>
      </c>
      <c r="D2350" s="34" t="s">
        <v>104</v>
      </c>
      <c r="E2350" s="34" t="s">
        <v>93</v>
      </c>
      <c r="F2350" s="35">
        <v>31</v>
      </c>
      <c r="G2350" s="37">
        <v>71.02</v>
      </c>
      <c r="H2350" s="32">
        <f t="shared" si="42"/>
        <v>2201.62</v>
      </c>
    </row>
    <row r="2351" spans="2:8">
      <c r="B2351" s="28">
        <v>10355</v>
      </c>
      <c r="C2351" s="34" t="s">
        <v>261</v>
      </c>
      <c r="D2351" s="34" t="s">
        <v>119</v>
      </c>
      <c r="E2351" s="34" t="s">
        <v>93</v>
      </c>
      <c r="F2351" s="35">
        <v>40</v>
      </c>
      <c r="G2351" s="37">
        <v>100</v>
      </c>
      <c r="H2351" s="32">
        <f t="shared" si="42"/>
        <v>4000</v>
      </c>
    </row>
    <row r="2352" spans="2:8">
      <c r="B2352" s="28">
        <v>10365</v>
      </c>
      <c r="C2352" s="34" t="s">
        <v>100</v>
      </c>
      <c r="D2352" s="34" t="s">
        <v>119</v>
      </c>
      <c r="E2352" s="34" t="s">
        <v>93</v>
      </c>
      <c r="F2352" s="35">
        <v>22</v>
      </c>
      <c r="G2352" s="37">
        <v>100</v>
      </c>
      <c r="H2352" s="32">
        <f t="shared" si="42"/>
        <v>2200</v>
      </c>
    </row>
    <row r="2353" spans="2:8">
      <c r="B2353" s="28">
        <v>10375</v>
      </c>
      <c r="C2353" s="34" t="s">
        <v>109</v>
      </c>
      <c r="D2353" s="34" t="s">
        <v>119</v>
      </c>
      <c r="E2353" s="34" t="s">
        <v>93</v>
      </c>
      <c r="F2353" s="35">
        <v>41</v>
      </c>
      <c r="G2353" s="37">
        <v>100</v>
      </c>
      <c r="H2353" s="32">
        <f t="shared" si="42"/>
        <v>4100</v>
      </c>
    </row>
    <row r="2354" spans="2:8">
      <c r="B2354" s="28">
        <v>10390</v>
      </c>
      <c r="C2354" s="34" t="s">
        <v>100</v>
      </c>
      <c r="D2354" s="34" t="s">
        <v>104</v>
      </c>
      <c r="E2354" s="34" t="s">
        <v>93</v>
      </c>
      <c r="F2354" s="35">
        <v>45</v>
      </c>
      <c r="G2354" s="37">
        <v>48.98</v>
      </c>
      <c r="H2354" s="32">
        <f t="shared" si="42"/>
        <v>2204.1</v>
      </c>
    </row>
    <row r="2355" spans="2:8">
      <c r="B2355" s="28">
        <v>10403</v>
      </c>
      <c r="C2355" s="34" t="s">
        <v>252</v>
      </c>
      <c r="D2355" s="34" t="s">
        <v>119</v>
      </c>
      <c r="E2355" s="34" t="s">
        <v>93</v>
      </c>
      <c r="F2355" s="35">
        <v>45</v>
      </c>
      <c r="G2355" s="37">
        <v>100</v>
      </c>
      <c r="H2355" s="32">
        <f t="shared" si="42"/>
        <v>4500</v>
      </c>
    </row>
    <row r="2356" spans="2:8">
      <c r="B2356" s="28">
        <v>10106</v>
      </c>
      <c r="C2356" s="34" t="s">
        <v>352</v>
      </c>
      <c r="D2356" s="34" t="s">
        <v>104</v>
      </c>
      <c r="E2356" s="34" t="s">
        <v>93</v>
      </c>
      <c r="F2356" s="35">
        <v>39</v>
      </c>
      <c r="G2356" s="37">
        <v>40.15</v>
      </c>
      <c r="H2356" s="32">
        <f t="shared" si="42"/>
        <v>1565.85</v>
      </c>
    </row>
    <row r="2357" spans="2:8">
      <c r="B2357" s="28">
        <v>10120</v>
      </c>
      <c r="C2357" s="34" t="s">
        <v>168</v>
      </c>
      <c r="D2357" s="34" t="s">
        <v>104</v>
      </c>
      <c r="E2357" s="34" t="s">
        <v>93</v>
      </c>
      <c r="F2357" s="35">
        <v>49</v>
      </c>
      <c r="G2357" s="37">
        <v>50.62</v>
      </c>
      <c r="H2357" s="32">
        <f t="shared" si="42"/>
        <v>2480.3799999999997</v>
      </c>
    </row>
    <row r="2358" spans="2:8">
      <c r="B2358" s="28">
        <v>10133</v>
      </c>
      <c r="C2358" s="34" t="s">
        <v>261</v>
      </c>
      <c r="D2358" s="34" t="s">
        <v>104</v>
      </c>
      <c r="E2358" s="34" t="s">
        <v>93</v>
      </c>
      <c r="F2358" s="35">
        <v>27</v>
      </c>
      <c r="G2358" s="37">
        <v>50.19</v>
      </c>
      <c r="H2358" s="32">
        <f t="shared" si="42"/>
        <v>1355.1299999999999</v>
      </c>
    </row>
    <row r="2359" spans="2:8">
      <c r="B2359" s="28">
        <v>10143</v>
      </c>
      <c r="C2359" s="34" t="s">
        <v>100</v>
      </c>
      <c r="D2359" s="34" t="s">
        <v>104</v>
      </c>
      <c r="E2359" s="34" t="s">
        <v>93</v>
      </c>
      <c r="F2359" s="35">
        <v>34</v>
      </c>
      <c r="G2359" s="37">
        <v>36.659999999999997</v>
      </c>
      <c r="H2359" s="32">
        <f t="shared" si="42"/>
        <v>1246.4399999999998</v>
      </c>
    </row>
    <row r="2360" spans="2:8">
      <c r="B2360" s="28">
        <v>10156</v>
      </c>
      <c r="C2360" s="34" t="s">
        <v>261</v>
      </c>
      <c r="D2360" s="34" t="s">
        <v>104</v>
      </c>
      <c r="E2360" s="34" t="s">
        <v>93</v>
      </c>
      <c r="F2360" s="35">
        <v>20</v>
      </c>
      <c r="G2360" s="37">
        <v>41.02</v>
      </c>
      <c r="H2360" s="32">
        <f t="shared" si="42"/>
        <v>820.40000000000009</v>
      </c>
    </row>
    <row r="2361" spans="2:8">
      <c r="B2361" s="28">
        <v>10168</v>
      </c>
      <c r="C2361" s="34" t="s">
        <v>100</v>
      </c>
      <c r="D2361" s="34" t="s">
        <v>104</v>
      </c>
      <c r="E2361" s="34" t="s">
        <v>93</v>
      </c>
      <c r="F2361" s="35">
        <v>48</v>
      </c>
      <c r="G2361" s="37">
        <v>51.93</v>
      </c>
      <c r="H2361" s="32">
        <f t="shared" si="42"/>
        <v>2492.64</v>
      </c>
    </row>
    <row r="2362" spans="2:8">
      <c r="B2362" s="28">
        <v>10199</v>
      </c>
      <c r="C2362" s="34" t="s">
        <v>100</v>
      </c>
      <c r="D2362" s="34" t="s">
        <v>104</v>
      </c>
      <c r="E2362" s="34" t="s">
        <v>93</v>
      </c>
      <c r="F2362" s="35">
        <v>29</v>
      </c>
      <c r="G2362" s="37">
        <v>38.4</v>
      </c>
      <c r="H2362" s="32">
        <f t="shared" si="42"/>
        <v>1113.5999999999999</v>
      </c>
    </row>
    <row r="2363" spans="2:8">
      <c r="B2363" s="28">
        <v>10210</v>
      </c>
      <c r="C2363" s="34" t="s">
        <v>288</v>
      </c>
      <c r="D2363" s="34" t="s">
        <v>104</v>
      </c>
      <c r="E2363" s="34" t="s">
        <v>93</v>
      </c>
      <c r="F2363" s="35">
        <v>43</v>
      </c>
      <c r="G2363" s="37">
        <v>41.02</v>
      </c>
      <c r="H2363" s="32">
        <f t="shared" si="42"/>
        <v>1763.8600000000001</v>
      </c>
    </row>
    <row r="2364" spans="2:8">
      <c r="B2364" s="28">
        <v>10223</v>
      </c>
      <c r="C2364" s="34" t="s">
        <v>168</v>
      </c>
      <c r="D2364" s="34" t="s">
        <v>104</v>
      </c>
      <c r="E2364" s="34" t="s">
        <v>93</v>
      </c>
      <c r="F2364" s="35">
        <v>41</v>
      </c>
      <c r="G2364" s="37">
        <v>46.26</v>
      </c>
      <c r="H2364" s="32">
        <f t="shared" si="42"/>
        <v>1896.6599999999999</v>
      </c>
    </row>
    <row r="2365" spans="2:8">
      <c r="B2365" s="28">
        <v>10235</v>
      </c>
      <c r="C2365" s="34" t="s">
        <v>322</v>
      </c>
      <c r="D2365" s="34" t="s">
        <v>104</v>
      </c>
      <c r="E2365" s="34" t="s">
        <v>93</v>
      </c>
      <c r="F2365" s="35">
        <v>41</v>
      </c>
      <c r="G2365" s="37">
        <v>35.35</v>
      </c>
      <c r="H2365" s="32">
        <f t="shared" si="42"/>
        <v>1449.3500000000001</v>
      </c>
    </row>
    <row r="2366" spans="2:8">
      <c r="B2366" s="28">
        <v>10250</v>
      </c>
      <c r="C2366" s="34" t="s">
        <v>100</v>
      </c>
      <c r="D2366" s="34" t="s">
        <v>104</v>
      </c>
      <c r="E2366" s="34" t="s">
        <v>93</v>
      </c>
      <c r="F2366" s="35">
        <v>36</v>
      </c>
      <c r="G2366" s="37">
        <v>51.93</v>
      </c>
      <c r="H2366" s="32">
        <f t="shared" si="42"/>
        <v>1869.48</v>
      </c>
    </row>
    <row r="2367" spans="2:8">
      <c r="B2367" s="28">
        <v>10262</v>
      </c>
      <c r="C2367" s="34" t="s">
        <v>261</v>
      </c>
      <c r="D2367" s="34" t="s">
        <v>104</v>
      </c>
      <c r="E2367" s="34" t="s">
        <v>444</v>
      </c>
      <c r="F2367" s="35">
        <v>49</v>
      </c>
      <c r="G2367" s="37">
        <v>37.97</v>
      </c>
      <c r="H2367" s="32">
        <f t="shared" si="42"/>
        <v>1860.53</v>
      </c>
    </row>
    <row r="2368" spans="2:8">
      <c r="B2368" s="28">
        <v>10275</v>
      </c>
      <c r="C2368" s="34" t="s">
        <v>109</v>
      </c>
      <c r="D2368" s="34" t="s">
        <v>104</v>
      </c>
      <c r="E2368" s="34" t="s">
        <v>93</v>
      </c>
      <c r="F2368" s="35">
        <v>38</v>
      </c>
      <c r="G2368" s="37">
        <v>45.39</v>
      </c>
      <c r="H2368" s="32">
        <f t="shared" si="42"/>
        <v>1724.82</v>
      </c>
    </row>
    <row r="2369" spans="2:8">
      <c r="B2369" s="28">
        <v>10284</v>
      </c>
      <c r="C2369" s="34" t="s">
        <v>149</v>
      </c>
      <c r="D2369" s="34" t="s">
        <v>104</v>
      </c>
      <c r="E2369" s="34" t="s">
        <v>93</v>
      </c>
      <c r="F2369" s="35">
        <v>33</v>
      </c>
      <c r="G2369" s="37">
        <v>51.93</v>
      </c>
      <c r="H2369" s="32">
        <f t="shared" si="42"/>
        <v>1713.69</v>
      </c>
    </row>
    <row r="2370" spans="2:8">
      <c r="B2370" s="28">
        <v>10296</v>
      </c>
      <c r="C2370" s="34" t="s">
        <v>566</v>
      </c>
      <c r="D2370" s="34" t="s">
        <v>104</v>
      </c>
      <c r="E2370" s="34" t="s">
        <v>93</v>
      </c>
      <c r="F2370" s="35">
        <v>26</v>
      </c>
      <c r="G2370" s="37">
        <v>48.44</v>
      </c>
      <c r="H2370" s="32">
        <f t="shared" si="42"/>
        <v>1259.44</v>
      </c>
    </row>
    <row r="2371" spans="2:8">
      <c r="B2371" s="28">
        <v>10308</v>
      </c>
      <c r="C2371" s="34" t="s">
        <v>100</v>
      </c>
      <c r="D2371" s="34" t="s">
        <v>104</v>
      </c>
      <c r="E2371" s="34" t="s">
        <v>93</v>
      </c>
      <c r="F2371" s="35">
        <v>47</v>
      </c>
      <c r="G2371" s="37">
        <v>43.64</v>
      </c>
      <c r="H2371" s="32">
        <f t="shared" si="42"/>
        <v>2051.08</v>
      </c>
    </row>
    <row r="2372" spans="2:8">
      <c r="B2372" s="28">
        <v>10316</v>
      </c>
      <c r="C2372" s="34" t="s">
        <v>252</v>
      </c>
      <c r="D2372" s="34" t="s">
        <v>104</v>
      </c>
      <c r="E2372" s="34" t="s">
        <v>93</v>
      </c>
      <c r="F2372" s="35">
        <v>34</v>
      </c>
      <c r="G2372" s="37">
        <v>47.57</v>
      </c>
      <c r="H2372" s="32">
        <f t="shared" si="42"/>
        <v>1617.38</v>
      </c>
    </row>
    <row r="2373" spans="2:8">
      <c r="B2373" s="28">
        <v>10328</v>
      </c>
      <c r="C2373" s="34" t="s">
        <v>352</v>
      </c>
      <c r="D2373" s="34" t="s">
        <v>104</v>
      </c>
      <c r="E2373" s="34" t="s">
        <v>93</v>
      </c>
      <c r="F2373" s="35">
        <v>34</v>
      </c>
      <c r="G2373" s="37">
        <v>51.93</v>
      </c>
      <c r="H2373" s="32">
        <f t="shared" ref="H2373:H2436" si="43">F2373*G2373</f>
        <v>1765.62</v>
      </c>
    </row>
    <row r="2374" spans="2:8">
      <c r="B2374" s="28">
        <v>10340</v>
      </c>
      <c r="C2374" s="34" t="s">
        <v>261</v>
      </c>
      <c r="D2374" s="34" t="s">
        <v>104</v>
      </c>
      <c r="E2374" s="34" t="s">
        <v>93</v>
      </c>
      <c r="F2374" s="35">
        <v>40</v>
      </c>
      <c r="G2374" s="37">
        <v>50.62</v>
      </c>
      <c r="H2374" s="32">
        <f t="shared" si="43"/>
        <v>2024.8</v>
      </c>
    </row>
    <row r="2375" spans="2:8">
      <c r="B2375" s="28">
        <v>10353</v>
      </c>
      <c r="C2375" s="34" t="s">
        <v>100</v>
      </c>
      <c r="D2375" s="34" t="s">
        <v>119</v>
      </c>
      <c r="E2375" s="34" t="s">
        <v>93</v>
      </c>
      <c r="F2375" s="35">
        <v>40</v>
      </c>
      <c r="G2375" s="37">
        <v>82.21</v>
      </c>
      <c r="H2375" s="32">
        <f t="shared" si="43"/>
        <v>3288.3999999999996</v>
      </c>
    </row>
    <row r="2376" spans="2:8">
      <c r="B2376" s="28">
        <v>10361</v>
      </c>
      <c r="C2376" s="34" t="s">
        <v>168</v>
      </c>
      <c r="D2376" s="34" t="s">
        <v>104</v>
      </c>
      <c r="E2376" s="34" t="s">
        <v>93</v>
      </c>
      <c r="F2376" s="35">
        <v>33</v>
      </c>
      <c r="G2376" s="37">
        <v>82.59</v>
      </c>
      <c r="H2376" s="32">
        <f t="shared" si="43"/>
        <v>2725.4700000000003</v>
      </c>
    </row>
    <row r="2377" spans="2:8">
      <c r="B2377" s="28">
        <v>10375</v>
      </c>
      <c r="C2377" s="34" t="s">
        <v>109</v>
      </c>
      <c r="D2377" s="34" t="s">
        <v>119</v>
      </c>
      <c r="E2377" s="34" t="s">
        <v>93</v>
      </c>
      <c r="F2377" s="35">
        <v>49</v>
      </c>
      <c r="G2377" s="37">
        <v>65.8</v>
      </c>
      <c r="H2377" s="32">
        <f t="shared" si="43"/>
        <v>3224.2</v>
      </c>
    </row>
    <row r="2378" spans="2:8">
      <c r="B2378" s="28">
        <v>10388</v>
      </c>
      <c r="C2378" s="34" t="s">
        <v>100</v>
      </c>
      <c r="D2378" s="34" t="s">
        <v>119</v>
      </c>
      <c r="E2378" s="34" t="s">
        <v>93</v>
      </c>
      <c r="F2378" s="35">
        <v>27</v>
      </c>
      <c r="G2378" s="37">
        <v>100</v>
      </c>
      <c r="H2378" s="32">
        <f t="shared" si="43"/>
        <v>2700</v>
      </c>
    </row>
    <row r="2379" spans="2:8">
      <c r="B2379" s="28">
        <v>10398</v>
      </c>
      <c r="C2379" s="34" t="s">
        <v>109</v>
      </c>
      <c r="D2379" s="34" t="s">
        <v>104</v>
      </c>
      <c r="E2379" s="34" t="s">
        <v>93</v>
      </c>
      <c r="F2379" s="35">
        <v>49</v>
      </c>
      <c r="G2379" s="37">
        <v>36.659999999999997</v>
      </c>
      <c r="H2379" s="32">
        <f t="shared" si="43"/>
        <v>1796.34</v>
      </c>
    </row>
    <row r="2380" spans="2:8">
      <c r="B2380" s="28">
        <v>10401</v>
      </c>
      <c r="C2380" s="34" t="s">
        <v>100</v>
      </c>
      <c r="D2380" s="34" t="s">
        <v>104</v>
      </c>
      <c r="E2380" s="34" t="s">
        <v>518</v>
      </c>
      <c r="F2380" s="35">
        <v>56</v>
      </c>
      <c r="G2380" s="37">
        <v>35.35</v>
      </c>
      <c r="H2380" s="32">
        <f t="shared" si="43"/>
        <v>1979.6000000000001</v>
      </c>
    </row>
    <row r="2381" spans="2:8">
      <c r="B2381" s="28">
        <v>10416</v>
      </c>
      <c r="C2381" s="34" t="s">
        <v>352</v>
      </c>
      <c r="D2381" s="34" t="s">
        <v>104</v>
      </c>
      <c r="E2381" s="34" t="s">
        <v>93</v>
      </c>
      <c r="F2381" s="35">
        <v>37</v>
      </c>
      <c r="G2381" s="37">
        <v>51.93</v>
      </c>
      <c r="H2381" s="32">
        <f t="shared" si="43"/>
        <v>1921.41</v>
      </c>
    </row>
    <row r="2382" spans="2:8">
      <c r="B2382" s="28">
        <v>10104</v>
      </c>
      <c r="C2382" s="34" t="s">
        <v>261</v>
      </c>
      <c r="D2382" s="34" t="s">
        <v>119</v>
      </c>
      <c r="E2382" s="34" t="s">
        <v>93</v>
      </c>
      <c r="F2382" s="35">
        <v>33</v>
      </c>
      <c r="G2382" s="37">
        <v>100</v>
      </c>
      <c r="H2382" s="32">
        <f t="shared" si="43"/>
        <v>3300</v>
      </c>
    </row>
    <row r="2383" spans="2:8">
      <c r="B2383" s="28">
        <v>10115</v>
      </c>
      <c r="C2383" s="34" t="s">
        <v>100</v>
      </c>
      <c r="D2383" s="34" t="s">
        <v>104</v>
      </c>
      <c r="E2383" s="34" t="s">
        <v>93</v>
      </c>
      <c r="F2383" s="35">
        <v>27</v>
      </c>
      <c r="G2383" s="37">
        <v>100</v>
      </c>
      <c r="H2383" s="32">
        <f t="shared" si="43"/>
        <v>2700</v>
      </c>
    </row>
    <row r="2384" spans="2:8">
      <c r="B2384" s="28">
        <v>10127</v>
      </c>
      <c r="C2384" s="34" t="s">
        <v>100</v>
      </c>
      <c r="D2384" s="34" t="s">
        <v>119</v>
      </c>
      <c r="E2384" s="34" t="s">
        <v>93</v>
      </c>
      <c r="F2384" s="35">
        <v>46</v>
      </c>
      <c r="G2384" s="37">
        <v>100</v>
      </c>
      <c r="H2384" s="32">
        <f t="shared" si="43"/>
        <v>4600</v>
      </c>
    </row>
    <row r="2385" spans="2:8">
      <c r="B2385" s="28">
        <v>10141</v>
      </c>
      <c r="C2385" s="34" t="s">
        <v>208</v>
      </c>
      <c r="D2385" s="34" t="s">
        <v>119</v>
      </c>
      <c r="E2385" s="34" t="s">
        <v>93</v>
      </c>
      <c r="F2385" s="35">
        <v>44</v>
      </c>
      <c r="G2385" s="37">
        <v>100</v>
      </c>
      <c r="H2385" s="32">
        <f t="shared" si="43"/>
        <v>4400</v>
      </c>
    </row>
    <row r="2386" spans="2:8">
      <c r="B2386" s="28">
        <v>10151</v>
      </c>
      <c r="C2386" s="34" t="s">
        <v>208</v>
      </c>
      <c r="D2386" s="34" t="s">
        <v>119</v>
      </c>
      <c r="E2386" s="34" t="s">
        <v>93</v>
      </c>
      <c r="F2386" s="35">
        <v>26</v>
      </c>
      <c r="G2386" s="37">
        <v>100</v>
      </c>
      <c r="H2386" s="32">
        <f t="shared" si="43"/>
        <v>2600</v>
      </c>
    </row>
    <row r="2387" spans="2:8">
      <c r="B2387" s="28">
        <v>10165</v>
      </c>
      <c r="C2387" s="34" t="s">
        <v>287</v>
      </c>
      <c r="D2387" s="34" t="s">
        <v>119</v>
      </c>
      <c r="E2387" s="34" t="s">
        <v>93</v>
      </c>
      <c r="F2387" s="35">
        <v>48</v>
      </c>
      <c r="G2387" s="37">
        <v>94.92</v>
      </c>
      <c r="H2387" s="32">
        <f t="shared" si="43"/>
        <v>4556.16</v>
      </c>
    </row>
    <row r="2388" spans="2:8">
      <c r="B2388" s="28">
        <v>10176</v>
      </c>
      <c r="C2388" s="34" t="s">
        <v>352</v>
      </c>
      <c r="D2388" s="34" t="s">
        <v>119</v>
      </c>
      <c r="E2388" s="34" t="s">
        <v>93</v>
      </c>
      <c r="F2388" s="35">
        <v>23</v>
      </c>
      <c r="G2388" s="37">
        <v>100</v>
      </c>
      <c r="H2388" s="32">
        <f t="shared" si="43"/>
        <v>2300</v>
      </c>
    </row>
    <row r="2389" spans="2:8">
      <c r="B2389" s="28">
        <v>10184</v>
      </c>
      <c r="C2389" s="34" t="s">
        <v>261</v>
      </c>
      <c r="D2389" s="34" t="s">
        <v>119</v>
      </c>
      <c r="E2389" s="34" t="s">
        <v>93</v>
      </c>
      <c r="F2389" s="35">
        <v>45</v>
      </c>
      <c r="G2389" s="37">
        <v>100</v>
      </c>
      <c r="H2389" s="32">
        <f t="shared" si="43"/>
        <v>4500</v>
      </c>
    </row>
    <row r="2390" spans="2:8">
      <c r="B2390" s="28">
        <v>10195</v>
      </c>
      <c r="C2390" s="34" t="s">
        <v>100</v>
      </c>
      <c r="D2390" s="34" t="s">
        <v>119</v>
      </c>
      <c r="E2390" s="34" t="s">
        <v>93</v>
      </c>
      <c r="F2390" s="35">
        <v>49</v>
      </c>
      <c r="G2390" s="37">
        <v>100</v>
      </c>
      <c r="H2390" s="32">
        <f t="shared" si="43"/>
        <v>4900</v>
      </c>
    </row>
    <row r="2391" spans="2:8">
      <c r="B2391" s="28">
        <v>10207</v>
      </c>
      <c r="C2391" s="34" t="s">
        <v>100</v>
      </c>
      <c r="D2391" s="34" t="s">
        <v>104</v>
      </c>
      <c r="E2391" s="34" t="s">
        <v>93</v>
      </c>
      <c r="F2391" s="35">
        <v>28</v>
      </c>
      <c r="G2391" s="37">
        <v>94.92</v>
      </c>
      <c r="H2391" s="32">
        <f t="shared" si="43"/>
        <v>2657.76</v>
      </c>
    </row>
    <row r="2392" spans="2:8">
      <c r="B2392" s="28">
        <v>10220</v>
      </c>
      <c r="C2392" s="34" t="s">
        <v>614</v>
      </c>
      <c r="D2392" s="34" t="s">
        <v>119</v>
      </c>
      <c r="E2392" s="34" t="s">
        <v>93</v>
      </c>
      <c r="F2392" s="35">
        <v>37</v>
      </c>
      <c r="G2392" s="37">
        <v>100</v>
      </c>
      <c r="H2392" s="32">
        <f t="shared" si="43"/>
        <v>3700</v>
      </c>
    </row>
    <row r="2393" spans="2:8">
      <c r="B2393" s="28">
        <v>10230</v>
      </c>
      <c r="C2393" s="34" t="s">
        <v>566</v>
      </c>
      <c r="D2393" s="34" t="s">
        <v>119</v>
      </c>
      <c r="E2393" s="34" t="s">
        <v>93</v>
      </c>
      <c r="F2393" s="35">
        <v>34</v>
      </c>
      <c r="G2393" s="37">
        <v>100</v>
      </c>
      <c r="H2393" s="32">
        <f t="shared" si="43"/>
        <v>3400</v>
      </c>
    </row>
    <row r="2394" spans="2:8">
      <c r="B2394" s="28">
        <v>10246</v>
      </c>
      <c r="C2394" s="34" t="s">
        <v>261</v>
      </c>
      <c r="D2394" s="34" t="s">
        <v>104</v>
      </c>
      <c r="E2394" s="34" t="s">
        <v>93</v>
      </c>
      <c r="F2394" s="35">
        <v>22</v>
      </c>
      <c r="G2394" s="37">
        <v>100</v>
      </c>
      <c r="H2394" s="32">
        <f t="shared" si="43"/>
        <v>2200</v>
      </c>
    </row>
    <row r="2395" spans="2:8">
      <c r="B2395" s="28">
        <v>10259</v>
      </c>
      <c r="C2395" s="34" t="s">
        <v>287</v>
      </c>
      <c r="D2395" s="34" t="s">
        <v>119</v>
      </c>
      <c r="E2395" s="34" t="s">
        <v>93</v>
      </c>
      <c r="F2395" s="35">
        <v>29</v>
      </c>
      <c r="G2395" s="37">
        <v>100</v>
      </c>
      <c r="H2395" s="32">
        <f t="shared" si="43"/>
        <v>2900</v>
      </c>
    </row>
    <row r="2396" spans="2:8">
      <c r="B2396" s="28">
        <v>10271</v>
      </c>
      <c r="C2396" s="34" t="s">
        <v>100</v>
      </c>
      <c r="D2396" s="34" t="s">
        <v>119</v>
      </c>
      <c r="E2396" s="34" t="s">
        <v>93</v>
      </c>
      <c r="F2396" s="35">
        <v>34</v>
      </c>
      <c r="G2396" s="37">
        <v>98.39</v>
      </c>
      <c r="H2396" s="32">
        <f t="shared" si="43"/>
        <v>3345.26</v>
      </c>
    </row>
    <row r="2397" spans="2:8">
      <c r="B2397" s="28">
        <v>10282</v>
      </c>
      <c r="C2397" s="34" t="s">
        <v>100</v>
      </c>
      <c r="D2397" s="34" t="s">
        <v>119</v>
      </c>
      <c r="E2397" s="34" t="s">
        <v>93</v>
      </c>
      <c r="F2397" s="35">
        <v>38</v>
      </c>
      <c r="G2397" s="37">
        <v>100</v>
      </c>
      <c r="H2397" s="32">
        <f t="shared" si="43"/>
        <v>3800</v>
      </c>
    </row>
    <row r="2398" spans="2:8">
      <c r="B2398" s="28">
        <v>10292</v>
      </c>
      <c r="C2398" s="34" t="s">
        <v>100</v>
      </c>
      <c r="D2398" s="34" t="s">
        <v>119</v>
      </c>
      <c r="E2398" s="34" t="s">
        <v>93</v>
      </c>
      <c r="F2398" s="35">
        <v>41</v>
      </c>
      <c r="G2398" s="37">
        <v>100</v>
      </c>
      <c r="H2398" s="32">
        <f t="shared" si="43"/>
        <v>4100</v>
      </c>
    </row>
    <row r="2399" spans="2:8">
      <c r="B2399" s="28">
        <v>10305</v>
      </c>
      <c r="C2399" s="34" t="s">
        <v>100</v>
      </c>
      <c r="D2399" s="34" t="s">
        <v>119</v>
      </c>
      <c r="E2399" s="34" t="s">
        <v>93</v>
      </c>
      <c r="F2399" s="35">
        <v>42</v>
      </c>
      <c r="G2399" s="37">
        <v>100</v>
      </c>
      <c r="H2399" s="32">
        <f t="shared" si="43"/>
        <v>4200</v>
      </c>
    </row>
    <row r="2400" spans="2:8">
      <c r="B2400" s="28">
        <v>10314</v>
      </c>
      <c r="C2400" s="34" t="s">
        <v>429</v>
      </c>
      <c r="D2400" s="34" t="s">
        <v>119</v>
      </c>
      <c r="E2400" s="34" t="s">
        <v>93</v>
      </c>
      <c r="F2400" s="35">
        <v>28</v>
      </c>
      <c r="G2400" s="37">
        <v>100</v>
      </c>
      <c r="H2400" s="32">
        <f t="shared" si="43"/>
        <v>2800</v>
      </c>
    </row>
    <row r="2401" spans="2:8">
      <c r="B2401" s="28">
        <v>10325</v>
      </c>
      <c r="C2401" s="34" t="s">
        <v>149</v>
      </c>
      <c r="D2401" s="34" t="s">
        <v>119</v>
      </c>
      <c r="E2401" s="34" t="s">
        <v>93</v>
      </c>
      <c r="F2401" s="35">
        <v>38</v>
      </c>
      <c r="G2401" s="37">
        <v>100</v>
      </c>
      <c r="H2401" s="32">
        <f t="shared" si="43"/>
        <v>3800</v>
      </c>
    </row>
    <row r="2402" spans="2:8">
      <c r="B2402" s="28">
        <v>10336</v>
      </c>
      <c r="C2402" s="34" t="s">
        <v>109</v>
      </c>
      <c r="D2402" s="34" t="s">
        <v>119</v>
      </c>
      <c r="E2402" s="34" t="s">
        <v>93</v>
      </c>
      <c r="F2402" s="35">
        <v>23</v>
      </c>
      <c r="G2402" s="37">
        <v>100</v>
      </c>
      <c r="H2402" s="32">
        <f t="shared" si="43"/>
        <v>2300</v>
      </c>
    </row>
    <row r="2403" spans="2:8">
      <c r="B2403" s="28">
        <v>10350</v>
      </c>
      <c r="C2403" s="34" t="s">
        <v>261</v>
      </c>
      <c r="D2403" s="34" t="s">
        <v>104</v>
      </c>
      <c r="E2403" s="34" t="s">
        <v>93</v>
      </c>
      <c r="F2403" s="35">
        <v>31</v>
      </c>
      <c r="G2403" s="37">
        <v>71.400000000000006</v>
      </c>
      <c r="H2403" s="32">
        <f t="shared" si="43"/>
        <v>2213.4</v>
      </c>
    </row>
    <row r="2404" spans="2:8">
      <c r="B2404" s="28">
        <v>10359</v>
      </c>
      <c r="C2404" s="34" t="s">
        <v>109</v>
      </c>
      <c r="D2404" s="34" t="s">
        <v>119</v>
      </c>
      <c r="E2404" s="34" t="s">
        <v>93</v>
      </c>
      <c r="F2404" s="35">
        <v>46</v>
      </c>
      <c r="G2404" s="37">
        <v>100</v>
      </c>
      <c r="H2404" s="32">
        <f t="shared" si="43"/>
        <v>4600</v>
      </c>
    </row>
    <row r="2405" spans="2:8">
      <c r="B2405" s="28">
        <v>10371</v>
      </c>
      <c r="C2405" s="34" t="s">
        <v>100</v>
      </c>
      <c r="D2405" s="34" t="s">
        <v>104</v>
      </c>
      <c r="E2405" s="34" t="s">
        <v>93</v>
      </c>
      <c r="F2405" s="35">
        <v>48</v>
      </c>
      <c r="G2405" s="37">
        <v>56.55</v>
      </c>
      <c r="H2405" s="32">
        <f t="shared" si="43"/>
        <v>2714.3999999999996</v>
      </c>
    </row>
    <row r="2406" spans="2:8">
      <c r="B2406" s="28">
        <v>10383</v>
      </c>
      <c r="C2406" s="34" t="s">
        <v>261</v>
      </c>
      <c r="D2406" s="34" t="s">
        <v>119</v>
      </c>
      <c r="E2406" s="34" t="s">
        <v>93</v>
      </c>
      <c r="F2406" s="35">
        <v>29</v>
      </c>
      <c r="G2406" s="37">
        <v>100</v>
      </c>
      <c r="H2406" s="32">
        <f t="shared" si="43"/>
        <v>2900</v>
      </c>
    </row>
    <row r="2407" spans="2:8">
      <c r="B2407" s="28">
        <v>10395</v>
      </c>
      <c r="C2407" s="34" t="s">
        <v>109</v>
      </c>
      <c r="D2407" s="34" t="s">
        <v>119</v>
      </c>
      <c r="E2407" s="34" t="s">
        <v>93</v>
      </c>
      <c r="F2407" s="35">
        <v>46</v>
      </c>
      <c r="G2407" s="37">
        <v>100</v>
      </c>
      <c r="H2407" s="32">
        <f t="shared" si="43"/>
        <v>4600</v>
      </c>
    </row>
    <row r="2408" spans="2:8">
      <c r="B2408" s="28">
        <v>10412</v>
      </c>
      <c r="C2408" s="34" t="s">
        <v>261</v>
      </c>
      <c r="D2408" s="34" t="s">
        <v>119</v>
      </c>
      <c r="E2408" s="34" t="s">
        <v>93</v>
      </c>
      <c r="F2408" s="35">
        <v>26</v>
      </c>
      <c r="G2408" s="37">
        <v>100</v>
      </c>
      <c r="H2408" s="32">
        <f t="shared" si="43"/>
        <v>2600</v>
      </c>
    </row>
    <row r="2409" spans="2:8">
      <c r="B2409" s="28">
        <v>10425</v>
      </c>
      <c r="C2409" s="34" t="s">
        <v>109</v>
      </c>
      <c r="D2409" s="34" t="s">
        <v>104</v>
      </c>
      <c r="E2409" s="34" t="s">
        <v>400</v>
      </c>
      <c r="F2409" s="35">
        <v>18</v>
      </c>
      <c r="G2409" s="37">
        <v>100</v>
      </c>
      <c r="H2409" s="32">
        <f t="shared" si="43"/>
        <v>1800</v>
      </c>
    </row>
    <row r="2410" spans="2:8">
      <c r="B2410" s="28">
        <v>10104</v>
      </c>
      <c r="C2410" s="34" t="s">
        <v>261</v>
      </c>
      <c r="D2410" s="34" t="s">
        <v>104</v>
      </c>
      <c r="E2410" s="34" t="s">
        <v>93</v>
      </c>
      <c r="F2410" s="35">
        <v>32</v>
      </c>
      <c r="G2410" s="37">
        <v>53.31</v>
      </c>
      <c r="H2410" s="32">
        <f t="shared" si="43"/>
        <v>1705.92</v>
      </c>
    </row>
    <row r="2411" spans="2:8">
      <c r="B2411" s="28">
        <v>10117</v>
      </c>
      <c r="C2411" s="34" t="s">
        <v>287</v>
      </c>
      <c r="D2411" s="34" t="s">
        <v>104</v>
      </c>
      <c r="E2411" s="34" t="s">
        <v>93</v>
      </c>
      <c r="F2411" s="35">
        <v>21</v>
      </c>
      <c r="G2411" s="37">
        <v>49.21</v>
      </c>
      <c r="H2411" s="32">
        <f t="shared" si="43"/>
        <v>1033.4100000000001</v>
      </c>
    </row>
    <row r="2412" spans="2:8">
      <c r="B2412" s="28">
        <v>10127</v>
      </c>
      <c r="C2412" s="34" t="s">
        <v>100</v>
      </c>
      <c r="D2412" s="34" t="s">
        <v>119</v>
      </c>
      <c r="E2412" s="34" t="s">
        <v>93</v>
      </c>
      <c r="F2412" s="35">
        <v>46</v>
      </c>
      <c r="G2412" s="37">
        <v>69.12</v>
      </c>
      <c r="H2412" s="32">
        <f t="shared" si="43"/>
        <v>3179.5200000000004</v>
      </c>
    </row>
    <row r="2413" spans="2:8">
      <c r="B2413" s="28">
        <v>10142</v>
      </c>
      <c r="C2413" s="34" t="s">
        <v>100</v>
      </c>
      <c r="D2413" s="34" t="s">
        <v>104</v>
      </c>
      <c r="E2413" s="34" t="s">
        <v>93</v>
      </c>
      <c r="F2413" s="35">
        <v>42</v>
      </c>
      <c r="G2413" s="37">
        <v>49.79</v>
      </c>
      <c r="H2413" s="32">
        <f t="shared" si="43"/>
        <v>2091.1799999999998</v>
      </c>
    </row>
    <row r="2414" spans="2:8">
      <c r="B2414" s="28">
        <v>10153</v>
      </c>
      <c r="C2414" s="34" t="s">
        <v>261</v>
      </c>
      <c r="D2414" s="34" t="s">
        <v>104</v>
      </c>
      <c r="E2414" s="34" t="s">
        <v>93</v>
      </c>
      <c r="F2414" s="35">
        <v>31</v>
      </c>
      <c r="G2414" s="37">
        <v>57.41</v>
      </c>
      <c r="H2414" s="32">
        <f t="shared" si="43"/>
        <v>1779.7099999999998</v>
      </c>
    </row>
    <row r="2415" spans="2:8">
      <c r="B2415" s="28">
        <v>10165</v>
      </c>
      <c r="C2415" s="34" t="s">
        <v>287</v>
      </c>
      <c r="D2415" s="34" t="s">
        <v>104</v>
      </c>
      <c r="E2415" s="34" t="s">
        <v>93</v>
      </c>
      <c r="F2415" s="35">
        <v>38</v>
      </c>
      <c r="G2415" s="37">
        <v>66.78</v>
      </c>
      <c r="H2415" s="32">
        <f t="shared" si="43"/>
        <v>2537.64</v>
      </c>
    </row>
    <row r="2416" spans="2:8">
      <c r="B2416" s="28">
        <v>10176</v>
      </c>
      <c r="C2416" s="34" t="s">
        <v>352</v>
      </c>
      <c r="D2416" s="34" t="s">
        <v>104</v>
      </c>
      <c r="E2416" s="34" t="s">
        <v>93</v>
      </c>
      <c r="F2416" s="35">
        <v>38</v>
      </c>
      <c r="G2416" s="37">
        <v>64.44</v>
      </c>
      <c r="H2416" s="32">
        <f t="shared" si="43"/>
        <v>2448.7199999999998</v>
      </c>
    </row>
    <row r="2417" spans="2:8">
      <c r="B2417" s="28">
        <v>10185</v>
      </c>
      <c r="C2417" s="34" t="s">
        <v>100</v>
      </c>
      <c r="D2417" s="34" t="s">
        <v>104</v>
      </c>
      <c r="E2417" s="34" t="s">
        <v>93</v>
      </c>
      <c r="F2417" s="35">
        <v>20</v>
      </c>
      <c r="G2417" s="37">
        <v>48.62</v>
      </c>
      <c r="H2417" s="32">
        <f t="shared" si="43"/>
        <v>972.4</v>
      </c>
    </row>
    <row r="2418" spans="2:8">
      <c r="B2418" s="28">
        <v>10196</v>
      </c>
      <c r="C2418" s="34" t="s">
        <v>100</v>
      </c>
      <c r="D2418" s="34" t="s">
        <v>104</v>
      </c>
      <c r="E2418" s="34" t="s">
        <v>93</v>
      </c>
      <c r="F2418" s="35">
        <v>46</v>
      </c>
      <c r="G2418" s="37">
        <v>62.09</v>
      </c>
      <c r="H2418" s="32">
        <f t="shared" si="43"/>
        <v>2856.1400000000003</v>
      </c>
    </row>
    <row r="2419" spans="2:8">
      <c r="B2419" s="28">
        <v>10208</v>
      </c>
      <c r="C2419" s="34" t="s">
        <v>109</v>
      </c>
      <c r="D2419" s="34" t="s">
        <v>104</v>
      </c>
      <c r="E2419" s="34" t="s">
        <v>93</v>
      </c>
      <c r="F2419" s="35">
        <v>30</v>
      </c>
      <c r="G2419" s="37">
        <v>65.61</v>
      </c>
      <c r="H2419" s="32">
        <f t="shared" si="43"/>
        <v>1968.3</v>
      </c>
    </row>
    <row r="2420" spans="2:8">
      <c r="B2420" s="28">
        <v>10220</v>
      </c>
      <c r="C2420" s="34" t="s">
        <v>614</v>
      </c>
      <c r="D2420" s="34" t="s">
        <v>104</v>
      </c>
      <c r="E2420" s="34" t="s">
        <v>93</v>
      </c>
      <c r="F2420" s="35">
        <v>30</v>
      </c>
      <c r="G2420" s="37">
        <v>68.540000000000006</v>
      </c>
      <c r="H2420" s="32">
        <f t="shared" si="43"/>
        <v>2056.2000000000003</v>
      </c>
    </row>
    <row r="2421" spans="2:8">
      <c r="B2421" s="28">
        <v>10230</v>
      </c>
      <c r="C2421" s="34" t="s">
        <v>566</v>
      </c>
      <c r="D2421" s="34" t="s">
        <v>104</v>
      </c>
      <c r="E2421" s="34" t="s">
        <v>93</v>
      </c>
      <c r="F2421" s="35">
        <v>43</v>
      </c>
      <c r="G2421" s="37">
        <v>52.14</v>
      </c>
      <c r="H2421" s="32">
        <f t="shared" si="43"/>
        <v>2242.02</v>
      </c>
    </row>
    <row r="2422" spans="2:8">
      <c r="B2422" s="28">
        <v>10247</v>
      </c>
      <c r="C2422" s="34" t="s">
        <v>208</v>
      </c>
      <c r="D2422" s="34" t="s">
        <v>119</v>
      </c>
      <c r="E2422" s="34" t="s">
        <v>93</v>
      </c>
      <c r="F2422" s="35">
        <v>49</v>
      </c>
      <c r="G2422" s="37">
        <v>63.85</v>
      </c>
      <c r="H2422" s="32">
        <f t="shared" si="43"/>
        <v>3128.65</v>
      </c>
    </row>
    <row r="2423" spans="2:8">
      <c r="B2423" s="28">
        <v>10272</v>
      </c>
      <c r="C2423" s="34" t="s">
        <v>100</v>
      </c>
      <c r="D2423" s="34" t="s">
        <v>104</v>
      </c>
      <c r="E2423" s="34" t="s">
        <v>93</v>
      </c>
      <c r="F2423" s="35">
        <v>43</v>
      </c>
      <c r="G2423" s="37">
        <v>56.82</v>
      </c>
      <c r="H2423" s="32">
        <f t="shared" si="43"/>
        <v>2443.2600000000002</v>
      </c>
    </row>
    <row r="2424" spans="2:8">
      <c r="B2424" s="28">
        <v>10282</v>
      </c>
      <c r="C2424" s="34" t="s">
        <v>100</v>
      </c>
      <c r="D2424" s="34" t="s">
        <v>104</v>
      </c>
      <c r="E2424" s="34" t="s">
        <v>93</v>
      </c>
      <c r="F2424" s="35">
        <v>37</v>
      </c>
      <c r="G2424" s="37">
        <v>66.78</v>
      </c>
      <c r="H2424" s="32">
        <f t="shared" si="43"/>
        <v>2470.86</v>
      </c>
    </row>
    <row r="2425" spans="2:8">
      <c r="B2425" s="28">
        <v>10292</v>
      </c>
      <c r="C2425" s="34" t="s">
        <v>100</v>
      </c>
      <c r="D2425" s="34" t="s">
        <v>104</v>
      </c>
      <c r="E2425" s="34" t="s">
        <v>93</v>
      </c>
      <c r="F2425" s="35">
        <v>35</v>
      </c>
      <c r="G2425" s="37">
        <v>55.07</v>
      </c>
      <c r="H2425" s="32">
        <f t="shared" si="43"/>
        <v>1927.45</v>
      </c>
    </row>
    <row r="2426" spans="2:8">
      <c r="B2426" s="28">
        <v>10306</v>
      </c>
      <c r="C2426" s="34" t="s">
        <v>252</v>
      </c>
      <c r="D2426" s="34" t="s">
        <v>104</v>
      </c>
      <c r="E2426" s="34" t="s">
        <v>93</v>
      </c>
      <c r="F2426" s="35">
        <v>34</v>
      </c>
      <c r="G2426" s="37">
        <v>60.34</v>
      </c>
      <c r="H2426" s="32">
        <f t="shared" si="43"/>
        <v>2051.56</v>
      </c>
    </row>
    <row r="2427" spans="2:8">
      <c r="B2427" s="28">
        <v>10314</v>
      </c>
      <c r="C2427" s="34" t="s">
        <v>429</v>
      </c>
      <c r="D2427" s="34" t="s">
        <v>104</v>
      </c>
      <c r="E2427" s="34" t="s">
        <v>93</v>
      </c>
      <c r="F2427" s="35">
        <v>38</v>
      </c>
      <c r="G2427" s="37">
        <v>61.51</v>
      </c>
      <c r="H2427" s="32">
        <f t="shared" si="43"/>
        <v>2337.38</v>
      </c>
    </row>
    <row r="2428" spans="2:8">
      <c r="B2428" s="28">
        <v>10325</v>
      </c>
      <c r="C2428" s="34" t="s">
        <v>149</v>
      </c>
      <c r="D2428" s="34" t="s">
        <v>119</v>
      </c>
      <c r="E2428" s="34" t="s">
        <v>93</v>
      </c>
      <c r="F2428" s="35">
        <v>44</v>
      </c>
      <c r="G2428" s="37">
        <v>100</v>
      </c>
      <c r="H2428" s="32">
        <f t="shared" si="43"/>
        <v>4400</v>
      </c>
    </row>
    <row r="2429" spans="2:8">
      <c r="B2429" s="28">
        <v>10337</v>
      </c>
      <c r="C2429" s="34" t="s">
        <v>100</v>
      </c>
      <c r="D2429" s="34" t="s">
        <v>104</v>
      </c>
      <c r="E2429" s="34" t="s">
        <v>93</v>
      </c>
      <c r="F2429" s="35">
        <v>21</v>
      </c>
      <c r="G2429" s="37">
        <v>100</v>
      </c>
      <c r="H2429" s="32">
        <f t="shared" si="43"/>
        <v>2100</v>
      </c>
    </row>
    <row r="2430" spans="2:8">
      <c r="B2430" s="28">
        <v>10350</v>
      </c>
      <c r="C2430" s="34" t="s">
        <v>261</v>
      </c>
      <c r="D2430" s="34" t="s">
        <v>119</v>
      </c>
      <c r="E2430" s="34" t="s">
        <v>93</v>
      </c>
      <c r="F2430" s="35">
        <v>44</v>
      </c>
      <c r="G2430" s="37">
        <v>100</v>
      </c>
      <c r="H2430" s="32">
        <f t="shared" si="43"/>
        <v>4400</v>
      </c>
    </row>
    <row r="2431" spans="2:8">
      <c r="B2431" s="28">
        <v>10359</v>
      </c>
      <c r="C2431" s="34" t="s">
        <v>109</v>
      </c>
      <c r="D2431" s="34" t="s">
        <v>104</v>
      </c>
      <c r="E2431" s="34" t="s">
        <v>93</v>
      </c>
      <c r="F2431" s="35">
        <v>25</v>
      </c>
      <c r="G2431" s="37">
        <v>64.930000000000007</v>
      </c>
      <c r="H2431" s="32">
        <f t="shared" si="43"/>
        <v>1623.2500000000002</v>
      </c>
    </row>
    <row r="2432" spans="2:8">
      <c r="B2432" s="28">
        <v>10372</v>
      </c>
      <c r="C2432" s="34" t="s">
        <v>288</v>
      </c>
      <c r="D2432" s="34" t="s">
        <v>104</v>
      </c>
      <c r="E2432" s="34" t="s">
        <v>93</v>
      </c>
      <c r="F2432" s="35">
        <v>24</v>
      </c>
      <c r="G2432" s="37">
        <v>58.58</v>
      </c>
      <c r="H2432" s="32">
        <f t="shared" si="43"/>
        <v>1405.92</v>
      </c>
    </row>
    <row r="2433" spans="2:8">
      <c r="B2433" s="28">
        <v>10383</v>
      </c>
      <c r="C2433" s="34" t="s">
        <v>261</v>
      </c>
      <c r="D2433" s="34" t="s">
        <v>104</v>
      </c>
      <c r="E2433" s="34" t="s">
        <v>93</v>
      </c>
      <c r="F2433" s="35">
        <v>38</v>
      </c>
      <c r="G2433" s="37">
        <v>60.06</v>
      </c>
      <c r="H2433" s="32">
        <f t="shared" si="43"/>
        <v>2282.2800000000002</v>
      </c>
    </row>
    <row r="2434" spans="2:8">
      <c r="B2434" s="28">
        <v>10395</v>
      </c>
      <c r="C2434" s="34" t="s">
        <v>109</v>
      </c>
      <c r="D2434" s="34" t="s">
        <v>232</v>
      </c>
      <c r="E2434" s="34" t="s">
        <v>93</v>
      </c>
      <c r="F2434" s="35">
        <v>45</v>
      </c>
      <c r="G2434" s="37">
        <v>100</v>
      </c>
      <c r="H2434" s="32">
        <f t="shared" si="43"/>
        <v>4500</v>
      </c>
    </row>
    <row r="2435" spans="2:8">
      <c r="B2435" s="28">
        <v>10413</v>
      </c>
      <c r="C2435" s="34" t="s">
        <v>100</v>
      </c>
      <c r="D2435" s="34" t="s">
        <v>119</v>
      </c>
      <c r="E2435" s="34" t="s">
        <v>93</v>
      </c>
      <c r="F2435" s="35">
        <v>51</v>
      </c>
      <c r="G2435" s="37">
        <v>63.85</v>
      </c>
      <c r="H2435" s="32">
        <f t="shared" si="43"/>
        <v>3256.35</v>
      </c>
    </row>
    <row r="2436" spans="2:8">
      <c r="B2436" s="28">
        <v>10108</v>
      </c>
      <c r="C2436" s="34" t="s">
        <v>552</v>
      </c>
      <c r="D2436" s="34" t="s">
        <v>104</v>
      </c>
      <c r="E2436" s="34" t="s">
        <v>93</v>
      </c>
      <c r="F2436" s="35">
        <v>34</v>
      </c>
      <c r="G2436" s="37">
        <v>82.99</v>
      </c>
      <c r="H2436" s="32">
        <f t="shared" si="43"/>
        <v>2821.66</v>
      </c>
    </row>
    <row r="2437" spans="2:8">
      <c r="B2437" s="28">
        <v>10121</v>
      </c>
      <c r="C2437" s="34" t="s">
        <v>109</v>
      </c>
      <c r="D2437" s="34" t="s">
        <v>119</v>
      </c>
      <c r="E2437" s="34" t="s">
        <v>93</v>
      </c>
      <c r="F2437" s="35">
        <v>44</v>
      </c>
      <c r="G2437" s="37">
        <v>74.849999999999994</v>
      </c>
      <c r="H2437" s="32">
        <f t="shared" ref="H2437:H2500" si="44">F2437*G2437</f>
        <v>3293.3999999999996</v>
      </c>
    </row>
    <row r="2438" spans="2:8">
      <c r="B2438" s="28">
        <v>10135</v>
      </c>
      <c r="C2438" s="34" t="s">
        <v>100</v>
      </c>
      <c r="D2438" s="34" t="s">
        <v>119</v>
      </c>
      <c r="E2438" s="34" t="s">
        <v>93</v>
      </c>
      <c r="F2438" s="35">
        <v>44</v>
      </c>
      <c r="G2438" s="37">
        <v>96</v>
      </c>
      <c r="H2438" s="32">
        <f t="shared" si="44"/>
        <v>4224</v>
      </c>
    </row>
    <row r="2439" spans="2:8">
      <c r="B2439" s="28">
        <v>10145</v>
      </c>
      <c r="C2439" s="34" t="s">
        <v>100</v>
      </c>
      <c r="D2439" s="34" t="s">
        <v>119</v>
      </c>
      <c r="E2439" s="34" t="s">
        <v>93</v>
      </c>
      <c r="F2439" s="35">
        <v>38</v>
      </c>
      <c r="G2439" s="37">
        <v>81.36</v>
      </c>
      <c r="H2439" s="32">
        <f t="shared" si="44"/>
        <v>3091.68</v>
      </c>
    </row>
    <row r="2440" spans="2:8">
      <c r="B2440" s="28">
        <v>10159</v>
      </c>
      <c r="C2440" s="34" t="s">
        <v>100</v>
      </c>
      <c r="D2440" s="34" t="s">
        <v>104</v>
      </c>
      <c r="E2440" s="34" t="s">
        <v>93</v>
      </c>
      <c r="F2440" s="35">
        <v>31</v>
      </c>
      <c r="G2440" s="37">
        <v>71.599999999999994</v>
      </c>
      <c r="H2440" s="32">
        <f t="shared" si="44"/>
        <v>2219.6</v>
      </c>
    </row>
    <row r="2441" spans="2:8">
      <c r="B2441" s="28">
        <v>10169</v>
      </c>
      <c r="C2441" s="34" t="s">
        <v>168</v>
      </c>
      <c r="D2441" s="34" t="s">
        <v>119</v>
      </c>
      <c r="E2441" s="34" t="s">
        <v>93</v>
      </c>
      <c r="F2441" s="35">
        <v>48</v>
      </c>
      <c r="G2441" s="37">
        <v>80.55</v>
      </c>
      <c r="H2441" s="32">
        <f t="shared" si="44"/>
        <v>3866.3999999999996</v>
      </c>
    </row>
    <row r="2442" spans="2:8">
      <c r="B2442" s="28">
        <v>10180</v>
      </c>
      <c r="C2442" s="34" t="s">
        <v>109</v>
      </c>
      <c r="D2442" s="34" t="s">
        <v>104</v>
      </c>
      <c r="E2442" s="34" t="s">
        <v>93</v>
      </c>
      <c r="F2442" s="35">
        <v>21</v>
      </c>
      <c r="G2442" s="37">
        <v>93.56</v>
      </c>
      <c r="H2442" s="32">
        <f t="shared" si="44"/>
        <v>1964.76</v>
      </c>
    </row>
    <row r="2443" spans="2:8">
      <c r="B2443" s="28">
        <v>10190</v>
      </c>
      <c r="C2443" s="34" t="s">
        <v>261</v>
      </c>
      <c r="D2443" s="34" t="s">
        <v>104</v>
      </c>
      <c r="E2443" s="34" t="s">
        <v>93</v>
      </c>
      <c r="F2443" s="35">
        <v>40</v>
      </c>
      <c r="G2443" s="37">
        <v>66.72</v>
      </c>
      <c r="H2443" s="32">
        <f t="shared" si="44"/>
        <v>2668.8</v>
      </c>
    </row>
    <row r="2444" spans="2:8">
      <c r="B2444" s="28">
        <v>10211</v>
      </c>
      <c r="C2444" s="34" t="s">
        <v>109</v>
      </c>
      <c r="D2444" s="34" t="s">
        <v>119</v>
      </c>
      <c r="E2444" s="34" t="s">
        <v>93</v>
      </c>
      <c r="F2444" s="35">
        <v>40</v>
      </c>
      <c r="G2444" s="37">
        <v>80.55</v>
      </c>
      <c r="H2444" s="32">
        <f t="shared" si="44"/>
        <v>3222</v>
      </c>
    </row>
    <row r="2445" spans="2:8">
      <c r="B2445" s="28">
        <v>10224</v>
      </c>
      <c r="C2445" s="34" t="s">
        <v>109</v>
      </c>
      <c r="D2445" s="34" t="s">
        <v>119</v>
      </c>
      <c r="E2445" s="34" t="s">
        <v>93</v>
      </c>
      <c r="F2445" s="35">
        <v>50</v>
      </c>
      <c r="G2445" s="37">
        <v>77.290000000000006</v>
      </c>
      <c r="H2445" s="32">
        <f t="shared" si="44"/>
        <v>3864.5000000000005</v>
      </c>
    </row>
    <row r="2446" spans="2:8">
      <c r="B2446" s="28">
        <v>10237</v>
      </c>
      <c r="C2446" s="34" t="s">
        <v>100</v>
      </c>
      <c r="D2446" s="34" t="s">
        <v>104</v>
      </c>
      <c r="E2446" s="34" t="s">
        <v>93</v>
      </c>
      <c r="F2446" s="35">
        <v>20</v>
      </c>
      <c r="G2446" s="37">
        <v>68.34</v>
      </c>
      <c r="H2446" s="32">
        <f t="shared" si="44"/>
        <v>1366.8000000000002</v>
      </c>
    </row>
    <row r="2447" spans="2:8">
      <c r="B2447" s="28">
        <v>10252</v>
      </c>
      <c r="C2447" s="34" t="s">
        <v>109</v>
      </c>
      <c r="D2447" s="34" t="s">
        <v>119</v>
      </c>
      <c r="E2447" s="34" t="s">
        <v>93</v>
      </c>
      <c r="F2447" s="35">
        <v>48</v>
      </c>
      <c r="G2447" s="37">
        <v>72.41</v>
      </c>
      <c r="H2447" s="32">
        <f t="shared" si="44"/>
        <v>3475.68</v>
      </c>
    </row>
    <row r="2448" spans="2:8">
      <c r="B2448" s="28">
        <v>10264</v>
      </c>
      <c r="C2448" s="34" t="s">
        <v>100</v>
      </c>
      <c r="D2448" s="34" t="s">
        <v>119</v>
      </c>
      <c r="E2448" s="34" t="s">
        <v>93</v>
      </c>
      <c r="F2448" s="35">
        <v>47</v>
      </c>
      <c r="G2448" s="37">
        <v>89.5</v>
      </c>
      <c r="H2448" s="32">
        <f t="shared" si="44"/>
        <v>4206.5</v>
      </c>
    </row>
    <row r="2449" spans="2:8">
      <c r="B2449" s="28">
        <v>10276</v>
      </c>
      <c r="C2449" s="34" t="s">
        <v>100</v>
      </c>
      <c r="D2449" s="34" t="s">
        <v>104</v>
      </c>
      <c r="E2449" s="34" t="s">
        <v>93</v>
      </c>
      <c r="F2449" s="35">
        <v>21</v>
      </c>
      <c r="G2449" s="37">
        <v>70.78</v>
      </c>
      <c r="H2449" s="32">
        <f t="shared" si="44"/>
        <v>1486.38</v>
      </c>
    </row>
    <row r="2450" spans="2:8">
      <c r="B2450" s="28">
        <v>10285</v>
      </c>
      <c r="C2450" s="34" t="s">
        <v>100</v>
      </c>
      <c r="D2450" s="34" t="s">
        <v>119</v>
      </c>
      <c r="E2450" s="34" t="s">
        <v>93</v>
      </c>
      <c r="F2450" s="35">
        <v>39</v>
      </c>
      <c r="G2450" s="37">
        <v>78.92</v>
      </c>
      <c r="H2450" s="32">
        <f t="shared" si="44"/>
        <v>3077.88</v>
      </c>
    </row>
    <row r="2451" spans="2:8">
      <c r="B2451" s="28">
        <v>10299</v>
      </c>
      <c r="C2451" s="34" t="s">
        <v>208</v>
      </c>
      <c r="D2451" s="34" t="s">
        <v>119</v>
      </c>
      <c r="E2451" s="34" t="s">
        <v>93</v>
      </c>
      <c r="F2451" s="35">
        <v>44</v>
      </c>
      <c r="G2451" s="37">
        <v>80.55</v>
      </c>
      <c r="H2451" s="32">
        <f t="shared" si="44"/>
        <v>3544.2</v>
      </c>
    </row>
    <row r="2452" spans="2:8">
      <c r="B2452" s="28">
        <v>10309</v>
      </c>
      <c r="C2452" s="34" t="s">
        <v>149</v>
      </c>
      <c r="D2452" s="34" t="s">
        <v>104</v>
      </c>
      <c r="E2452" s="34" t="s">
        <v>93</v>
      </c>
      <c r="F2452" s="35">
        <v>28</v>
      </c>
      <c r="G2452" s="37">
        <v>88.68</v>
      </c>
      <c r="H2452" s="32">
        <f t="shared" si="44"/>
        <v>2483.04</v>
      </c>
    </row>
    <row r="2453" spans="2:8">
      <c r="B2453" s="28">
        <v>10319</v>
      </c>
      <c r="C2453" s="34" t="s">
        <v>100</v>
      </c>
      <c r="D2453" s="34" t="s">
        <v>119</v>
      </c>
      <c r="E2453" s="34" t="s">
        <v>93</v>
      </c>
      <c r="F2453" s="35">
        <v>45</v>
      </c>
      <c r="G2453" s="37">
        <v>77.290000000000006</v>
      </c>
      <c r="H2453" s="32">
        <f t="shared" si="44"/>
        <v>3478.05</v>
      </c>
    </row>
    <row r="2454" spans="2:8">
      <c r="B2454" s="28">
        <v>10331</v>
      </c>
      <c r="C2454" s="34" t="s">
        <v>100</v>
      </c>
      <c r="D2454" s="34" t="s">
        <v>119</v>
      </c>
      <c r="E2454" s="34" t="s">
        <v>93</v>
      </c>
      <c r="F2454" s="35">
        <v>20</v>
      </c>
      <c r="G2454" s="37">
        <v>100</v>
      </c>
      <c r="H2454" s="32">
        <f t="shared" si="44"/>
        <v>2000</v>
      </c>
    </row>
    <row r="2455" spans="2:8">
      <c r="B2455" s="28">
        <v>10341</v>
      </c>
      <c r="C2455" s="34" t="s">
        <v>229</v>
      </c>
      <c r="D2455" s="34" t="s">
        <v>119</v>
      </c>
      <c r="E2455" s="34" t="s">
        <v>93</v>
      </c>
      <c r="F2455" s="35">
        <v>38</v>
      </c>
      <c r="G2455" s="37">
        <v>100</v>
      </c>
      <c r="H2455" s="32">
        <f t="shared" si="44"/>
        <v>3800</v>
      </c>
    </row>
    <row r="2456" spans="2:8">
      <c r="B2456" s="28">
        <v>10356</v>
      </c>
      <c r="C2456" s="34" t="s">
        <v>109</v>
      </c>
      <c r="D2456" s="34" t="s">
        <v>119</v>
      </c>
      <c r="E2456" s="34" t="s">
        <v>93</v>
      </c>
      <c r="F2456" s="35">
        <v>26</v>
      </c>
      <c r="G2456" s="37">
        <v>100</v>
      </c>
      <c r="H2456" s="32">
        <f t="shared" si="44"/>
        <v>2600</v>
      </c>
    </row>
    <row r="2457" spans="2:8">
      <c r="B2457" s="28">
        <v>10365</v>
      </c>
      <c r="C2457" s="34" t="s">
        <v>100</v>
      </c>
      <c r="D2457" s="34" t="s">
        <v>119</v>
      </c>
      <c r="E2457" s="34" t="s">
        <v>93</v>
      </c>
      <c r="F2457" s="35">
        <v>44</v>
      </c>
      <c r="G2457" s="37">
        <v>100</v>
      </c>
      <c r="H2457" s="32">
        <f t="shared" si="44"/>
        <v>4400</v>
      </c>
    </row>
    <row r="2458" spans="2:8">
      <c r="B2458" s="28">
        <v>10375</v>
      </c>
      <c r="C2458" s="34" t="s">
        <v>109</v>
      </c>
      <c r="D2458" s="34" t="s">
        <v>119</v>
      </c>
      <c r="E2458" s="34" t="s">
        <v>93</v>
      </c>
      <c r="F2458" s="35">
        <v>49</v>
      </c>
      <c r="G2458" s="37">
        <v>100</v>
      </c>
      <c r="H2458" s="32">
        <f t="shared" si="44"/>
        <v>4900</v>
      </c>
    </row>
    <row r="2459" spans="2:8">
      <c r="B2459" s="28">
        <v>10390</v>
      </c>
      <c r="C2459" s="34" t="s">
        <v>100</v>
      </c>
      <c r="D2459" s="34" t="s">
        <v>119</v>
      </c>
      <c r="E2459" s="34" t="s">
        <v>93</v>
      </c>
      <c r="F2459" s="35">
        <v>22</v>
      </c>
      <c r="G2459" s="37">
        <v>100</v>
      </c>
      <c r="H2459" s="32">
        <f t="shared" si="44"/>
        <v>2200</v>
      </c>
    </row>
    <row r="2460" spans="2:8">
      <c r="B2460" s="28">
        <v>10403</v>
      </c>
      <c r="C2460" s="34" t="s">
        <v>252</v>
      </c>
      <c r="D2460" s="34" t="s">
        <v>104</v>
      </c>
      <c r="E2460" s="34" t="s">
        <v>93</v>
      </c>
      <c r="F2460" s="35">
        <v>31</v>
      </c>
      <c r="G2460" s="37">
        <v>68.34</v>
      </c>
      <c r="H2460" s="32">
        <f t="shared" si="44"/>
        <v>2118.54</v>
      </c>
    </row>
    <row r="2461" spans="2:8">
      <c r="B2461" s="28">
        <v>10105</v>
      </c>
      <c r="C2461" s="34" t="s">
        <v>429</v>
      </c>
      <c r="D2461" s="34" t="s">
        <v>104</v>
      </c>
      <c r="E2461" s="34" t="s">
        <v>93</v>
      </c>
      <c r="F2461" s="35">
        <v>41</v>
      </c>
      <c r="G2461" s="37">
        <v>70.67</v>
      </c>
      <c r="H2461" s="32">
        <f t="shared" si="44"/>
        <v>2897.4700000000003</v>
      </c>
    </row>
    <row r="2462" spans="2:8">
      <c r="B2462" s="28">
        <v>10119</v>
      </c>
      <c r="C2462" s="34" t="s">
        <v>229</v>
      </c>
      <c r="D2462" s="34" t="s">
        <v>104</v>
      </c>
      <c r="E2462" s="34" t="s">
        <v>93</v>
      </c>
      <c r="F2462" s="35">
        <v>25</v>
      </c>
      <c r="G2462" s="37">
        <v>76.67</v>
      </c>
      <c r="H2462" s="32">
        <f t="shared" si="44"/>
        <v>1916.75</v>
      </c>
    </row>
    <row r="2463" spans="2:8">
      <c r="B2463" s="28">
        <v>10129</v>
      </c>
      <c r="C2463" s="34" t="s">
        <v>252</v>
      </c>
      <c r="D2463" s="34" t="s">
        <v>104</v>
      </c>
      <c r="E2463" s="34" t="s">
        <v>93</v>
      </c>
      <c r="F2463" s="35">
        <v>31</v>
      </c>
      <c r="G2463" s="37">
        <v>60</v>
      </c>
      <c r="H2463" s="32">
        <f t="shared" si="44"/>
        <v>1860</v>
      </c>
    </row>
    <row r="2464" spans="2:8">
      <c r="B2464" s="28">
        <v>10142</v>
      </c>
      <c r="C2464" s="34" t="s">
        <v>100</v>
      </c>
      <c r="D2464" s="34" t="s">
        <v>104</v>
      </c>
      <c r="E2464" s="34" t="s">
        <v>93</v>
      </c>
      <c r="F2464" s="35">
        <v>41</v>
      </c>
      <c r="G2464" s="37">
        <v>64</v>
      </c>
      <c r="H2464" s="32">
        <f t="shared" si="44"/>
        <v>2624</v>
      </c>
    </row>
    <row r="2465" spans="2:8">
      <c r="B2465" s="28">
        <v>10153</v>
      </c>
      <c r="C2465" s="34" t="s">
        <v>261</v>
      </c>
      <c r="D2465" s="34" t="s">
        <v>104</v>
      </c>
      <c r="E2465" s="34" t="s">
        <v>93</v>
      </c>
      <c r="F2465" s="35">
        <v>43</v>
      </c>
      <c r="G2465" s="37">
        <v>64.67</v>
      </c>
      <c r="H2465" s="32">
        <f t="shared" si="44"/>
        <v>2780.81</v>
      </c>
    </row>
    <row r="2466" spans="2:8">
      <c r="B2466" s="28">
        <v>10167</v>
      </c>
      <c r="C2466" s="34" t="s">
        <v>273</v>
      </c>
      <c r="D2466" s="34" t="s">
        <v>119</v>
      </c>
      <c r="E2466" s="34" t="s">
        <v>444</v>
      </c>
      <c r="F2466" s="35">
        <v>43</v>
      </c>
      <c r="G2466" s="37">
        <v>75.34</v>
      </c>
      <c r="H2466" s="32">
        <f t="shared" si="44"/>
        <v>3239.6200000000003</v>
      </c>
    </row>
    <row r="2467" spans="2:8">
      <c r="B2467" s="28">
        <v>10177</v>
      </c>
      <c r="C2467" s="34" t="s">
        <v>261</v>
      </c>
      <c r="D2467" s="34" t="s">
        <v>104</v>
      </c>
      <c r="E2467" s="34" t="s">
        <v>93</v>
      </c>
      <c r="F2467" s="35">
        <v>24</v>
      </c>
      <c r="G2467" s="37">
        <v>76</v>
      </c>
      <c r="H2467" s="32">
        <f t="shared" si="44"/>
        <v>1824</v>
      </c>
    </row>
    <row r="2468" spans="2:8">
      <c r="B2468" s="28">
        <v>10185</v>
      </c>
      <c r="C2468" s="34" t="s">
        <v>100</v>
      </c>
      <c r="D2468" s="34" t="s">
        <v>104</v>
      </c>
      <c r="E2468" s="34" t="s">
        <v>93</v>
      </c>
      <c r="F2468" s="35">
        <v>21</v>
      </c>
      <c r="G2468" s="37">
        <v>54</v>
      </c>
      <c r="H2468" s="32">
        <f t="shared" si="44"/>
        <v>1134</v>
      </c>
    </row>
    <row r="2469" spans="2:8">
      <c r="B2469" s="28">
        <v>10197</v>
      </c>
      <c r="C2469" s="34" t="s">
        <v>261</v>
      </c>
      <c r="D2469" s="34" t="s">
        <v>104</v>
      </c>
      <c r="E2469" s="34" t="s">
        <v>93</v>
      </c>
      <c r="F2469" s="35">
        <v>23</v>
      </c>
      <c r="G2469" s="37">
        <v>64.67</v>
      </c>
      <c r="H2469" s="32">
        <f t="shared" si="44"/>
        <v>1487.41</v>
      </c>
    </row>
    <row r="2470" spans="2:8">
      <c r="B2470" s="28">
        <v>10208</v>
      </c>
      <c r="C2470" s="34" t="s">
        <v>109</v>
      </c>
      <c r="D2470" s="34" t="s">
        <v>104</v>
      </c>
      <c r="E2470" s="34" t="s">
        <v>93</v>
      </c>
      <c r="F2470" s="35">
        <v>38</v>
      </c>
      <c r="G2470" s="37">
        <v>74.67</v>
      </c>
      <c r="H2470" s="32">
        <f t="shared" si="44"/>
        <v>2837.46</v>
      </c>
    </row>
    <row r="2471" spans="2:8">
      <c r="B2471" s="28">
        <v>10222</v>
      </c>
      <c r="C2471" s="34" t="s">
        <v>100</v>
      </c>
      <c r="D2471" s="34" t="s">
        <v>104</v>
      </c>
      <c r="E2471" s="34" t="s">
        <v>93</v>
      </c>
      <c r="F2471" s="35">
        <v>31</v>
      </c>
      <c r="G2471" s="37">
        <v>62.67</v>
      </c>
      <c r="H2471" s="32">
        <f t="shared" si="44"/>
        <v>1942.77</v>
      </c>
    </row>
    <row r="2472" spans="2:8">
      <c r="B2472" s="28">
        <v>10233</v>
      </c>
      <c r="C2472" s="34" t="s">
        <v>100</v>
      </c>
      <c r="D2472" s="34" t="s">
        <v>104</v>
      </c>
      <c r="E2472" s="34" t="s">
        <v>93</v>
      </c>
      <c r="F2472" s="35">
        <v>36</v>
      </c>
      <c r="G2472" s="37">
        <v>70.67</v>
      </c>
      <c r="H2472" s="32">
        <f t="shared" si="44"/>
        <v>2544.12</v>
      </c>
    </row>
    <row r="2473" spans="2:8">
      <c r="B2473" s="28">
        <v>10248</v>
      </c>
      <c r="C2473" s="34" t="s">
        <v>100</v>
      </c>
      <c r="D2473" s="34" t="s">
        <v>104</v>
      </c>
      <c r="E2473" s="34" t="s">
        <v>444</v>
      </c>
      <c r="F2473" s="35">
        <v>36</v>
      </c>
      <c r="G2473" s="37">
        <v>71.34</v>
      </c>
      <c r="H2473" s="32">
        <f t="shared" si="44"/>
        <v>2568.2400000000002</v>
      </c>
    </row>
    <row r="2474" spans="2:8">
      <c r="B2474" s="28">
        <v>10261</v>
      </c>
      <c r="C2474" s="34" t="s">
        <v>322</v>
      </c>
      <c r="D2474" s="34" t="s">
        <v>104</v>
      </c>
      <c r="E2474" s="34" t="s">
        <v>93</v>
      </c>
      <c r="F2474" s="35">
        <v>34</v>
      </c>
      <c r="G2474" s="37">
        <v>62</v>
      </c>
      <c r="H2474" s="32">
        <f t="shared" si="44"/>
        <v>2108</v>
      </c>
    </row>
    <row r="2475" spans="2:8">
      <c r="B2475" s="28">
        <v>10273</v>
      </c>
      <c r="C2475" s="34" t="s">
        <v>480</v>
      </c>
      <c r="D2475" s="34" t="s">
        <v>104</v>
      </c>
      <c r="E2475" s="34" t="s">
        <v>93</v>
      </c>
      <c r="F2475" s="35">
        <v>21</v>
      </c>
      <c r="G2475" s="37">
        <v>65.34</v>
      </c>
      <c r="H2475" s="32">
        <f t="shared" si="44"/>
        <v>1372.14</v>
      </c>
    </row>
    <row r="2476" spans="2:8">
      <c r="B2476" s="28">
        <v>10283</v>
      </c>
      <c r="C2476" s="34" t="s">
        <v>322</v>
      </c>
      <c r="D2476" s="34" t="s">
        <v>119</v>
      </c>
      <c r="E2476" s="34" t="s">
        <v>93</v>
      </c>
      <c r="F2476" s="35">
        <v>45</v>
      </c>
      <c r="G2476" s="37">
        <v>78.67</v>
      </c>
      <c r="H2476" s="32">
        <f t="shared" si="44"/>
        <v>3540.15</v>
      </c>
    </row>
    <row r="2477" spans="2:8">
      <c r="B2477" s="28">
        <v>10295</v>
      </c>
      <c r="C2477" s="34" t="s">
        <v>100</v>
      </c>
      <c r="D2477" s="34" t="s">
        <v>104</v>
      </c>
      <c r="E2477" s="34" t="s">
        <v>93</v>
      </c>
      <c r="F2477" s="35">
        <v>26</v>
      </c>
      <c r="G2477" s="37">
        <v>75.34</v>
      </c>
      <c r="H2477" s="32">
        <f t="shared" si="44"/>
        <v>1958.8400000000001</v>
      </c>
    </row>
    <row r="2478" spans="2:8">
      <c r="B2478" s="28">
        <v>10306</v>
      </c>
      <c r="C2478" s="34" t="s">
        <v>252</v>
      </c>
      <c r="D2478" s="34" t="s">
        <v>104</v>
      </c>
      <c r="E2478" s="34" t="s">
        <v>93</v>
      </c>
      <c r="F2478" s="35">
        <v>50</v>
      </c>
      <c r="G2478" s="37">
        <v>54</v>
      </c>
      <c r="H2478" s="32">
        <f t="shared" si="44"/>
        <v>2700</v>
      </c>
    </row>
    <row r="2479" spans="2:8">
      <c r="B2479" s="28">
        <v>10315</v>
      </c>
      <c r="C2479" s="34" t="s">
        <v>109</v>
      </c>
      <c r="D2479" s="34" t="s">
        <v>104</v>
      </c>
      <c r="E2479" s="34" t="s">
        <v>93</v>
      </c>
      <c r="F2479" s="35">
        <v>41</v>
      </c>
      <c r="G2479" s="37">
        <v>62</v>
      </c>
      <c r="H2479" s="32">
        <f t="shared" si="44"/>
        <v>2542</v>
      </c>
    </row>
    <row r="2480" spans="2:8">
      <c r="B2480" s="28">
        <v>10326</v>
      </c>
      <c r="C2480" s="34" t="s">
        <v>273</v>
      </c>
      <c r="D2480" s="34" t="s">
        <v>104</v>
      </c>
      <c r="E2480" s="34" t="s">
        <v>93</v>
      </c>
      <c r="F2480" s="35">
        <v>39</v>
      </c>
      <c r="G2480" s="37">
        <v>60</v>
      </c>
      <c r="H2480" s="32">
        <f t="shared" si="44"/>
        <v>2340</v>
      </c>
    </row>
    <row r="2481" spans="2:8">
      <c r="B2481" s="28">
        <v>10339</v>
      </c>
      <c r="C2481" s="34" t="s">
        <v>288</v>
      </c>
      <c r="D2481" s="34" t="s">
        <v>104</v>
      </c>
      <c r="E2481" s="34" t="s">
        <v>93</v>
      </c>
      <c r="F2481" s="35">
        <v>22</v>
      </c>
      <c r="G2481" s="37">
        <v>100</v>
      </c>
      <c r="H2481" s="32">
        <f t="shared" si="44"/>
        <v>2200</v>
      </c>
    </row>
    <row r="2482" spans="2:8">
      <c r="B2482" s="28">
        <v>10350</v>
      </c>
      <c r="C2482" s="34" t="s">
        <v>261</v>
      </c>
      <c r="D2482" s="34" t="s">
        <v>119</v>
      </c>
      <c r="E2482" s="34" t="s">
        <v>93</v>
      </c>
      <c r="F2482" s="35">
        <v>46</v>
      </c>
      <c r="G2482" s="37">
        <v>76.67</v>
      </c>
      <c r="H2482" s="32">
        <f t="shared" si="44"/>
        <v>3526.82</v>
      </c>
    </row>
    <row r="2483" spans="2:8">
      <c r="B2483" s="28">
        <v>10373</v>
      </c>
      <c r="C2483" s="34" t="s">
        <v>208</v>
      </c>
      <c r="D2483" s="34" t="s">
        <v>119</v>
      </c>
      <c r="E2483" s="34" t="s">
        <v>93</v>
      </c>
      <c r="F2483" s="35">
        <v>44</v>
      </c>
      <c r="G2483" s="37">
        <v>100</v>
      </c>
      <c r="H2483" s="32">
        <f t="shared" si="44"/>
        <v>4400</v>
      </c>
    </row>
    <row r="2484" spans="2:8">
      <c r="B2484" s="28">
        <v>10385</v>
      </c>
      <c r="C2484" s="34" t="s">
        <v>100</v>
      </c>
      <c r="D2484" s="34" t="s">
        <v>104</v>
      </c>
      <c r="E2484" s="34" t="s">
        <v>93</v>
      </c>
      <c r="F2484" s="35">
        <v>25</v>
      </c>
      <c r="G2484" s="37">
        <v>77.34</v>
      </c>
      <c r="H2484" s="32">
        <f t="shared" si="44"/>
        <v>1933.5</v>
      </c>
    </row>
    <row r="2485" spans="2:8">
      <c r="B2485" s="28">
        <v>10396</v>
      </c>
      <c r="C2485" s="34" t="s">
        <v>100</v>
      </c>
      <c r="D2485" s="34" t="s">
        <v>104</v>
      </c>
      <c r="E2485" s="34" t="s">
        <v>93</v>
      </c>
      <c r="F2485" s="35">
        <v>39</v>
      </c>
      <c r="G2485" s="37">
        <v>66.67</v>
      </c>
      <c r="H2485" s="32">
        <f t="shared" si="44"/>
        <v>2600.13</v>
      </c>
    </row>
    <row r="2486" spans="2:8">
      <c r="B2486" s="28">
        <v>10414</v>
      </c>
      <c r="C2486" s="34" t="s">
        <v>100</v>
      </c>
      <c r="D2486" s="34" t="s">
        <v>104</v>
      </c>
      <c r="E2486" s="34" t="s">
        <v>518</v>
      </c>
      <c r="F2486" s="35">
        <v>37</v>
      </c>
      <c r="G2486" s="37">
        <v>71.34</v>
      </c>
      <c r="H2486" s="32">
        <f t="shared" si="44"/>
        <v>2639.58</v>
      </c>
    </row>
    <row r="2487" spans="2:8">
      <c r="B2487" s="28">
        <v>10106</v>
      </c>
      <c r="C2487" s="34" t="s">
        <v>352</v>
      </c>
      <c r="D2487" s="34" t="s">
        <v>119</v>
      </c>
      <c r="E2487" s="34" t="s">
        <v>93</v>
      </c>
      <c r="F2487" s="35">
        <v>31</v>
      </c>
      <c r="G2487" s="37">
        <v>100</v>
      </c>
      <c r="H2487" s="32">
        <f t="shared" si="44"/>
        <v>3100</v>
      </c>
    </row>
    <row r="2488" spans="2:8">
      <c r="B2488" s="28">
        <v>10120</v>
      </c>
      <c r="C2488" s="34" t="s">
        <v>168</v>
      </c>
      <c r="D2488" s="34" t="s">
        <v>119</v>
      </c>
      <c r="E2488" s="34" t="s">
        <v>93</v>
      </c>
      <c r="F2488" s="35">
        <v>47</v>
      </c>
      <c r="G2488" s="37">
        <v>82.21</v>
      </c>
      <c r="H2488" s="32">
        <f t="shared" si="44"/>
        <v>3863.87</v>
      </c>
    </row>
    <row r="2489" spans="2:8">
      <c r="B2489" s="28">
        <v>10133</v>
      </c>
      <c r="C2489" s="34" t="s">
        <v>261</v>
      </c>
      <c r="D2489" s="34" t="s">
        <v>104</v>
      </c>
      <c r="E2489" s="34" t="s">
        <v>93</v>
      </c>
      <c r="F2489" s="35">
        <v>24</v>
      </c>
      <c r="G2489" s="37">
        <v>77.64</v>
      </c>
      <c r="H2489" s="32">
        <f t="shared" si="44"/>
        <v>1863.3600000000001</v>
      </c>
    </row>
    <row r="2490" spans="2:8">
      <c r="B2490" s="28">
        <v>10143</v>
      </c>
      <c r="C2490" s="34" t="s">
        <v>100</v>
      </c>
      <c r="D2490" s="34" t="s">
        <v>119</v>
      </c>
      <c r="E2490" s="34" t="s">
        <v>93</v>
      </c>
      <c r="F2490" s="35">
        <v>36</v>
      </c>
      <c r="G2490" s="37">
        <v>100</v>
      </c>
      <c r="H2490" s="32">
        <f t="shared" si="44"/>
        <v>3600</v>
      </c>
    </row>
    <row r="2491" spans="2:8">
      <c r="B2491" s="28">
        <v>10156</v>
      </c>
      <c r="C2491" s="34" t="s">
        <v>261</v>
      </c>
      <c r="D2491" s="34" t="s">
        <v>119</v>
      </c>
      <c r="E2491" s="34" t="s">
        <v>93</v>
      </c>
      <c r="F2491" s="35">
        <v>48</v>
      </c>
      <c r="G2491" s="37">
        <v>100</v>
      </c>
      <c r="H2491" s="32">
        <f t="shared" si="44"/>
        <v>4800</v>
      </c>
    </row>
    <row r="2492" spans="2:8">
      <c r="B2492" s="28">
        <v>10168</v>
      </c>
      <c r="C2492" s="34" t="s">
        <v>100</v>
      </c>
      <c r="D2492" s="34" t="s">
        <v>104</v>
      </c>
      <c r="E2492" s="34" t="s">
        <v>93</v>
      </c>
      <c r="F2492" s="35">
        <v>28</v>
      </c>
      <c r="G2492" s="37">
        <v>98.65</v>
      </c>
      <c r="H2492" s="32">
        <f t="shared" si="44"/>
        <v>2762.2000000000003</v>
      </c>
    </row>
    <row r="2493" spans="2:8">
      <c r="B2493" s="28">
        <v>10199</v>
      </c>
      <c r="C2493" s="34" t="s">
        <v>100</v>
      </c>
      <c r="D2493" s="34" t="s">
        <v>119</v>
      </c>
      <c r="E2493" s="34" t="s">
        <v>93</v>
      </c>
      <c r="F2493" s="35">
        <v>48</v>
      </c>
      <c r="G2493" s="37">
        <v>83.12</v>
      </c>
      <c r="H2493" s="32">
        <f t="shared" si="44"/>
        <v>3989.76</v>
      </c>
    </row>
    <row r="2494" spans="2:8">
      <c r="B2494" s="28">
        <v>10210</v>
      </c>
      <c r="C2494" s="34" t="s">
        <v>288</v>
      </c>
      <c r="D2494" s="34" t="s">
        <v>104</v>
      </c>
      <c r="E2494" s="34" t="s">
        <v>93</v>
      </c>
      <c r="F2494" s="35">
        <v>21</v>
      </c>
      <c r="G2494" s="37">
        <v>78.55</v>
      </c>
      <c r="H2494" s="32">
        <f t="shared" si="44"/>
        <v>1649.55</v>
      </c>
    </row>
    <row r="2495" spans="2:8">
      <c r="B2495" s="28">
        <v>10223</v>
      </c>
      <c r="C2495" s="34" t="s">
        <v>168</v>
      </c>
      <c r="D2495" s="34" t="s">
        <v>104</v>
      </c>
      <c r="E2495" s="34" t="s">
        <v>93</v>
      </c>
      <c r="F2495" s="35">
        <v>25</v>
      </c>
      <c r="G2495" s="37">
        <v>100</v>
      </c>
      <c r="H2495" s="32">
        <f t="shared" si="44"/>
        <v>2500</v>
      </c>
    </row>
    <row r="2496" spans="2:8">
      <c r="B2496" s="28">
        <v>10235</v>
      </c>
      <c r="C2496" s="34" t="s">
        <v>322</v>
      </c>
      <c r="D2496" s="34" t="s">
        <v>104</v>
      </c>
      <c r="E2496" s="34" t="s">
        <v>93</v>
      </c>
      <c r="F2496" s="35">
        <v>25</v>
      </c>
      <c r="G2496" s="37">
        <v>100</v>
      </c>
      <c r="H2496" s="32">
        <f t="shared" si="44"/>
        <v>2500</v>
      </c>
    </row>
    <row r="2497" spans="2:8">
      <c r="B2497" s="28">
        <v>10250</v>
      </c>
      <c r="C2497" s="34" t="s">
        <v>100</v>
      </c>
      <c r="D2497" s="34" t="s">
        <v>104</v>
      </c>
      <c r="E2497" s="34" t="s">
        <v>93</v>
      </c>
      <c r="F2497" s="35">
        <v>31</v>
      </c>
      <c r="G2497" s="37">
        <v>91.34</v>
      </c>
      <c r="H2497" s="32">
        <f t="shared" si="44"/>
        <v>2831.54</v>
      </c>
    </row>
    <row r="2498" spans="2:8">
      <c r="B2498" s="28">
        <v>10262</v>
      </c>
      <c r="C2498" s="34" t="s">
        <v>261</v>
      </c>
      <c r="D2498" s="34" t="s">
        <v>119</v>
      </c>
      <c r="E2498" s="34" t="s">
        <v>444</v>
      </c>
      <c r="F2498" s="35">
        <v>40</v>
      </c>
      <c r="G2498" s="37">
        <v>84.03</v>
      </c>
      <c r="H2498" s="32">
        <f t="shared" si="44"/>
        <v>3361.2</v>
      </c>
    </row>
    <row r="2499" spans="2:8">
      <c r="B2499" s="28">
        <v>10275</v>
      </c>
      <c r="C2499" s="34" t="s">
        <v>109</v>
      </c>
      <c r="D2499" s="34" t="s">
        <v>104</v>
      </c>
      <c r="E2499" s="34" t="s">
        <v>93</v>
      </c>
      <c r="F2499" s="35">
        <v>32</v>
      </c>
      <c r="G2499" s="37">
        <v>89.51</v>
      </c>
      <c r="H2499" s="32">
        <f t="shared" si="44"/>
        <v>2864.32</v>
      </c>
    </row>
    <row r="2500" spans="2:8">
      <c r="B2500" s="28">
        <v>10284</v>
      </c>
      <c r="C2500" s="34" t="s">
        <v>149</v>
      </c>
      <c r="D2500" s="34" t="s">
        <v>104</v>
      </c>
      <c r="E2500" s="34" t="s">
        <v>93</v>
      </c>
      <c r="F2500" s="35">
        <v>24</v>
      </c>
      <c r="G2500" s="37">
        <v>83.12</v>
      </c>
      <c r="H2500" s="32">
        <f t="shared" si="44"/>
        <v>1994.88</v>
      </c>
    </row>
    <row r="2501" spans="2:8">
      <c r="B2501" s="28">
        <v>10296</v>
      </c>
      <c r="C2501" s="34" t="s">
        <v>566</v>
      </c>
      <c r="D2501" s="34" t="s">
        <v>119</v>
      </c>
      <c r="E2501" s="34" t="s">
        <v>93</v>
      </c>
      <c r="F2501" s="35">
        <v>42</v>
      </c>
      <c r="G2501" s="37">
        <v>100</v>
      </c>
      <c r="H2501" s="32">
        <f t="shared" ref="H2501:H2564" si="45">F2501*G2501</f>
        <v>4200</v>
      </c>
    </row>
    <row r="2502" spans="2:8">
      <c r="B2502" s="28">
        <v>10308</v>
      </c>
      <c r="C2502" s="34" t="s">
        <v>100</v>
      </c>
      <c r="D2502" s="34" t="s">
        <v>104</v>
      </c>
      <c r="E2502" s="34" t="s">
        <v>93</v>
      </c>
      <c r="F2502" s="35">
        <v>21</v>
      </c>
      <c r="G2502" s="37">
        <v>100</v>
      </c>
      <c r="H2502" s="32">
        <f t="shared" si="45"/>
        <v>2100</v>
      </c>
    </row>
    <row r="2503" spans="2:8">
      <c r="B2503" s="28">
        <v>10316</v>
      </c>
      <c r="C2503" s="34" t="s">
        <v>252</v>
      </c>
      <c r="D2503" s="34" t="s">
        <v>104</v>
      </c>
      <c r="E2503" s="34" t="s">
        <v>93</v>
      </c>
      <c r="F2503" s="35">
        <v>34</v>
      </c>
      <c r="G2503" s="37">
        <v>82.21</v>
      </c>
      <c r="H2503" s="32">
        <f t="shared" si="45"/>
        <v>2795.14</v>
      </c>
    </row>
    <row r="2504" spans="2:8">
      <c r="B2504" s="28">
        <v>10328</v>
      </c>
      <c r="C2504" s="34" t="s">
        <v>352</v>
      </c>
      <c r="D2504" s="34" t="s">
        <v>104</v>
      </c>
      <c r="E2504" s="34" t="s">
        <v>93</v>
      </c>
      <c r="F2504" s="35">
        <v>27</v>
      </c>
      <c r="G2504" s="37">
        <v>100</v>
      </c>
      <c r="H2504" s="32">
        <f t="shared" si="45"/>
        <v>2700</v>
      </c>
    </row>
    <row r="2505" spans="2:8">
      <c r="B2505" s="28">
        <v>10340</v>
      </c>
      <c r="C2505" s="34" t="s">
        <v>261</v>
      </c>
      <c r="D2505" s="34" t="s">
        <v>104</v>
      </c>
      <c r="E2505" s="34" t="s">
        <v>93</v>
      </c>
      <c r="F2505" s="35">
        <v>30</v>
      </c>
      <c r="G2505" s="37">
        <v>88.6</v>
      </c>
      <c r="H2505" s="32">
        <f t="shared" si="45"/>
        <v>2658</v>
      </c>
    </row>
    <row r="2506" spans="2:8">
      <c r="B2506" s="28">
        <v>10353</v>
      </c>
      <c r="C2506" s="34" t="s">
        <v>100</v>
      </c>
      <c r="D2506" s="34" t="s">
        <v>119</v>
      </c>
      <c r="E2506" s="34" t="s">
        <v>93</v>
      </c>
      <c r="F2506" s="35">
        <v>39</v>
      </c>
      <c r="G2506" s="37">
        <v>100</v>
      </c>
      <c r="H2506" s="32">
        <f t="shared" si="45"/>
        <v>3900</v>
      </c>
    </row>
    <row r="2507" spans="2:8">
      <c r="B2507" s="28">
        <v>10361</v>
      </c>
      <c r="C2507" s="34" t="s">
        <v>168</v>
      </c>
      <c r="D2507" s="34" t="s">
        <v>104</v>
      </c>
      <c r="E2507" s="34" t="s">
        <v>93</v>
      </c>
      <c r="F2507" s="35">
        <v>20</v>
      </c>
      <c r="G2507" s="37">
        <v>60.54</v>
      </c>
      <c r="H2507" s="32">
        <f t="shared" si="45"/>
        <v>1210.8</v>
      </c>
    </row>
    <row r="2508" spans="2:8">
      <c r="B2508" s="28">
        <v>10375</v>
      </c>
      <c r="C2508" s="34" t="s">
        <v>109</v>
      </c>
      <c r="D2508" s="34" t="s">
        <v>119</v>
      </c>
      <c r="E2508" s="34" t="s">
        <v>93</v>
      </c>
      <c r="F2508" s="35">
        <v>37</v>
      </c>
      <c r="G2508" s="37">
        <v>81.87</v>
      </c>
      <c r="H2508" s="32">
        <f t="shared" si="45"/>
        <v>3029.19</v>
      </c>
    </row>
    <row r="2509" spans="2:8">
      <c r="B2509" s="28">
        <v>10388</v>
      </c>
      <c r="C2509" s="34" t="s">
        <v>100</v>
      </c>
      <c r="D2509" s="34" t="s">
        <v>232</v>
      </c>
      <c r="E2509" s="34" t="s">
        <v>93</v>
      </c>
      <c r="F2509" s="35">
        <v>46</v>
      </c>
      <c r="G2509" s="37">
        <v>100</v>
      </c>
      <c r="H2509" s="32">
        <f t="shared" si="45"/>
        <v>4600</v>
      </c>
    </row>
    <row r="2510" spans="2:8">
      <c r="B2510" s="28">
        <v>10398</v>
      </c>
      <c r="C2510" s="34" t="s">
        <v>109</v>
      </c>
      <c r="D2510" s="34" t="s">
        <v>119</v>
      </c>
      <c r="E2510" s="34" t="s">
        <v>93</v>
      </c>
      <c r="F2510" s="35">
        <v>47</v>
      </c>
      <c r="G2510" s="37">
        <v>87.69</v>
      </c>
      <c r="H2510" s="32">
        <f t="shared" si="45"/>
        <v>4121.43</v>
      </c>
    </row>
    <row r="2511" spans="2:8">
      <c r="B2511" s="28">
        <v>10401</v>
      </c>
      <c r="C2511" s="34" t="s">
        <v>100</v>
      </c>
      <c r="D2511" s="34" t="s">
        <v>104</v>
      </c>
      <c r="E2511" s="34" t="s">
        <v>518</v>
      </c>
      <c r="F2511" s="35">
        <v>11</v>
      </c>
      <c r="G2511" s="37">
        <v>100</v>
      </c>
      <c r="H2511" s="32">
        <f t="shared" si="45"/>
        <v>1100</v>
      </c>
    </row>
    <row r="2512" spans="2:8">
      <c r="B2512" s="28">
        <v>10416</v>
      </c>
      <c r="C2512" s="34" t="s">
        <v>352</v>
      </c>
      <c r="D2512" s="34" t="s">
        <v>104</v>
      </c>
      <c r="E2512" s="34" t="s">
        <v>93</v>
      </c>
      <c r="F2512" s="35">
        <v>23</v>
      </c>
      <c r="G2512" s="37">
        <v>91.34</v>
      </c>
      <c r="H2512" s="32">
        <f t="shared" si="45"/>
        <v>2100.8200000000002</v>
      </c>
    </row>
    <row r="2513" spans="2:8">
      <c r="B2513" s="28">
        <v>10105</v>
      </c>
      <c r="C2513" s="34" t="s">
        <v>429</v>
      </c>
      <c r="D2513" s="34" t="s">
        <v>104</v>
      </c>
      <c r="E2513" s="34" t="s">
        <v>93</v>
      </c>
      <c r="F2513" s="35">
        <v>29</v>
      </c>
      <c r="G2513" s="37">
        <v>70.150000000000006</v>
      </c>
      <c r="H2513" s="32">
        <f t="shared" si="45"/>
        <v>2034.3500000000001</v>
      </c>
    </row>
    <row r="2514" spans="2:8">
      <c r="B2514" s="28">
        <v>10117</v>
      </c>
      <c r="C2514" s="34" t="s">
        <v>287</v>
      </c>
      <c r="D2514" s="34" t="s">
        <v>119</v>
      </c>
      <c r="E2514" s="34" t="s">
        <v>93</v>
      </c>
      <c r="F2514" s="35">
        <v>38</v>
      </c>
      <c r="G2514" s="37">
        <v>79.680000000000007</v>
      </c>
      <c r="H2514" s="32">
        <f t="shared" si="45"/>
        <v>3027.84</v>
      </c>
    </row>
    <row r="2515" spans="2:8">
      <c r="B2515" s="28">
        <v>10128</v>
      </c>
      <c r="C2515" s="34" t="s">
        <v>261</v>
      </c>
      <c r="D2515" s="34" t="s">
        <v>119</v>
      </c>
      <c r="E2515" s="34" t="s">
        <v>93</v>
      </c>
      <c r="F2515" s="35">
        <v>32</v>
      </c>
      <c r="G2515" s="37">
        <v>97</v>
      </c>
      <c r="H2515" s="32">
        <f t="shared" si="45"/>
        <v>3104</v>
      </c>
    </row>
    <row r="2516" spans="2:8">
      <c r="B2516" s="28">
        <v>10142</v>
      </c>
      <c r="C2516" s="34" t="s">
        <v>100</v>
      </c>
      <c r="D2516" s="34" t="s">
        <v>119</v>
      </c>
      <c r="E2516" s="34" t="s">
        <v>93</v>
      </c>
      <c r="F2516" s="35">
        <v>43</v>
      </c>
      <c r="G2516" s="37">
        <v>84.01</v>
      </c>
      <c r="H2516" s="32">
        <f t="shared" si="45"/>
        <v>3612.4300000000003</v>
      </c>
    </row>
    <row r="2517" spans="2:8">
      <c r="B2517" s="28">
        <v>10153</v>
      </c>
      <c r="C2517" s="34" t="s">
        <v>261</v>
      </c>
      <c r="D2517" s="34" t="s">
        <v>104</v>
      </c>
      <c r="E2517" s="34" t="s">
        <v>93</v>
      </c>
      <c r="F2517" s="35">
        <v>31</v>
      </c>
      <c r="G2517" s="37">
        <v>87.48</v>
      </c>
      <c r="H2517" s="32">
        <f t="shared" si="45"/>
        <v>2711.88</v>
      </c>
    </row>
    <row r="2518" spans="2:8">
      <c r="B2518" s="28">
        <v>10166</v>
      </c>
      <c r="C2518" s="34" t="s">
        <v>100</v>
      </c>
      <c r="D2518" s="34" t="s">
        <v>119</v>
      </c>
      <c r="E2518" s="34" t="s">
        <v>93</v>
      </c>
      <c r="F2518" s="35">
        <v>29</v>
      </c>
      <c r="G2518" s="37">
        <v>100</v>
      </c>
      <c r="H2518" s="32">
        <f t="shared" si="45"/>
        <v>2900</v>
      </c>
    </row>
    <row r="2519" spans="2:8">
      <c r="B2519" s="28">
        <v>10177</v>
      </c>
      <c r="C2519" s="34" t="s">
        <v>261</v>
      </c>
      <c r="D2519" s="34" t="s">
        <v>104</v>
      </c>
      <c r="E2519" s="34" t="s">
        <v>93</v>
      </c>
      <c r="F2519" s="35">
        <v>31</v>
      </c>
      <c r="G2519" s="37">
        <v>88.34</v>
      </c>
      <c r="H2519" s="32">
        <f t="shared" si="45"/>
        <v>2738.54</v>
      </c>
    </row>
    <row r="2520" spans="2:8">
      <c r="B2520" s="28">
        <v>10185</v>
      </c>
      <c r="C2520" s="34" t="s">
        <v>100</v>
      </c>
      <c r="D2520" s="34" t="s">
        <v>104</v>
      </c>
      <c r="E2520" s="34" t="s">
        <v>93</v>
      </c>
      <c r="F2520" s="35">
        <v>30</v>
      </c>
      <c r="G2520" s="37">
        <v>94.4</v>
      </c>
      <c r="H2520" s="32">
        <f t="shared" si="45"/>
        <v>2832</v>
      </c>
    </row>
    <row r="2521" spans="2:8">
      <c r="B2521" s="28">
        <v>10196</v>
      </c>
      <c r="C2521" s="34" t="s">
        <v>100</v>
      </c>
      <c r="D2521" s="34" t="s">
        <v>119</v>
      </c>
      <c r="E2521" s="34" t="s">
        <v>93</v>
      </c>
      <c r="F2521" s="35">
        <v>50</v>
      </c>
      <c r="G2521" s="37">
        <v>94.4</v>
      </c>
      <c r="H2521" s="32">
        <f t="shared" si="45"/>
        <v>4720</v>
      </c>
    </row>
    <row r="2522" spans="2:8">
      <c r="B2522" s="28">
        <v>10208</v>
      </c>
      <c r="C2522" s="34" t="s">
        <v>109</v>
      </c>
      <c r="D2522" s="34" t="s">
        <v>119</v>
      </c>
      <c r="E2522" s="34" t="s">
        <v>93</v>
      </c>
      <c r="F2522" s="35">
        <v>40</v>
      </c>
      <c r="G2522" s="37">
        <v>80.55</v>
      </c>
      <c r="H2522" s="32">
        <f t="shared" si="45"/>
        <v>3222</v>
      </c>
    </row>
    <row r="2523" spans="2:8">
      <c r="B2523" s="28">
        <v>10221</v>
      </c>
      <c r="C2523" s="34" t="s">
        <v>480</v>
      </c>
      <c r="D2523" s="34" t="s">
        <v>104</v>
      </c>
      <c r="E2523" s="34" t="s">
        <v>93</v>
      </c>
      <c r="F2523" s="35">
        <v>23</v>
      </c>
      <c r="G2523" s="37">
        <v>97</v>
      </c>
      <c r="H2523" s="32">
        <f t="shared" si="45"/>
        <v>2231</v>
      </c>
    </row>
    <row r="2524" spans="2:8">
      <c r="B2524" s="28">
        <v>10232</v>
      </c>
      <c r="C2524" s="34" t="s">
        <v>252</v>
      </c>
      <c r="D2524" s="34" t="s">
        <v>104</v>
      </c>
      <c r="E2524" s="34" t="s">
        <v>93</v>
      </c>
      <c r="F2524" s="35">
        <v>26</v>
      </c>
      <c r="G2524" s="37">
        <v>88.34</v>
      </c>
      <c r="H2524" s="32">
        <f t="shared" si="45"/>
        <v>2296.84</v>
      </c>
    </row>
    <row r="2525" spans="2:8">
      <c r="B2525" s="28">
        <v>10248</v>
      </c>
      <c r="C2525" s="34" t="s">
        <v>100</v>
      </c>
      <c r="D2525" s="34" t="s">
        <v>119</v>
      </c>
      <c r="E2525" s="34" t="s">
        <v>444</v>
      </c>
      <c r="F2525" s="35">
        <v>40</v>
      </c>
      <c r="G2525" s="37">
        <v>100</v>
      </c>
      <c r="H2525" s="32">
        <f t="shared" si="45"/>
        <v>4000</v>
      </c>
    </row>
    <row r="2526" spans="2:8">
      <c r="B2526" s="28">
        <v>10273</v>
      </c>
      <c r="C2526" s="34" t="s">
        <v>480</v>
      </c>
      <c r="D2526" s="34" t="s">
        <v>104</v>
      </c>
      <c r="E2526" s="34" t="s">
        <v>93</v>
      </c>
      <c r="F2526" s="35">
        <v>21</v>
      </c>
      <c r="G2526" s="37">
        <v>100</v>
      </c>
      <c r="H2526" s="32">
        <f t="shared" si="45"/>
        <v>2100</v>
      </c>
    </row>
    <row r="2527" spans="2:8">
      <c r="B2527" s="28">
        <v>10282</v>
      </c>
      <c r="C2527" s="34" t="s">
        <v>100</v>
      </c>
      <c r="D2527" s="34" t="s">
        <v>119</v>
      </c>
      <c r="E2527" s="34" t="s">
        <v>93</v>
      </c>
      <c r="F2527" s="35">
        <v>43</v>
      </c>
      <c r="G2527" s="37">
        <v>86.61</v>
      </c>
      <c r="H2527" s="32">
        <f t="shared" si="45"/>
        <v>3724.23</v>
      </c>
    </row>
    <row r="2528" spans="2:8">
      <c r="B2528" s="28">
        <v>10293</v>
      </c>
      <c r="C2528" s="34" t="s">
        <v>352</v>
      </c>
      <c r="D2528" s="34" t="s">
        <v>104</v>
      </c>
      <c r="E2528" s="34" t="s">
        <v>93</v>
      </c>
      <c r="F2528" s="35">
        <v>29</v>
      </c>
      <c r="G2528" s="37">
        <v>71.89</v>
      </c>
      <c r="H2528" s="32">
        <f t="shared" si="45"/>
        <v>2084.81</v>
      </c>
    </row>
    <row r="2529" spans="2:8">
      <c r="B2529" s="28">
        <v>10306</v>
      </c>
      <c r="C2529" s="34" t="s">
        <v>252</v>
      </c>
      <c r="D2529" s="34" t="s">
        <v>119</v>
      </c>
      <c r="E2529" s="34" t="s">
        <v>93</v>
      </c>
      <c r="F2529" s="35">
        <v>38</v>
      </c>
      <c r="G2529" s="37">
        <v>91.81</v>
      </c>
      <c r="H2529" s="32">
        <f t="shared" si="45"/>
        <v>3488.78</v>
      </c>
    </row>
    <row r="2530" spans="2:8">
      <c r="B2530" s="28">
        <v>10314</v>
      </c>
      <c r="C2530" s="34" t="s">
        <v>429</v>
      </c>
      <c r="D2530" s="34" t="s">
        <v>104</v>
      </c>
      <c r="E2530" s="34" t="s">
        <v>93</v>
      </c>
      <c r="F2530" s="35">
        <v>23</v>
      </c>
      <c r="G2530" s="37">
        <v>76.22</v>
      </c>
      <c r="H2530" s="32">
        <f t="shared" si="45"/>
        <v>1753.06</v>
      </c>
    </row>
    <row r="2531" spans="2:8">
      <c r="B2531" s="28">
        <v>10327</v>
      </c>
      <c r="C2531" s="34" t="s">
        <v>429</v>
      </c>
      <c r="D2531" s="34" t="s">
        <v>119</v>
      </c>
      <c r="E2531" s="34" t="s">
        <v>526</v>
      </c>
      <c r="F2531" s="35">
        <v>20</v>
      </c>
      <c r="G2531" s="37">
        <v>100</v>
      </c>
      <c r="H2531" s="32">
        <f t="shared" si="45"/>
        <v>2000</v>
      </c>
    </row>
    <row r="2532" spans="2:8">
      <c r="B2532" s="28">
        <v>10337</v>
      </c>
      <c r="C2532" s="34" t="s">
        <v>100</v>
      </c>
      <c r="D2532" s="34" t="s">
        <v>104</v>
      </c>
      <c r="E2532" s="34" t="s">
        <v>93</v>
      </c>
      <c r="F2532" s="35">
        <v>36</v>
      </c>
      <c r="G2532" s="37">
        <v>70.3</v>
      </c>
      <c r="H2532" s="32">
        <f t="shared" si="45"/>
        <v>2530.7999999999997</v>
      </c>
    </row>
    <row r="2533" spans="2:8">
      <c r="B2533" s="28">
        <v>10350</v>
      </c>
      <c r="C2533" s="34" t="s">
        <v>261</v>
      </c>
      <c r="D2533" s="34" t="s">
        <v>104</v>
      </c>
      <c r="E2533" s="34" t="s">
        <v>93</v>
      </c>
      <c r="F2533" s="35">
        <v>28</v>
      </c>
      <c r="G2533" s="37">
        <v>100</v>
      </c>
      <c r="H2533" s="32">
        <f t="shared" si="45"/>
        <v>2800</v>
      </c>
    </row>
    <row r="2534" spans="2:8">
      <c r="B2534" s="28">
        <v>10372</v>
      </c>
      <c r="C2534" s="34" t="s">
        <v>288</v>
      </c>
      <c r="D2534" s="34" t="s">
        <v>119</v>
      </c>
      <c r="E2534" s="34" t="s">
        <v>93</v>
      </c>
      <c r="F2534" s="35">
        <v>44</v>
      </c>
      <c r="G2534" s="37">
        <v>100</v>
      </c>
      <c r="H2534" s="32">
        <f t="shared" si="45"/>
        <v>4400</v>
      </c>
    </row>
    <row r="2535" spans="2:8">
      <c r="B2535" s="28">
        <v>10384</v>
      </c>
      <c r="C2535" s="34" t="s">
        <v>100</v>
      </c>
      <c r="D2535" s="34" t="s">
        <v>119</v>
      </c>
      <c r="E2535" s="34" t="s">
        <v>93</v>
      </c>
      <c r="F2535" s="35">
        <v>49</v>
      </c>
      <c r="G2535" s="37">
        <v>100</v>
      </c>
      <c r="H2535" s="32">
        <f t="shared" si="45"/>
        <v>4900</v>
      </c>
    </row>
    <row r="2536" spans="2:8">
      <c r="B2536" s="28">
        <v>10397</v>
      </c>
      <c r="C2536" s="34" t="s">
        <v>109</v>
      </c>
      <c r="D2536" s="34" t="s">
        <v>104</v>
      </c>
      <c r="E2536" s="34" t="s">
        <v>93</v>
      </c>
      <c r="F2536" s="35">
        <v>32</v>
      </c>
      <c r="G2536" s="37">
        <v>80.55</v>
      </c>
      <c r="H2536" s="32">
        <f t="shared" si="45"/>
        <v>2577.6</v>
      </c>
    </row>
    <row r="2537" spans="2:8">
      <c r="B2537" s="28">
        <v>10414</v>
      </c>
      <c r="C2537" s="34" t="s">
        <v>100</v>
      </c>
      <c r="D2537" s="34" t="s">
        <v>119</v>
      </c>
      <c r="E2537" s="34" t="s">
        <v>518</v>
      </c>
      <c r="F2537" s="35">
        <v>34</v>
      </c>
      <c r="G2537" s="37">
        <v>100</v>
      </c>
      <c r="H2537" s="32">
        <f t="shared" si="45"/>
        <v>3400</v>
      </c>
    </row>
    <row r="2538" spans="2:8">
      <c r="B2538" s="28">
        <v>10106</v>
      </c>
      <c r="C2538" s="34" t="s">
        <v>352</v>
      </c>
      <c r="D2538" s="34" t="s">
        <v>119</v>
      </c>
      <c r="E2538" s="34" t="s">
        <v>93</v>
      </c>
      <c r="F2538" s="35">
        <v>30</v>
      </c>
      <c r="G2538" s="37">
        <v>100</v>
      </c>
      <c r="H2538" s="32">
        <f t="shared" si="45"/>
        <v>3000</v>
      </c>
    </row>
    <row r="2539" spans="2:8">
      <c r="B2539" s="28">
        <v>10119</v>
      </c>
      <c r="C2539" s="34" t="s">
        <v>229</v>
      </c>
      <c r="D2539" s="34" t="s">
        <v>104</v>
      </c>
      <c r="E2539" s="34" t="s">
        <v>93</v>
      </c>
      <c r="F2539" s="35">
        <v>29</v>
      </c>
      <c r="G2539" s="37">
        <v>94.14</v>
      </c>
      <c r="H2539" s="32">
        <f t="shared" si="45"/>
        <v>2730.06</v>
      </c>
    </row>
    <row r="2540" spans="2:8">
      <c r="B2540" s="28">
        <v>10131</v>
      </c>
      <c r="C2540" s="34" t="s">
        <v>100</v>
      </c>
      <c r="D2540" s="34" t="s">
        <v>104</v>
      </c>
      <c r="E2540" s="34" t="s">
        <v>93</v>
      </c>
      <c r="F2540" s="35">
        <v>22</v>
      </c>
      <c r="G2540" s="37">
        <v>85.99</v>
      </c>
      <c r="H2540" s="32">
        <f t="shared" si="45"/>
        <v>1891.78</v>
      </c>
    </row>
    <row r="2541" spans="2:8">
      <c r="B2541" s="28">
        <v>10143</v>
      </c>
      <c r="C2541" s="34" t="s">
        <v>100</v>
      </c>
      <c r="D2541" s="34" t="s">
        <v>104</v>
      </c>
      <c r="E2541" s="34" t="s">
        <v>93</v>
      </c>
      <c r="F2541" s="35">
        <v>26</v>
      </c>
      <c r="G2541" s="37">
        <v>100</v>
      </c>
      <c r="H2541" s="32">
        <f t="shared" si="45"/>
        <v>2600</v>
      </c>
    </row>
    <row r="2542" spans="2:8">
      <c r="B2542" s="28">
        <v>10155</v>
      </c>
      <c r="C2542" s="34" t="s">
        <v>208</v>
      </c>
      <c r="D2542" s="34" t="s">
        <v>104</v>
      </c>
      <c r="E2542" s="34" t="s">
        <v>93</v>
      </c>
      <c r="F2542" s="35">
        <v>32</v>
      </c>
      <c r="G2542" s="37">
        <v>91.43</v>
      </c>
      <c r="H2542" s="32">
        <f t="shared" si="45"/>
        <v>2925.76</v>
      </c>
    </row>
    <row r="2543" spans="2:8">
      <c r="B2543" s="28">
        <v>10167</v>
      </c>
      <c r="C2543" s="34" t="s">
        <v>273</v>
      </c>
      <c r="D2543" s="34" t="s">
        <v>104</v>
      </c>
      <c r="E2543" s="34" t="s">
        <v>444</v>
      </c>
      <c r="F2543" s="35">
        <v>29</v>
      </c>
      <c r="G2543" s="37">
        <v>100</v>
      </c>
      <c r="H2543" s="32">
        <f t="shared" si="45"/>
        <v>2900</v>
      </c>
    </row>
    <row r="2544" spans="2:8">
      <c r="B2544" s="28">
        <v>10178</v>
      </c>
      <c r="C2544" s="34" t="s">
        <v>109</v>
      </c>
      <c r="D2544" s="34" t="s">
        <v>119</v>
      </c>
      <c r="E2544" s="34" t="s">
        <v>93</v>
      </c>
      <c r="F2544" s="35">
        <v>34</v>
      </c>
      <c r="G2544" s="37">
        <v>96.86</v>
      </c>
      <c r="H2544" s="32">
        <f t="shared" si="45"/>
        <v>3293.24</v>
      </c>
    </row>
    <row r="2545" spans="2:8">
      <c r="B2545" s="28">
        <v>10186</v>
      </c>
      <c r="C2545" s="34" t="s">
        <v>252</v>
      </c>
      <c r="D2545" s="34" t="s">
        <v>104</v>
      </c>
      <c r="E2545" s="34" t="s">
        <v>93</v>
      </c>
      <c r="F2545" s="35">
        <v>24</v>
      </c>
      <c r="G2545" s="37">
        <v>99.57</v>
      </c>
      <c r="H2545" s="32">
        <f t="shared" si="45"/>
        <v>2389.6799999999998</v>
      </c>
    </row>
    <row r="2546" spans="2:8">
      <c r="B2546" s="28">
        <v>10197</v>
      </c>
      <c r="C2546" s="34" t="s">
        <v>261</v>
      </c>
      <c r="D2546" s="34" t="s">
        <v>104</v>
      </c>
      <c r="E2546" s="34" t="s">
        <v>93</v>
      </c>
      <c r="F2546" s="35">
        <v>24</v>
      </c>
      <c r="G2546" s="37">
        <v>90.52</v>
      </c>
      <c r="H2546" s="32">
        <f t="shared" si="45"/>
        <v>2172.48</v>
      </c>
    </row>
    <row r="2547" spans="2:8">
      <c r="B2547" s="28">
        <v>10209</v>
      </c>
      <c r="C2547" s="34" t="s">
        <v>100</v>
      </c>
      <c r="D2547" s="34" t="s">
        <v>104</v>
      </c>
      <c r="E2547" s="34" t="s">
        <v>93</v>
      </c>
      <c r="F2547" s="35">
        <v>33</v>
      </c>
      <c r="G2547" s="37">
        <v>88.71</v>
      </c>
      <c r="H2547" s="32">
        <f t="shared" si="45"/>
        <v>2927.43</v>
      </c>
    </row>
    <row r="2548" spans="2:8">
      <c r="B2548" s="28">
        <v>10222</v>
      </c>
      <c r="C2548" s="34" t="s">
        <v>100</v>
      </c>
      <c r="D2548" s="34" t="s">
        <v>104</v>
      </c>
      <c r="E2548" s="34" t="s">
        <v>93</v>
      </c>
      <c r="F2548" s="35">
        <v>26</v>
      </c>
      <c r="G2548" s="37">
        <v>100</v>
      </c>
      <c r="H2548" s="32">
        <f t="shared" si="45"/>
        <v>2600</v>
      </c>
    </row>
    <row r="2549" spans="2:8">
      <c r="B2549" s="28">
        <v>10249</v>
      </c>
      <c r="C2549" s="34" t="s">
        <v>100</v>
      </c>
      <c r="D2549" s="34" t="s">
        <v>119</v>
      </c>
      <c r="E2549" s="34" t="s">
        <v>93</v>
      </c>
      <c r="F2549" s="35">
        <v>40</v>
      </c>
      <c r="G2549" s="37">
        <v>95.95</v>
      </c>
      <c r="H2549" s="32">
        <f t="shared" si="45"/>
        <v>3838</v>
      </c>
    </row>
    <row r="2550" spans="2:8">
      <c r="B2550" s="28">
        <v>10262</v>
      </c>
      <c r="C2550" s="34" t="s">
        <v>261</v>
      </c>
      <c r="D2550" s="34" t="s">
        <v>119</v>
      </c>
      <c r="E2550" s="34" t="s">
        <v>444</v>
      </c>
      <c r="F2550" s="35">
        <v>44</v>
      </c>
      <c r="G2550" s="37">
        <v>94.14</v>
      </c>
      <c r="H2550" s="32">
        <f t="shared" si="45"/>
        <v>4142.16</v>
      </c>
    </row>
    <row r="2551" spans="2:8">
      <c r="B2551" s="28">
        <v>10274</v>
      </c>
      <c r="C2551" s="34" t="s">
        <v>100</v>
      </c>
      <c r="D2551" s="34" t="s">
        <v>104</v>
      </c>
      <c r="E2551" s="34" t="s">
        <v>93</v>
      </c>
      <c r="F2551" s="35">
        <v>24</v>
      </c>
      <c r="G2551" s="37">
        <v>90.52</v>
      </c>
      <c r="H2551" s="32">
        <f t="shared" si="45"/>
        <v>2172.48</v>
      </c>
    </row>
    <row r="2552" spans="2:8">
      <c r="B2552" s="28">
        <v>10283</v>
      </c>
      <c r="C2552" s="34" t="s">
        <v>322</v>
      </c>
      <c r="D2552" s="34" t="s">
        <v>104</v>
      </c>
      <c r="E2552" s="34" t="s">
        <v>93</v>
      </c>
      <c r="F2552" s="35">
        <v>20</v>
      </c>
      <c r="G2552" s="37">
        <v>94.14</v>
      </c>
      <c r="H2552" s="32">
        <f t="shared" si="45"/>
        <v>1882.8</v>
      </c>
    </row>
    <row r="2553" spans="2:8">
      <c r="B2553" s="28">
        <v>10296</v>
      </c>
      <c r="C2553" s="34" t="s">
        <v>566</v>
      </c>
      <c r="D2553" s="34" t="s">
        <v>119</v>
      </c>
      <c r="E2553" s="34" t="s">
        <v>93</v>
      </c>
      <c r="F2553" s="35">
        <v>34</v>
      </c>
      <c r="G2553" s="37">
        <v>100</v>
      </c>
      <c r="H2553" s="32">
        <f t="shared" si="45"/>
        <v>3400</v>
      </c>
    </row>
    <row r="2554" spans="2:8">
      <c r="B2554" s="28">
        <v>10307</v>
      </c>
      <c r="C2554" s="34" t="s">
        <v>100</v>
      </c>
      <c r="D2554" s="34" t="s">
        <v>119</v>
      </c>
      <c r="E2554" s="34" t="s">
        <v>93</v>
      </c>
      <c r="F2554" s="35">
        <v>34</v>
      </c>
      <c r="G2554" s="37">
        <v>97.76</v>
      </c>
      <c r="H2554" s="32">
        <f t="shared" si="45"/>
        <v>3323.84</v>
      </c>
    </row>
    <row r="2555" spans="2:8">
      <c r="B2555" s="28">
        <v>10316</v>
      </c>
      <c r="C2555" s="34" t="s">
        <v>252</v>
      </c>
      <c r="D2555" s="34" t="s">
        <v>119</v>
      </c>
      <c r="E2555" s="34" t="s">
        <v>93</v>
      </c>
      <c r="F2555" s="35">
        <v>45</v>
      </c>
      <c r="G2555" s="37">
        <v>93.24</v>
      </c>
      <c r="H2555" s="32">
        <f t="shared" si="45"/>
        <v>4195.8</v>
      </c>
    </row>
    <row r="2556" spans="2:8">
      <c r="B2556" s="28">
        <v>10328</v>
      </c>
      <c r="C2556" s="34" t="s">
        <v>352</v>
      </c>
      <c r="D2556" s="34" t="s">
        <v>119</v>
      </c>
      <c r="E2556" s="34" t="s">
        <v>93</v>
      </c>
      <c r="F2556" s="35">
        <v>41</v>
      </c>
      <c r="G2556" s="37">
        <v>100</v>
      </c>
      <c r="H2556" s="32">
        <f t="shared" si="45"/>
        <v>4100</v>
      </c>
    </row>
    <row r="2557" spans="2:8">
      <c r="B2557" s="28">
        <v>10339</v>
      </c>
      <c r="C2557" s="34" t="s">
        <v>288</v>
      </c>
      <c r="D2557" s="34" t="s">
        <v>119</v>
      </c>
      <c r="E2557" s="34" t="s">
        <v>93</v>
      </c>
      <c r="F2557" s="35">
        <v>55</v>
      </c>
      <c r="G2557" s="37">
        <v>71.25</v>
      </c>
      <c r="H2557" s="32">
        <f t="shared" si="45"/>
        <v>3918.75</v>
      </c>
    </row>
    <row r="2558" spans="2:8">
      <c r="B2558" s="28">
        <v>10352</v>
      </c>
      <c r="C2558" s="34" t="s">
        <v>100</v>
      </c>
      <c r="D2558" s="34" t="s">
        <v>104</v>
      </c>
      <c r="E2558" s="34" t="s">
        <v>93</v>
      </c>
      <c r="F2558" s="35">
        <v>23</v>
      </c>
      <c r="G2558" s="37">
        <v>100</v>
      </c>
      <c r="H2558" s="32">
        <f t="shared" si="45"/>
        <v>2300</v>
      </c>
    </row>
    <row r="2559" spans="2:8">
      <c r="B2559" s="28">
        <v>10361</v>
      </c>
      <c r="C2559" s="34" t="s">
        <v>168</v>
      </c>
      <c r="D2559" s="34" t="s">
        <v>104</v>
      </c>
      <c r="E2559" s="34" t="s">
        <v>93</v>
      </c>
      <c r="F2559" s="35">
        <v>24</v>
      </c>
      <c r="G2559" s="37">
        <v>45.39</v>
      </c>
      <c r="H2559" s="32">
        <f t="shared" si="45"/>
        <v>1089.3600000000001</v>
      </c>
    </row>
    <row r="2560" spans="2:8">
      <c r="B2560" s="28">
        <v>10373</v>
      </c>
      <c r="C2560" s="34" t="s">
        <v>208</v>
      </c>
      <c r="D2560" s="34" t="s">
        <v>104</v>
      </c>
      <c r="E2560" s="34" t="s">
        <v>93</v>
      </c>
      <c r="F2560" s="35">
        <v>32</v>
      </c>
      <c r="G2560" s="37">
        <v>84.41</v>
      </c>
      <c r="H2560" s="32">
        <f t="shared" si="45"/>
        <v>2701.12</v>
      </c>
    </row>
    <row r="2561" spans="2:8">
      <c r="B2561" s="28">
        <v>10386</v>
      </c>
      <c r="C2561" s="34" t="s">
        <v>261</v>
      </c>
      <c r="D2561" s="34" t="s">
        <v>104</v>
      </c>
      <c r="E2561" s="34" t="s">
        <v>526</v>
      </c>
      <c r="F2561" s="35">
        <v>29</v>
      </c>
      <c r="G2561" s="37">
        <v>85.76</v>
      </c>
      <c r="H2561" s="32">
        <f t="shared" si="45"/>
        <v>2487.04</v>
      </c>
    </row>
    <row r="2562" spans="2:8">
      <c r="B2562" s="28">
        <v>10398</v>
      </c>
      <c r="C2562" s="34" t="s">
        <v>109</v>
      </c>
      <c r="D2562" s="34" t="s">
        <v>119</v>
      </c>
      <c r="E2562" s="34" t="s">
        <v>93</v>
      </c>
      <c r="F2562" s="35">
        <v>36</v>
      </c>
      <c r="G2562" s="37">
        <v>100</v>
      </c>
      <c r="H2562" s="32">
        <f t="shared" si="45"/>
        <v>3600</v>
      </c>
    </row>
    <row r="2563" spans="2:8">
      <c r="B2563" s="28">
        <v>10400</v>
      </c>
      <c r="C2563" s="34" t="s">
        <v>100</v>
      </c>
      <c r="D2563" s="34" t="s">
        <v>119</v>
      </c>
      <c r="E2563" s="34" t="s">
        <v>93</v>
      </c>
      <c r="F2563" s="35">
        <v>46</v>
      </c>
      <c r="G2563" s="37">
        <v>87.8</v>
      </c>
      <c r="H2563" s="32">
        <f t="shared" si="45"/>
        <v>4038.7999999999997</v>
      </c>
    </row>
    <row r="2564" spans="2:8">
      <c r="B2564" s="28">
        <v>10415</v>
      </c>
      <c r="C2564" s="34" t="s">
        <v>168</v>
      </c>
      <c r="D2564" s="34" t="s">
        <v>119</v>
      </c>
      <c r="E2564" s="34" t="s">
        <v>256</v>
      </c>
      <c r="F2564" s="35">
        <v>32</v>
      </c>
      <c r="G2564" s="37">
        <v>95.95</v>
      </c>
      <c r="H2564" s="32">
        <f t="shared" si="45"/>
        <v>3070.4</v>
      </c>
    </row>
    <row r="2565" spans="2:8">
      <c r="B2565" s="28">
        <v>10106</v>
      </c>
      <c r="C2565" s="34" t="s">
        <v>352</v>
      </c>
      <c r="D2565" s="34" t="s">
        <v>119</v>
      </c>
      <c r="E2565" s="34" t="s">
        <v>93</v>
      </c>
      <c r="F2565" s="35">
        <v>34</v>
      </c>
      <c r="G2565" s="37">
        <v>100</v>
      </c>
      <c r="H2565" s="32">
        <f t="shared" ref="H2565:H2628" si="46">F2565*G2565</f>
        <v>3400</v>
      </c>
    </row>
    <row r="2566" spans="2:8">
      <c r="B2566" s="28">
        <v>10120</v>
      </c>
      <c r="C2566" s="34" t="s">
        <v>168</v>
      </c>
      <c r="D2566" s="34" t="s">
        <v>104</v>
      </c>
      <c r="E2566" s="34" t="s">
        <v>93</v>
      </c>
      <c r="F2566" s="35">
        <v>24</v>
      </c>
      <c r="G2566" s="37">
        <v>100</v>
      </c>
      <c r="H2566" s="32">
        <f t="shared" si="46"/>
        <v>2400</v>
      </c>
    </row>
    <row r="2567" spans="2:8">
      <c r="B2567" s="28">
        <v>10131</v>
      </c>
      <c r="C2567" s="34" t="s">
        <v>100</v>
      </c>
      <c r="D2567" s="34" t="s">
        <v>119</v>
      </c>
      <c r="E2567" s="34" t="s">
        <v>93</v>
      </c>
      <c r="F2567" s="35">
        <v>40</v>
      </c>
      <c r="G2567" s="37">
        <v>100</v>
      </c>
      <c r="H2567" s="32">
        <f t="shared" si="46"/>
        <v>4000</v>
      </c>
    </row>
    <row r="2568" spans="2:8">
      <c r="B2568" s="28">
        <v>10143</v>
      </c>
      <c r="C2568" s="34" t="s">
        <v>100</v>
      </c>
      <c r="D2568" s="34" t="s">
        <v>104</v>
      </c>
      <c r="E2568" s="34" t="s">
        <v>93</v>
      </c>
      <c r="F2568" s="35">
        <v>26</v>
      </c>
      <c r="G2568" s="37">
        <v>82.77</v>
      </c>
      <c r="H2568" s="32">
        <f t="shared" si="46"/>
        <v>2152.02</v>
      </c>
    </row>
    <row r="2569" spans="2:8">
      <c r="B2569" s="28">
        <v>10155</v>
      </c>
      <c r="C2569" s="34" t="s">
        <v>208</v>
      </c>
      <c r="D2569" s="34" t="s">
        <v>104</v>
      </c>
      <c r="E2569" s="34" t="s">
        <v>93</v>
      </c>
      <c r="F2569" s="35">
        <v>20</v>
      </c>
      <c r="G2569" s="37">
        <v>100</v>
      </c>
      <c r="H2569" s="32">
        <f t="shared" si="46"/>
        <v>2000</v>
      </c>
    </row>
    <row r="2570" spans="2:8">
      <c r="B2570" s="28">
        <v>10168</v>
      </c>
      <c r="C2570" s="34" t="s">
        <v>100</v>
      </c>
      <c r="D2570" s="34" t="s">
        <v>119</v>
      </c>
      <c r="E2570" s="34" t="s">
        <v>93</v>
      </c>
      <c r="F2570" s="35">
        <v>31</v>
      </c>
      <c r="G2570" s="37">
        <v>100</v>
      </c>
      <c r="H2570" s="32">
        <f t="shared" si="46"/>
        <v>3100</v>
      </c>
    </row>
    <row r="2571" spans="2:8">
      <c r="B2571" s="28">
        <v>10178</v>
      </c>
      <c r="C2571" s="34" t="s">
        <v>109</v>
      </c>
      <c r="D2571" s="34" t="s">
        <v>104</v>
      </c>
      <c r="E2571" s="34" t="s">
        <v>93</v>
      </c>
      <c r="F2571" s="35">
        <v>22</v>
      </c>
      <c r="G2571" s="37">
        <v>87.75</v>
      </c>
      <c r="H2571" s="32">
        <f t="shared" si="46"/>
        <v>1930.5</v>
      </c>
    </row>
    <row r="2572" spans="2:8">
      <c r="B2572" s="28">
        <v>10198</v>
      </c>
      <c r="C2572" s="34" t="s">
        <v>552</v>
      </c>
      <c r="D2572" s="34" t="s">
        <v>119</v>
      </c>
      <c r="E2572" s="34" t="s">
        <v>93</v>
      </c>
      <c r="F2572" s="35">
        <v>42</v>
      </c>
      <c r="G2572" s="37">
        <v>100</v>
      </c>
      <c r="H2572" s="32">
        <f t="shared" si="46"/>
        <v>4200</v>
      </c>
    </row>
    <row r="2573" spans="2:8">
      <c r="B2573" s="28">
        <v>10210</v>
      </c>
      <c r="C2573" s="34" t="s">
        <v>288</v>
      </c>
      <c r="D2573" s="34" t="s">
        <v>104</v>
      </c>
      <c r="E2573" s="34" t="s">
        <v>93</v>
      </c>
      <c r="F2573" s="35">
        <v>26</v>
      </c>
      <c r="G2573" s="37">
        <v>99.72</v>
      </c>
      <c r="H2573" s="32">
        <f t="shared" si="46"/>
        <v>2592.7199999999998</v>
      </c>
    </row>
    <row r="2574" spans="2:8">
      <c r="B2574" s="28">
        <v>10222</v>
      </c>
      <c r="C2574" s="34" t="s">
        <v>100</v>
      </c>
      <c r="D2574" s="34" t="s">
        <v>119</v>
      </c>
      <c r="E2574" s="34" t="s">
        <v>93</v>
      </c>
      <c r="F2574" s="35">
        <v>37</v>
      </c>
      <c r="G2574" s="37">
        <v>87.75</v>
      </c>
      <c r="H2574" s="32">
        <f t="shared" si="46"/>
        <v>3246.75</v>
      </c>
    </row>
    <row r="2575" spans="2:8">
      <c r="B2575" s="28">
        <v>10235</v>
      </c>
      <c r="C2575" s="34" t="s">
        <v>322</v>
      </c>
      <c r="D2575" s="34" t="s">
        <v>119</v>
      </c>
      <c r="E2575" s="34" t="s">
        <v>93</v>
      </c>
      <c r="F2575" s="35">
        <v>38</v>
      </c>
      <c r="G2575" s="37">
        <v>88.75</v>
      </c>
      <c r="H2575" s="32">
        <f t="shared" si="46"/>
        <v>3372.5</v>
      </c>
    </row>
    <row r="2576" spans="2:8">
      <c r="B2576" s="28">
        <v>10250</v>
      </c>
      <c r="C2576" s="34" t="s">
        <v>100</v>
      </c>
      <c r="D2576" s="34" t="s">
        <v>119</v>
      </c>
      <c r="E2576" s="34" t="s">
        <v>93</v>
      </c>
      <c r="F2576" s="35">
        <v>35</v>
      </c>
      <c r="G2576" s="37">
        <v>100</v>
      </c>
      <c r="H2576" s="32">
        <f t="shared" si="46"/>
        <v>3500</v>
      </c>
    </row>
    <row r="2577" spans="2:8">
      <c r="B2577" s="28">
        <v>10262</v>
      </c>
      <c r="C2577" s="34" t="s">
        <v>261</v>
      </c>
      <c r="D2577" s="34" t="s">
        <v>104</v>
      </c>
      <c r="E2577" s="34" t="s">
        <v>444</v>
      </c>
      <c r="F2577" s="35">
        <v>33</v>
      </c>
      <c r="G2577" s="37">
        <v>90.75</v>
      </c>
      <c r="H2577" s="32">
        <f t="shared" si="46"/>
        <v>2994.75</v>
      </c>
    </row>
    <row r="2578" spans="2:8">
      <c r="B2578" s="28">
        <v>10275</v>
      </c>
      <c r="C2578" s="34" t="s">
        <v>109</v>
      </c>
      <c r="D2578" s="34" t="s">
        <v>119</v>
      </c>
      <c r="E2578" s="34" t="s">
        <v>93</v>
      </c>
      <c r="F2578" s="35">
        <v>39</v>
      </c>
      <c r="G2578" s="37">
        <v>100</v>
      </c>
      <c r="H2578" s="32">
        <f t="shared" si="46"/>
        <v>3900</v>
      </c>
    </row>
    <row r="2579" spans="2:8">
      <c r="B2579" s="28">
        <v>10284</v>
      </c>
      <c r="C2579" s="34" t="s">
        <v>149</v>
      </c>
      <c r="D2579" s="34" t="s">
        <v>119</v>
      </c>
      <c r="E2579" s="34" t="s">
        <v>93</v>
      </c>
      <c r="F2579" s="35">
        <v>45</v>
      </c>
      <c r="G2579" s="37">
        <v>100</v>
      </c>
      <c r="H2579" s="32">
        <f t="shared" si="46"/>
        <v>4500</v>
      </c>
    </row>
    <row r="2580" spans="2:8">
      <c r="B2580" s="28">
        <v>10296</v>
      </c>
      <c r="C2580" s="34" t="s">
        <v>566</v>
      </c>
      <c r="D2580" s="34" t="s">
        <v>104</v>
      </c>
      <c r="E2580" s="34" t="s">
        <v>93</v>
      </c>
      <c r="F2580" s="35">
        <v>24</v>
      </c>
      <c r="G2580" s="37">
        <v>100</v>
      </c>
      <c r="H2580" s="32">
        <f t="shared" si="46"/>
        <v>2400</v>
      </c>
    </row>
    <row r="2581" spans="2:8">
      <c r="B2581" s="28">
        <v>10308</v>
      </c>
      <c r="C2581" s="34" t="s">
        <v>100</v>
      </c>
      <c r="D2581" s="34" t="s">
        <v>119</v>
      </c>
      <c r="E2581" s="34" t="s">
        <v>93</v>
      </c>
      <c r="F2581" s="35">
        <v>35</v>
      </c>
      <c r="G2581" s="37">
        <v>88.75</v>
      </c>
      <c r="H2581" s="32">
        <f t="shared" si="46"/>
        <v>3106.25</v>
      </c>
    </row>
    <row r="2582" spans="2:8">
      <c r="B2582" s="28">
        <v>10316</v>
      </c>
      <c r="C2582" s="34" t="s">
        <v>252</v>
      </c>
      <c r="D2582" s="34" t="s">
        <v>104</v>
      </c>
      <c r="E2582" s="34" t="s">
        <v>93</v>
      </c>
      <c r="F2582" s="35">
        <v>23</v>
      </c>
      <c r="G2582" s="37">
        <v>100</v>
      </c>
      <c r="H2582" s="32">
        <f t="shared" si="46"/>
        <v>2300</v>
      </c>
    </row>
    <row r="2583" spans="2:8">
      <c r="B2583" s="28">
        <v>10328</v>
      </c>
      <c r="C2583" s="34" t="s">
        <v>352</v>
      </c>
      <c r="D2583" s="34" t="s">
        <v>119</v>
      </c>
      <c r="E2583" s="34" t="s">
        <v>93</v>
      </c>
      <c r="F2583" s="35">
        <v>37</v>
      </c>
      <c r="G2583" s="37">
        <v>100</v>
      </c>
      <c r="H2583" s="32">
        <f t="shared" si="46"/>
        <v>3700</v>
      </c>
    </row>
    <row r="2584" spans="2:8">
      <c r="B2584" s="28">
        <v>10340</v>
      </c>
      <c r="C2584" s="34" t="s">
        <v>261</v>
      </c>
      <c r="D2584" s="34" t="s">
        <v>119</v>
      </c>
      <c r="E2584" s="34" t="s">
        <v>93</v>
      </c>
      <c r="F2584" s="35">
        <v>55</v>
      </c>
      <c r="G2584" s="37">
        <v>87.75</v>
      </c>
      <c r="H2584" s="32">
        <f t="shared" si="46"/>
        <v>4826.25</v>
      </c>
    </row>
    <row r="2585" spans="2:8">
      <c r="B2585" s="28">
        <v>10352</v>
      </c>
      <c r="C2585" s="34" t="s">
        <v>100</v>
      </c>
      <c r="D2585" s="34" t="s">
        <v>119</v>
      </c>
      <c r="E2585" s="34" t="s">
        <v>93</v>
      </c>
      <c r="F2585" s="35">
        <v>49</v>
      </c>
      <c r="G2585" s="37">
        <v>100</v>
      </c>
      <c r="H2585" s="32">
        <f t="shared" si="46"/>
        <v>4900</v>
      </c>
    </row>
    <row r="2586" spans="2:8">
      <c r="B2586" s="28">
        <v>10361</v>
      </c>
      <c r="C2586" s="34" t="s">
        <v>168</v>
      </c>
      <c r="D2586" s="34" t="s">
        <v>104</v>
      </c>
      <c r="E2586" s="34" t="s">
        <v>93</v>
      </c>
      <c r="F2586" s="35">
        <v>26</v>
      </c>
      <c r="G2586" s="37">
        <v>100</v>
      </c>
      <c r="H2586" s="32">
        <f t="shared" si="46"/>
        <v>2600</v>
      </c>
    </row>
    <row r="2587" spans="2:8">
      <c r="B2587" s="28">
        <v>10375</v>
      </c>
      <c r="C2587" s="34" t="s">
        <v>109</v>
      </c>
      <c r="D2587" s="34" t="s">
        <v>119</v>
      </c>
      <c r="E2587" s="34" t="s">
        <v>93</v>
      </c>
      <c r="F2587" s="35">
        <v>33</v>
      </c>
      <c r="G2587" s="37">
        <v>100</v>
      </c>
      <c r="H2587" s="32">
        <f t="shared" si="46"/>
        <v>3300</v>
      </c>
    </row>
    <row r="2588" spans="2:8">
      <c r="B2588" s="28">
        <v>10386</v>
      </c>
      <c r="C2588" s="34" t="s">
        <v>261</v>
      </c>
      <c r="D2588" s="34" t="s">
        <v>119</v>
      </c>
      <c r="E2588" s="34" t="s">
        <v>526</v>
      </c>
      <c r="F2588" s="35">
        <v>37</v>
      </c>
      <c r="G2588" s="37">
        <v>83.84</v>
      </c>
      <c r="H2588" s="32">
        <f t="shared" si="46"/>
        <v>3102.08</v>
      </c>
    </row>
    <row r="2589" spans="2:8">
      <c r="B2589" s="28">
        <v>10398</v>
      </c>
      <c r="C2589" s="34" t="s">
        <v>109</v>
      </c>
      <c r="D2589" s="34" t="s">
        <v>104</v>
      </c>
      <c r="E2589" s="34" t="s">
        <v>93</v>
      </c>
      <c r="F2589" s="35">
        <v>22</v>
      </c>
      <c r="G2589" s="37">
        <v>86.76</v>
      </c>
      <c r="H2589" s="32">
        <f t="shared" si="46"/>
        <v>1908.72</v>
      </c>
    </row>
    <row r="2590" spans="2:8">
      <c r="B2590" s="28">
        <v>10401</v>
      </c>
      <c r="C2590" s="34" t="s">
        <v>100</v>
      </c>
      <c r="D2590" s="34" t="s">
        <v>232</v>
      </c>
      <c r="E2590" s="34" t="s">
        <v>518</v>
      </c>
      <c r="F2590" s="35">
        <v>85</v>
      </c>
      <c r="G2590" s="37">
        <v>88.75</v>
      </c>
      <c r="H2590" s="32">
        <f t="shared" si="46"/>
        <v>7543.75</v>
      </c>
    </row>
    <row r="2591" spans="2:8">
      <c r="B2591" s="28">
        <v>10416</v>
      </c>
      <c r="C2591" s="34" t="s">
        <v>352</v>
      </c>
      <c r="D2591" s="34" t="s">
        <v>104</v>
      </c>
      <c r="E2591" s="34" t="s">
        <v>93</v>
      </c>
      <c r="F2591" s="35">
        <v>22</v>
      </c>
      <c r="G2591" s="37">
        <v>100</v>
      </c>
      <c r="H2591" s="32">
        <f t="shared" si="46"/>
        <v>2200</v>
      </c>
    </row>
    <row r="2592" spans="2:8">
      <c r="B2592" s="28">
        <v>10105</v>
      </c>
      <c r="C2592" s="34" t="s">
        <v>429</v>
      </c>
      <c r="D2592" s="34" t="s">
        <v>104</v>
      </c>
      <c r="E2592" s="34" t="s">
        <v>93</v>
      </c>
      <c r="F2592" s="35">
        <v>31</v>
      </c>
      <c r="G2592" s="37">
        <v>65.77</v>
      </c>
      <c r="H2592" s="32">
        <f t="shared" si="46"/>
        <v>2038.87</v>
      </c>
    </row>
    <row r="2593" spans="2:8">
      <c r="B2593" s="28">
        <v>10119</v>
      </c>
      <c r="C2593" s="34" t="s">
        <v>229</v>
      </c>
      <c r="D2593" s="34" t="s">
        <v>104</v>
      </c>
      <c r="E2593" s="34" t="s">
        <v>93</v>
      </c>
      <c r="F2593" s="35">
        <v>38</v>
      </c>
      <c r="G2593" s="37">
        <v>65.77</v>
      </c>
      <c r="H2593" s="32">
        <f t="shared" si="46"/>
        <v>2499.2599999999998</v>
      </c>
    </row>
    <row r="2594" spans="2:8">
      <c r="B2594" s="28">
        <v>10129</v>
      </c>
      <c r="C2594" s="34" t="s">
        <v>252</v>
      </c>
      <c r="D2594" s="34" t="s">
        <v>119</v>
      </c>
      <c r="E2594" s="34" t="s">
        <v>93</v>
      </c>
      <c r="F2594" s="35">
        <v>45</v>
      </c>
      <c r="G2594" s="37">
        <v>85.29</v>
      </c>
      <c r="H2594" s="32">
        <f t="shared" si="46"/>
        <v>3838.05</v>
      </c>
    </row>
    <row r="2595" spans="2:8">
      <c r="B2595" s="28">
        <v>10143</v>
      </c>
      <c r="C2595" s="34" t="s">
        <v>100</v>
      </c>
      <c r="D2595" s="34" t="s">
        <v>104</v>
      </c>
      <c r="E2595" s="34" t="s">
        <v>93</v>
      </c>
      <c r="F2595" s="35">
        <v>31</v>
      </c>
      <c r="G2595" s="37">
        <v>85.29</v>
      </c>
      <c r="H2595" s="32">
        <f t="shared" si="46"/>
        <v>2643.9900000000002</v>
      </c>
    </row>
    <row r="2596" spans="2:8">
      <c r="B2596" s="28">
        <v>10154</v>
      </c>
      <c r="C2596" s="34" t="s">
        <v>100</v>
      </c>
      <c r="D2596" s="34" t="s">
        <v>104</v>
      </c>
      <c r="E2596" s="34" t="s">
        <v>93</v>
      </c>
      <c r="F2596" s="35">
        <v>36</v>
      </c>
      <c r="G2596" s="37">
        <v>64.33</v>
      </c>
      <c r="H2596" s="32">
        <f t="shared" si="46"/>
        <v>2315.88</v>
      </c>
    </row>
    <row r="2597" spans="2:8">
      <c r="B2597" s="28">
        <v>10167</v>
      </c>
      <c r="C2597" s="34" t="s">
        <v>273</v>
      </c>
      <c r="D2597" s="34" t="s">
        <v>119</v>
      </c>
      <c r="E2597" s="34" t="s">
        <v>444</v>
      </c>
      <c r="F2597" s="35">
        <v>46</v>
      </c>
      <c r="G2597" s="37">
        <v>70.11</v>
      </c>
      <c r="H2597" s="32">
        <f t="shared" si="46"/>
        <v>3225.06</v>
      </c>
    </row>
    <row r="2598" spans="2:8">
      <c r="B2598" s="28">
        <v>10177</v>
      </c>
      <c r="C2598" s="34" t="s">
        <v>261</v>
      </c>
      <c r="D2598" s="34" t="s">
        <v>104</v>
      </c>
      <c r="E2598" s="34" t="s">
        <v>93</v>
      </c>
      <c r="F2598" s="35">
        <v>32</v>
      </c>
      <c r="G2598" s="37">
        <v>76.62</v>
      </c>
      <c r="H2598" s="32">
        <f t="shared" si="46"/>
        <v>2451.84</v>
      </c>
    </row>
    <row r="2599" spans="2:8">
      <c r="B2599" s="28">
        <v>10185</v>
      </c>
      <c r="C2599" s="34" t="s">
        <v>100</v>
      </c>
      <c r="D2599" s="34" t="s">
        <v>104</v>
      </c>
      <c r="E2599" s="34" t="s">
        <v>93</v>
      </c>
      <c r="F2599" s="35">
        <v>39</v>
      </c>
      <c r="G2599" s="37">
        <v>57.82</v>
      </c>
      <c r="H2599" s="32">
        <f t="shared" si="46"/>
        <v>2254.98</v>
      </c>
    </row>
    <row r="2600" spans="2:8">
      <c r="B2600" s="28">
        <v>10197</v>
      </c>
      <c r="C2600" s="34" t="s">
        <v>261</v>
      </c>
      <c r="D2600" s="34" t="s">
        <v>119</v>
      </c>
      <c r="E2600" s="34" t="s">
        <v>93</v>
      </c>
      <c r="F2600" s="35">
        <v>50</v>
      </c>
      <c r="G2600" s="37">
        <v>78.790000000000006</v>
      </c>
      <c r="H2600" s="32">
        <f t="shared" si="46"/>
        <v>3939.5000000000005</v>
      </c>
    </row>
    <row r="2601" spans="2:8">
      <c r="B2601" s="28">
        <v>10208</v>
      </c>
      <c r="C2601" s="34" t="s">
        <v>109</v>
      </c>
      <c r="D2601" s="34" t="s">
        <v>119</v>
      </c>
      <c r="E2601" s="34" t="s">
        <v>93</v>
      </c>
      <c r="F2601" s="35">
        <v>46</v>
      </c>
      <c r="G2601" s="37">
        <v>74.45</v>
      </c>
      <c r="H2601" s="32">
        <f t="shared" si="46"/>
        <v>3424.7000000000003</v>
      </c>
    </row>
    <row r="2602" spans="2:8">
      <c r="B2602" s="28">
        <v>10222</v>
      </c>
      <c r="C2602" s="34" t="s">
        <v>100</v>
      </c>
      <c r="D2602" s="34" t="s">
        <v>104</v>
      </c>
      <c r="E2602" s="34" t="s">
        <v>93</v>
      </c>
      <c r="F2602" s="35">
        <v>36</v>
      </c>
      <c r="G2602" s="37">
        <v>80.95</v>
      </c>
      <c r="H2602" s="32">
        <f t="shared" si="46"/>
        <v>2914.2000000000003</v>
      </c>
    </row>
    <row r="2603" spans="2:8">
      <c r="B2603" s="28">
        <v>10233</v>
      </c>
      <c r="C2603" s="34" t="s">
        <v>100</v>
      </c>
      <c r="D2603" s="34" t="s">
        <v>104</v>
      </c>
      <c r="E2603" s="34" t="s">
        <v>93</v>
      </c>
      <c r="F2603" s="35">
        <v>29</v>
      </c>
      <c r="G2603" s="37">
        <v>82.4</v>
      </c>
      <c r="H2603" s="32">
        <f t="shared" si="46"/>
        <v>2389.6000000000004</v>
      </c>
    </row>
    <row r="2604" spans="2:8">
      <c r="B2604" s="28">
        <v>10248</v>
      </c>
      <c r="C2604" s="34" t="s">
        <v>100</v>
      </c>
      <c r="D2604" s="34" t="s">
        <v>104</v>
      </c>
      <c r="E2604" s="34" t="s">
        <v>444</v>
      </c>
      <c r="F2604" s="35">
        <v>32</v>
      </c>
      <c r="G2604" s="37">
        <v>75.89</v>
      </c>
      <c r="H2604" s="32">
        <f t="shared" si="46"/>
        <v>2428.48</v>
      </c>
    </row>
    <row r="2605" spans="2:8">
      <c r="B2605" s="28">
        <v>10261</v>
      </c>
      <c r="C2605" s="34" t="s">
        <v>322</v>
      </c>
      <c r="D2605" s="34" t="s">
        <v>119</v>
      </c>
      <c r="E2605" s="34" t="s">
        <v>93</v>
      </c>
      <c r="F2605" s="35">
        <v>44</v>
      </c>
      <c r="G2605" s="37">
        <v>68.67</v>
      </c>
      <c r="H2605" s="32">
        <f t="shared" si="46"/>
        <v>3021.48</v>
      </c>
    </row>
    <row r="2606" spans="2:8">
      <c r="B2606" s="28">
        <v>10273</v>
      </c>
      <c r="C2606" s="34" t="s">
        <v>480</v>
      </c>
      <c r="D2606" s="34" t="s">
        <v>104</v>
      </c>
      <c r="E2606" s="34" t="s">
        <v>93</v>
      </c>
      <c r="F2606" s="35">
        <v>42</v>
      </c>
      <c r="G2606" s="37">
        <v>62.16</v>
      </c>
      <c r="H2606" s="32">
        <f t="shared" si="46"/>
        <v>2610.7199999999998</v>
      </c>
    </row>
    <row r="2607" spans="2:8">
      <c r="B2607" s="28">
        <v>10283</v>
      </c>
      <c r="C2607" s="34" t="s">
        <v>322</v>
      </c>
      <c r="D2607" s="34" t="s">
        <v>119</v>
      </c>
      <c r="E2607" s="34" t="s">
        <v>93</v>
      </c>
      <c r="F2607" s="35">
        <v>47</v>
      </c>
      <c r="G2607" s="37">
        <v>65.77</v>
      </c>
      <c r="H2607" s="32">
        <f t="shared" si="46"/>
        <v>3091.1899999999996</v>
      </c>
    </row>
    <row r="2608" spans="2:8">
      <c r="B2608" s="28">
        <v>10295</v>
      </c>
      <c r="C2608" s="34" t="s">
        <v>100</v>
      </c>
      <c r="D2608" s="34" t="s">
        <v>104</v>
      </c>
      <c r="E2608" s="34" t="s">
        <v>93</v>
      </c>
      <c r="F2608" s="35">
        <v>44</v>
      </c>
      <c r="G2608" s="37">
        <v>58.55</v>
      </c>
      <c r="H2608" s="32">
        <f t="shared" si="46"/>
        <v>2576.1999999999998</v>
      </c>
    </row>
    <row r="2609" spans="2:8">
      <c r="B2609" s="28">
        <v>10306</v>
      </c>
      <c r="C2609" s="34" t="s">
        <v>252</v>
      </c>
      <c r="D2609" s="34" t="s">
        <v>119</v>
      </c>
      <c r="E2609" s="34" t="s">
        <v>93</v>
      </c>
      <c r="F2609" s="35">
        <v>43</v>
      </c>
      <c r="G2609" s="37">
        <v>75.17</v>
      </c>
      <c r="H2609" s="32">
        <f t="shared" si="46"/>
        <v>3232.31</v>
      </c>
    </row>
    <row r="2610" spans="2:8">
      <c r="B2610" s="28">
        <v>10316</v>
      </c>
      <c r="C2610" s="34" t="s">
        <v>252</v>
      </c>
      <c r="D2610" s="34" t="s">
        <v>119</v>
      </c>
      <c r="E2610" s="34" t="s">
        <v>93</v>
      </c>
      <c r="F2610" s="35">
        <v>48</v>
      </c>
      <c r="G2610" s="37">
        <v>74.45</v>
      </c>
      <c r="H2610" s="32">
        <f t="shared" si="46"/>
        <v>3573.6000000000004</v>
      </c>
    </row>
    <row r="2611" spans="2:8">
      <c r="B2611" s="28">
        <v>10327</v>
      </c>
      <c r="C2611" s="34" t="s">
        <v>429</v>
      </c>
      <c r="D2611" s="34" t="s">
        <v>104</v>
      </c>
      <c r="E2611" s="34" t="s">
        <v>526</v>
      </c>
      <c r="F2611" s="35">
        <v>21</v>
      </c>
      <c r="G2611" s="37">
        <v>96.31</v>
      </c>
      <c r="H2611" s="32">
        <f t="shared" si="46"/>
        <v>2022.51</v>
      </c>
    </row>
    <row r="2612" spans="2:8">
      <c r="B2612" s="28">
        <v>10339</v>
      </c>
      <c r="C2612" s="34" t="s">
        <v>288</v>
      </c>
      <c r="D2612" s="34" t="s">
        <v>119</v>
      </c>
      <c r="E2612" s="34" t="s">
        <v>93</v>
      </c>
      <c r="F2612" s="35">
        <v>50</v>
      </c>
      <c r="G2612" s="37">
        <v>74.349999999999994</v>
      </c>
      <c r="H2612" s="32">
        <f t="shared" si="46"/>
        <v>3717.4999999999995</v>
      </c>
    </row>
    <row r="2613" spans="2:8">
      <c r="B2613" s="28">
        <v>10350</v>
      </c>
      <c r="C2613" s="34" t="s">
        <v>261</v>
      </c>
      <c r="D2613" s="34" t="s">
        <v>104</v>
      </c>
      <c r="E2613" s="34" t="s">
        <v>93</v>
      </c>
      <c r="F2613" s="35">
        <v>29</v>
      </c>
      <c r="G2613" s="37">
        <v>75.349999999999994</v>
      </c>
      <c r="H2613" s="32">
        <f t="shared" si="46"/>
        <v>2185.1499999999996</v>
      </c>
    </row>
    <row r="2614" spans="2:8">
      <c r="B2614" s="28">
        <v>10373</v>
      </c>
      <c r="C2614" s="34" t="s">
        <v>208</v>
      </c>
      <c r="D2614" s="34" t="s">
        <v>104</v>
      </c>
      <c r="E2614" s="34" t="s">
        <v>93</v>
      </c>
      <c r="F2614" s="35">
        <v>41</v>
      </c>
      <c r="G2614" s="37">
        <v>70.33</v>
      </c>
      <c r="H2614" s="32">
        <f t="shared" si="46"/>
        <v>2883.5299999999997</v>
      </c>
    </row>
    <row r="2615" spans="2:8">
      <c r="B2615" s="28">
        <v>10386</v>
      </c>
      <c r="C2615" s="34" t="s">
        <v>261</v>
      </c>
      <c r="D2615" s="34" t="s">
        <v>119</v>
      </c>
      <c r="E2615" s="34" t="s">
        <v>526</v>
      </c>
      <c r="F2615" s="35">
        <v>37</v>
      </c>
      <c r="G2615" s="37">
        <v>100</v>
      </c>
      <c r="H2615" s="32">
        <f t="shared" si="46"/>
        <v>3700</v>
      </c>
    </row>
    <row r="2616" spans="2:8">
      <c r="B2616" s="28">
        <v>10397</v>
      </c>
      <c r="C2616" s="34" t="s">
        <v>109</v>
      </c>
      <c r="D2616" s="34" t="s">
        <v>104</v>
      </c>
      <c r="E2616" s="34" t="s">
        <v>93</v>
      </c>
      <c r="F2616" s="35">
        <v>22</v>
      </c>
      <c r="G2616" s="37">
        <v>66.5</v>
      </c>
      <c r="H2616" s="32">
        <f t="shared" si="46"/>
        <v>1463</v>
      </c>
    </row>
    <row r="2617" spans="2:8">
      <c r="B2617" s="28">
        <v>10414</v>
      </c>
      <c r="C2617" s="34" t="s">
        <v>100</v>
      </c>
      <c r="D2617" s="34" t="s">
        <v>104</v>
      </c>
      <c r="E2617" s="34" t="s">
        <v>518</v>
      </c>
      <c r="F2617" s="35">
        <v>31</v>
      </c>
      <c r="G2617" s="37">
        <v>75.89</v>
      </c>
      <c r="H2617" s="32">
        <f t="shared" si="46"/>
        <v>2352.59</v>
      </c>
    </row>
    <row r="2618" spans="2:8">
      <c r="B2618" s="28">
        <v>10103</v>
      </c>
      <c r="C2618" s="34" t="s">
        <v>149</v>
      </c>
      <c r="D2618" s="34" t="s">
        <v>119</v>
      </c>
      <c r="E2618" s="34" t="s">
        <v>93</v>
      </c>
      <c r="F2618" s="35">
        <v>42</v>
      </c>
      <c r="G2618" s="37">
        <v>100</v>
      </c>
      <c r="H2618" s="32">
        <f t="shared" si="46"/>
        <v>4200</v>
      </c>
    </row>
    <row r="2619" spans="2:8">
      <c r="B2619" s="28">
        <v>10114</v>
      </c>
      <c r="C2619" s="34" t="s">
        <v>109</v>
      </c>
      <c r="D2619" s="34" t="s">
        <v>119</v>
      </c>
      <c r="E2619" s="34" t="s">
        <v>93</v>
      </c>
      <c r="F2619" s="35">
        <v>42</v>
      </c>
      <c r="G2619" s="37">
        <v>100</v>
      </c>
      <c r="H2619" s="32">
        <f t="shared" si="46"/>
        <v>4200</v>
      </c>
    </row>
    <row r="2620" spans="2:8">
      <c r="B2620" s="28">
        <v>10126</v>
      </c>
      <c r="C2620" s="34" t="s">
        <v>261</v>
      </c>
      <c r="D2620" s="34" t="s">
        <v>119</v>
      </c>
      <c r="E2620" s="34" t="s">
        <v>93</v>
      </c>
      <c r="F2620" s="35">
        <v>45</v>
      </c>
      <c r="G2620" s="37">
        <v>100</v>
      </c>
      <c r="H2620" s="32">
        <f t="shared" si="46"/>
        <v>4500</v>
      </c>
    </row>
    <row r="2621" spans="2:8">
      <c r="B2621" s="28">
        <v>10140</v>
      </c>
      <c r="C2621" s="34" t="s">
        <v>100</v>
      </c>
      <c r="D2621" s="34" t="s">
        <v>119</v>
      </c>
      <c r="E2621" s="34" t="s">
        <v>93</v>
      </c>
      <c r="F2621" s="35">
        <v>36</v>
      </c>
      <c r="G2621" s="37">
        <v>100</v>
      </c>
      <c r="H2621" s="32">
        <f t="shared" si="46"/>
        <v>3600</v>
      </c>
    </row>
    <row r="2622" spans="2:8">
      <c r="B2622" s="28">
        <v>10150</v>
      </c>
      <c r="C2622" s="34" t="s">
        <v>287</v>
      </c>
      <c r="D2622" s="34" t="s">
        <v>104</v>
      </c>
      <c r="E2622" s="34" t="s">
        <v>93</v>
      </c>
      <c r="F2622" s="35">
        <v>20</v>
      </c>
      <c r="G2622" s="37">
        <v>100</v>
      </c>
      <c r="H2622" s="32">
        <f t="shared" si="46"/>
        <v>2000</v>
      </c>
    </row>
    <row r="2623" spans="2:8">
      <c r="B2623" s="28">
        <v>10164</v>
      </c>
      <c r="C2623" s="34" t="s">
        <v>229</v>
      </c>
      <c r="D2623" s="34" t="s">
        <v>119</v>
      </c>
      <c r="E2623" s="34" t="s">
        <v>526</v>
      </c>
      <c r="F2623" s="35">
        <v>39</v>
      </c>
      <c r="G2623" s="37">
        <v>81.93</v>
      </c>
      <c r="H2623" s="32">
        <f t="shared" si="46"/>
        <v>3195.2700000000004</v>
      </c>
    </row>
    <row r="2624" spans="2:8">
      <c r="B2624" s="28">
        <v>10175</v>
      </c>
      <c r="C2624" s="34" t="s">
        <v>252</v>
      </c>
      <c r="D2624" s="34" t="s">
        <v>119</v>
      </c>
      <c r="E2624" s="34" t="s">
        <v>93</v>
      </c>
      <c r="F2624" s="35">
        <v>42</v>
      </c>
      <c r="G2624" s="37">
        <v>85.98</v>
      </c>
      <c r="H2624" s="32">
        <f t="shared" si="46"/>
        <v>3611.1600000000003</v>
      </c>
    </row>
    <row r="2625" spans="2:8">
      <c r="B2625" s="28">
        <v>10183</v>
      </c>
      <c r="C2625" s="34" t="s">
        <v>100</v>
      </c>
      <c r="D2625" s="34" t="s">
        <v>104</v>
      </c>
      <c r="E2625" s="34" t="s">
        <v>93</v>
      </c>
      <c r="F2625" s="35">
        <v>23</v>
      </c>
      <c r="G2625" s="37">
        <v>86.99</v>
      </c>
      <c r="H2625" s="32">
        <f t="shared" si="46"/>
        <v>2000.77</v>
      </c>
    </row>
    <row r="2626" spans="2:8">
      <c r="B2626" s="28">
        <v>10194</v>
      </c>
      <c r="C2626" s="34" t="s">
        <v>109</v>
      </c>
      <c r="D2626" s="34" t="s">
        <v>104</v>
      </c>
      <c r="E2626" s="34" t="s">
        <v>93</v>
      </c>
      <c r="F2626" s="35">
        <v>26</v>
      </c>
      <c r="G2626" s="37">
        <v>89.01</v>
      </c>
      <c r="H2626" s="32">
        <f t="shared" si="46"/>
        <v>2314.2600000000002</v>
      </c>
    </row>
    <row r="2627" spans="2:8">
      <c r="B2627" s="28">
        <v>10206</v>
      </c>
      <c r="C2627" s="34" t="s">
        <v>322</v>
      </c>
      <c r="D2627" s="34" t="s">
        <v>119</v>
      </c>
      <c r="E2627" s="34" t="s">
        <v>93</v>
      </c>
      <c r="F2627" s="35">
        <v>33</v>
      </c>
      <c r="G2627" s="37">
        <v>100</v>
      </c>
      <c r="H2627" s="32">
        <f t="shared" si="46"/>
        <v>3300</v>
      </c>
    </row>
    <row r="2628" spans="2:8">
      <c r="B2628" s="28">
        <v>10217</v>
      </c>
      <c r="C2628" s="34" t="s">
        <v>287</v>
      </c>
      <c r="D2628" s="34" t="s">
        <v>104</v>
      </c>
      <c r="E2628" s="34" t="s">
        <v>93</v>
      </c>
      <c r="F2628" s="35">
        <v>31</v>
      </c>
      <c r="G2628" s="37">
        <v>88</v>
      </c>
      <c r="H2628" s="32">
        <f t="shared" si="46"/>
        <v>2728</v>
      </c>
    </row>
    <row r="2629" spans="2:8">
      <c r="B2629" s="28">
        <v>10229</v>
      </c>
      <c r="C2629" s="34" t="s">
        <v>100</v>
      </c>
      <c r="D2629" s="34" t="s">
        <v>119</v>
      </c>
      <c r="E2629" s="34" t="s">
        <v>93</v>
      </c>
      <c r="F2629" s="35">
        <v>50</v>
      </c>
      <c r="G2629" s="37">
        <v>100</v>
      </c>
      <c r="H2629" s="32">
        <f t="shared" ref="H2629:H2692" si="47">F2629*G2629</f>
        <v>5000</v>
      </c>
    </row>
    <row r="2630" spans="2:8">
      <c r="B2630" s="28">
        <v>10245</v>
      </c>
      <c r="C2630" s="34" t="s">
        <v>100</v>
      </c>
      <c r="D2630" s="34" t="s">
        <v>119</v>
      </c>
      <c r="E2630" s="34" t="s">
        <v>93</v>
      </c>
      <c r="F2630" s="35">
        <v>44</v>
      </c>
      <c r="G2630" s="37">
        <v>100</v>
      </c>
      <c r="H2630" s="32">
        <f t="shared" si="47"/>
        <v>4400</v>
      </c>
    </row>
    <row r="2631" spans="2:8">
      <c r="B2631" s="28">
        <v>10258</v>
      </c>
      <c r="C2631" s="34" t="s">
        <v>288</v>
      </c>
      <c r="D2631" s="34" t="s">
        <v>119</v>
      </c>
      <c r="E2631" s="34" t="s">
        <v>93</v>
      </c>
      <c r="F2631" s="35">
        <v>45</v>
      </c>
      <c r="G2631" s="37">
        <v>80.92</v>
      </c>
      <c r="H2631" s="32">
        <f t="shared" si="47"/>
        <v>3641.4</v>
      </c>
    </row>
    <row r="2632" spans="2:8">
      <c r="B2632" s="28">
        <v>10270</v>
      </c>
      <c r="C2632" s="34" t="s">
        <v>168</v>
      </c>
      <c r="D2632" s="34" t="s">
        <v>119</v>
      </c>
      <c r="E2632" s="34" t="s">
        <v>93</v>
      </c>
      <c r="F2632" s="35">
        <v>46</v>
      </c>
      <c r="G2632" s="37">
        <v>88</v>
      </c>
      <c r="H2632" s="32">
        <f t="shared" si="47"/>
        <v>4048</v>
      </c>
    </row>
    <row r="2633" spans="2:8">
      <c r="B2633" s="28">
        <v>10281</v>
      </c>
      <c r="C2633" s="34" t="s">
        <v>100</v>
      </c>
      <c r="D2633" s="34" t="s">
        <v>104</v>
      </c>
      <c r="E2633" s="34" t="s">
        <v>93</v>
      </c>
      <c r="F2633" s="35">
        <v>27</v>
      </c>
      <c r="G2633" s="37">
        <v>85.98</v>
      </c>
      <c r="H2633" s="32">
        <f t="shared" si="47"/>
        <v>2321.46</v>
      </c>
    </row>
    <row r="2634" spans="2:8">
      <c r="B2634" s="28">
        <v>10291</v>
      </c>
      <c r="C2634" s="34" t="s">
        <v>273</v>
      </c>
      <c r="D2634" s="34" t="s">
        <v>119</v>
      </c>
      <c r="E2634" s="34" t="s">
        <v>93</v>
      </c>
      <c r="F2634" s="35">
        <v>28</v>
      </c>
      <c r="G2634" s="37">
        <v>100</v>
      </c>
      <c r="H2634" s="32">
        <f t="shared" si="47"/>
        <v>2800</v>
      </c>
    </row>
    <row r="2635" spans="2:8">
      <c r="B2635" s="28">
        <v>10304</v>
      </c>
      <c r="C2635" s="34" t="s">
        <v>109</v>
      </c>
      <c r="D2635" s="34" t="s">
        <v>119</v>
      </c>
      <c r="E2635" s="34" t="s">
        <v>93</v>
      </c>
      <c r="F2635" s="35">
        <v>40</v>
      </c>
      <c r="G2635" s="37">
        <v>100</v>
      </c>
      <c r="H2635" s="32">
        <f t="shared" si="47"/>
        <v>4000</v>
      </c>
    </row>
    <row r="2636" spans="2:8">
      <c r="B2636" s="28">
        <v>10313</v>
      </c>
      <c r="C2636" s="34" t="s">
        <v>322</v>
      </c>
      <c r="D2636" s="34" t="s">
        <v>104</v>
      </c>
      <c r="E2636" s="34" t="s">
        <v>93</v>
      </c>
      <c r="F2636" s="35">
        <v>30</v>
      </c>
      <c r="G2636" s="37">
        <v>99.13</v>
      </c>
      <c r="H2636" s="32">
        <f t="shared" si="47"/>
        <v>2973.8999999999996</v>
      </c>
    </row>
    <row r="2637" spans="2:8">
      <c r="B2637" s="28">
        <v>10324</v>
      </c>
      <c r="C2637" s="34" t="s">
        <v>100</v>
      </c>
      <c r="D2637" s="34" t="s">
        <v>119</v>
      </c>
      <c r="E2637" s="34" t="s">
        <v>93</v>
      </c>
      <c r="F2637" s="35">
        <v>34</v>
      </c>
      <c r="G2637" s="37">
        <v>100</v>
      </c>
      <c r="H2637" s="32">
        <f t="shared" si="47"/>
        <v>3400</v>
      </c>
    </row>
    <row r="2638" spans="2:8">
      <c r="B2638" s="28">
        <v>10336</v>
      </c>
      <c r="C2638" s="34" t="s">
        <v>109</v>
      </c>
      <c r="D2638" s="34" t="s">
        <v>232</v>
      </c>
      <c r="E2638" s="34" t="s">
        <v>93</v>
      </c>
      <c r="F2638" s="35">
        <v>46</v>
      </c>
      <c r="G2638" s="37">
        <v>100</v>
      </c>
      <c r="H2638" s="32">
        <f t="shared" si="47"/>
        <v>4600</v>
      </c>
    </row>
    <row r="2639" spans="2:8">
      <c r="B2639" s="28">
        <v>10348</v>
      </c>
      <c r="C2639" s="34" t="s">
        <v>261</v>
      </c>
      <c r="D2639" s="34" t="s">
        <v>104</v>
      </c>
      <c r="E2639" s="34" t="s">
        <v>93</v>
      </c>
      <c r="F2639" s="35">
        <v>32</v>
      </c>
      <c r="G2639" s="37">
        <v>82.83</v>
      </c>
      <c r="H2639" s="32">
        <f t="shared" si="47"/>
        <v>2650.56</v>
      </c>
    </row>
    <row r="2640" spans="2:8">
      <c r="B2640" s="28">
        <v>10358</v>
      </c>
      <c r="C2640" s="34" t="s">
        <v>261</v>
      </c>
      <c r="D2640" s="34" t="s">
        <v>119</v>
      </c>
      <c r="E2640" s="34" t="s">
        <v>93</v>
      </c>
      <c r="F2640" s="35">
        <v>27</v>
      </c>
      <c r="G2640" s="37">
        <v>100</v>
      </c>
      <c r="H2640" s="32">
        <f t="shared" si="47"/>
        <v>2700</v>
      </c>
    </row>
    <row r="2641" spans="2:8">
      <c r="B2641" s="28">
        <v>10371</v>
      </c>
      <c r="C2641" s="34" t="s">
        <v>100</v>
      </c>
      <c r="D2641" s="34" t="s">
        <v>119</v>
      </c>
      <c r="E2641" s="34" t="s">
        <v>93</v>
      </c>
      <c r="F2641" s="35">
        <v>34</v>
      </c>
      <c r="G2641" s="37">
        <v>100</v>
      </c>
      <c r="H2641" s="32">
        <f t="shared" si="47"/>
        <v>3400</v>
      </c>
    </row>
    <row r="2642" spans="2:8">
      <c r="B2642" s="28">
        <v>10382</v>
      </c>
      <c r="C2642" s="34" t="s">
        <v>100</v>
      </c>
      <c r="D2642" s="34" t="s">
        <v>104</v>
      </c>
      <c r="E2642" s="34" t="s">
        <v>93</v>
      </c>
      <c r="F2642" s="35">
        <v>34</v>
      </c>
      <c r="G2642" s="37">
        <v>54.84</v>
      </c>
      <c r="H2642" s="32">
        <f t="shared" si="47"/>
        <v>1864.5600000000002</v>
      </c>
    </row>
    <row r="2643" spans="2:8">
      <c r="B2643" s="28">
        <v>10411</v>
      </c>
      <c r="C2643" s="34" t="s">
        <v>322</v>
      </c>
      <c r="D2643" s="34" t="s">
        <v>119</v>
      </c>
      <c r="E2643" s="34" t="s">
        <v>93</v>
      </c>
      <c r="F2643" s="35">
        <v>34</v>
      </c>
      <c r="G2643" s="37">
        <v>100</v>
      </c>
      <c r="H2643" s="32">
        <f t="shared" si="47"/>
        <v>3400</v>
      </c>
    </row>
    <row r="2644" spans="2:8">
      <c r="B2644" s="28">
        <v>10424</v>
      </c>
      <c r="C2644" s="34" t="s">
        <v>261</v>
      </c>
      <c r="D2644" s="34" t="s">
        <v>119</v>
      </c>
      <c r="E2644" s="34" t="s">
        <v>400</v>
      </c>
      <c r="F2644" s="35">
        <v>46</v>
      </c>
      <c r="G2644" s="37">
        <v>80.92</v>
      </c>
      <c r="H2644" s="32">
        <f t="shared" si="47"/>
        <v>3722.32</v>
      </c>
    </row>
    <row r="2645" spans="2:8">
      <c r="B2645" s="28">
        <v>10106</v>
      </c>
      <c r="C2645" s="34" t="s">
        <v>352</v>
      </c>
      <c r="D2645" s="34" t="s">
        <v>119</v>
      </c>
      <c r="E2645" s="34" t="s">
        <v>93</v>
      </c>
      <c r="F2645" s="35">
        <v>32</v>
      </c>
      <c r="G2645" s="37">
        <v>100</v>
      </c>
      <c r="H2645" s="32">
        <f t="shared" si="47"/>
        <v>3200</v>
      </c>
    </row>
    <row r="2646" spans="2:8">
      <c r="B2646" s="28">
        <v>10120</v>
      </c>
      <c r="C2646" s="34" t="s">
        <v>168</v>
      </c>
      <c r="D2646" s="34" t="s">
        <v>119</v>
      </c>
      <c r="E2646" s="34" t="s">
        <v>93</v>
      </c>
      <c r="F2646" s="35">
        <v>24</v>
      </c>
      <c r="G2646" s="37">
        <v>100</v>
      </c>
      <c r="H2646" s="32">
        <f t="shared" si="47"/>
        <v>2400</v>
      </c>
    </row>
    <row r="2647" spans="2:8">
      <c r="B2647" s="28">
        <v>10133</v>
      </c>
      <c r="C2647" s="34" t="s">
        <v>261</v>
      </c>
      <c r="D2647" s="34" t="s">
        <v>104</v>
      </c>
      <c r="E2647" s="34" t="s">
        <v>93</v>
      </c>
      <c r="F2647" s="35">
        <v>27</v>
      </c>
      <c r="G2647" s="37">
        <v>99.67</v>
      </c>
      <c r="H2647" s="32">
        <f t="shared" si="47"/>
        <v>2691.09</v>
      </c>
    </row>
    <row r="2648" spans="2:8">
      <c r="B2648" s="28">
        <v>10145</v>
      </c>
      <c r="C2648" s="34" t="s">
        <v>100</v>
      </c>
      <c r="D2648" s="34" t="s">
        <v>104</v>
      </c>
      <c r="E2648" s="34" t="s">
        <v>93</v>
      </c>
      <c r="F2648" s="35">
        <v>20</v>
      </c>
      <c r="G2648" s="37">
        <v>100</v>
      </c>
      <c r="H2648" s="32">
        <f t="shared" si="47"/>
        <v>2000</v>
      </c>
    </row>
    <row r="2649" spans="2:8">
      <c r="B2649" s="28">
        <v>10168</v>
      </c>
      <c r="C2649" s="34" t="s">
        <v>100</v>
      </c>
      <c r="D2649" s="34" t="s">
        <v>119</v>
      </c>
      <c r="E2649" s="34" t="s">
        <v>93</v>
      </c>
      <c r="F2649" s="35">
        <v>36</v>
      </c>
      <c r="G2649" s="37">
        <v>100</v>
      </c>
      <c r="H2649" s="32">
        <f t="shared" si="47"/>
        <v>3600</v>
      </c>
    </row>
    <row r="2650" spans="2:8">
      <c r="B2650" s="28">
        <v>10188</v>
      </c>
      <c r="C2650" s="34" t="s">
        <v>149</v>
      </c>
      <c r="D2650" s="34" t="s">
        <v>119</v>
      </c>
      <c r="E2650" s="34" t="s">
        <v>93</v>
      </c>
      <c r="F2650" s="35">
        <v>29</v>
      </c>
      <c r="G2650" s="37">
        <v>100</v>
      </c>
      <c r="H2650" s="32">
        <f t="shared" si="47"/>
        <v>2900</v>
      </c>
    </row>
    <row r="2651" spans="2:8">
      <c r="B2651" s="28">
        <v>10210</v>
      </c>
      <c r="C2651" s="34" t="s">
        <v>288</v>
      </c>
      <c r="D2651" s="34" t="s">
        <v>104</v>
      </c>
      <c r="E2651" s="34" t="s">
        <v>93</v>
      </c>
      <c r="F2651" s="35">
        <v>25</v>
      </c>
      <c r="G2651" s="37">
        <v>100</v>
      </c>
      <c r="H2651" s="32">
        <f t="shared" si="47"/>
        <v>2500</v>
      </c>
    </row>
    <row r="2652" spans="2:8">
      <c r="B2652" s="28">
        <v>10223</v>
      </c>
      <c r="C2652" s="34" t="s">
        <v>168</v>
      </c>
      <c r="D2652" s="34" t="s">
        <v>119</v>
      </c>
      <c r="E2652" s="34" t="s">
        <v>93</v>
      </c>
      <c r="F2652" s="35">
        <v>29</v>
      </c>
      <c r="G2652" s="37">
        <v>100</v>
      </c>
      <c r="H2652" s="32">
        <f t="shared" si="47"/>
        <v>2900</v>
      </c>
    </row>
    <row r="2653" spans="2:8">
      <c r="B2653" s="28">
        <v>10235</v>
      </c>
      <c r="C2653" s="34" t="s">
        <v>322</v>
      </c>
      <c r="D2653" s="34" t="s">
        <v>104</v>
      </c>
      <c r="E2653" s="34" t="s">
        <v>93</v>
      </c>
      <c r="F2653" s="35">
        <v>25</v>
      </c>
      <c r="G2653" s="37">
        <v>96.11</v>
      </c>
      <c r="H2653" s="32">
        <f t="shared" si="47"/>
        <v>2402.75</v>
      </c>
    </row>
    <row r="2654" spans="2:8">
      <c r="B2654" s="28">
        <v>10250</v>
      </c>
      <c r="C2654" s="34" t="s">
        <v>100</v>
      </c>
      <c r="D2654" s="34" t="s">
        <v>119</v>
      </c>
      <c r="E2654" s="34" t="s">
        <v>93</v>
      </c>
      <c r="F2654" s="35">
        <v>44</v>
      </c>
      <c r="G2654" s="37">
        <v>100</v>
      </c>
      <c r="H2654" s="32">
        <f t="shared" si="47"/>
        <v>4400</v>
      </c>
    </row>
    <row r="2655" spans="2:8">
      <c r="B2655" s="28">
        <v>10263</v>
      </c>
      <c r="C2655" s="34" t="s">
        <v>100</v>
      </c>
      <c r="D2655" s="34" t="s">
        <v>119</v>
      </c>
      <c r="E2655" s="34" t="s">
        <v>93</v>
      </c>
      <c r="F2655" s="35">
        <v>47</v>
      </c>
      <c r="G2655" s="37">
        <v>100</v>
      </c>
      <c r="H2655" s="32">
        <f t="shared" si="47"/>
        <v>4700</v>
      </c>
    </row>
    <row r="2656" spans="2:8">
      <c r="B2656" s="28">
        <v>10275</v>
      </c>
      <c r="C2656" s="34" t="s">
        <v>109</v>
      </c>
      <c r="D2656" s="34" t="s">
        <v>119</v>
      </c>
      <c r="E2656" s="34" t="s">
        <v>93</v>
      </c>
      <c r="F2656" s="35">
        <v>48</v>
      </c>
      <c r="G2656" s="37">
        <v>100</v>
      </c>
      <c r="H2656" s="32">
        <f t="shared" si="47"/>
        <v>4800</v>
      </c>
    </row>
    <row r="2657" spans="2:8">
      <c r="B2657" s="28">
        <v>10285</v>
      </c>
      <c r="C2657" s="34" t="s">
        <v>100</v>
      </c>
      <c r="D2657" s="34" t="s">
        <v>119</v>
      </c>
      <c r="E2657" s="34" t="s">
        <v>93</v>
      </c>
      <c r="F2657" s="35">
        <v>45</v>
      </c>
      <c r="G2657" s="37">
        <v>100</v>
      </c>
      <c r="H2657" s="32">
        <f t="shared" si="47"/>
        <v>4500</v>
      </c>
    </row>
    <row r="2658" spans="2:8">
      <c r="B2658" s="28">
        <v>10297</v>
      </c>
      <c r="C2658" s="34" t="s">
        <v>614</v>
      </c>
      <c r="D2658" s="34" t="s">
        <v>119</v>
      </c>
      <c r="E2658" s="34" t="s">
        <v>93</v>
      </c>
      <c r="F2658" s="35">
        <v>35</v>
      </c>
      <c r="G2658" s="37">
        <v>100</v>
      </c>
      <c r="H2658" s="32">
        <f t="shared" si="47"/>
        <v>3500</v>
      </c>
    </row>
    <row r="2659" spans="2:8">
      <c r="B2659" s="28">
        <v>10308</v>
      </c>
      <c r="C2659" s="34" t="s">
        <v>100</v>
      </c>
      <c r="D2659" s="34" t="s">
        <v>119</v>
      </c>
      <c r="E2659" s="34" t="s">
        <v>93</v>
      </c>
      <c r="F2659" s="35">
        <v>31</v>
      </c>
      <c r="G2659" s="37">
        <v>100</v>
      </c>
      <c r="H2659" s="32">
        <f t="shared" si="47"/>
        <v>3100</v>
      </c>
    </row>
    <row r="2660" spans="2:8">
      <c r="B2660" s="28">
        <v>10318</v>
      </c>
      <c r="C2660" s="34" t="s">
        <v>100</v>
      </c>
      <c r="D2660" s="34" t="s">
        <v>232</v>
      </c>
      <c r="E2660" s="34" t="s">
        <v>93</v>
      </c>
      <c r="F2660" s="35">
        <v>50</v>
      </c>
      <c r="G2660" s="37">
        <v>100</v>
      </c>
      <c r="H2660" s="32">
        <f t="shared" si="47"/>
        <v>5000</v>
      </c>
    </row>
    <row r="2661" spans="2:8">
      <c r="B2661" s="28">
        <v>10328</v>
      </c>
      <c r="C2661" s="34" t="s">
        <v>352</v>
      </c>
      <c r="D2661" s="34" t="s">
        <v>119</v>
      </c>
      <c r="E2661" s="34" t="s">
        <v>93</v>
      </c>
      <c r="F2661" s="35">
        <v>33</v>
      </c>
      <c r="G2661" s="37">
        <v>100</v>
      </c>
      <c r="H2661" s="32">
        <f t="shared" si="47"/>
        <v>3300</v>
      </c>
    </row>
    <row r="2662" spans="2:8">
      <c r="B2662" s="28">
        <v>10340</v>
      </c>
      <c r="C2662" s="34" t="s">
        <v>261</v>
      </c>
      <c r="D2662" s="34" t="s">
        <v>119</v>
      </c>
      <c r="E2662" s="34" t="s">
        <v>93</v>
      </c>
      <c r="F2662" s="35">
        <v>29</v>
      </c>
      <c r="G2662" s="37">
        <v>100</v>
      </c>
      <c r="H2662" s="32">
        <f t="shared" si="47"/>
        <v>2900</v>
      </c>
    </row>
    <row r="2663" spans="2:8">
      <c r="B2663" s="28">
        <v>10353</v>
      </c>
      <c r="C2663" s="34" t="s">
        <v>100</v>
      </c>
      <c r="D2663" s="34" t="s">
        <v>119</v>
      </c>
      <c r="E2663" s="34" t="s">
        <v>93</v>
      </c>
      <c r="F2663" s="35">
        <v>48</v>
      </c>
      <c r="G2663" s="37">
        <v>68.8</v>
      </c>
      <c r="H2663" s="32">
        <f t="shared" si="47"/>
        <v>3302.3999999999996</v>
      </c>
    </row>
    <row r="2664" spans="2:8">
      <c r="B2664" s="28">
        <v>10361</v>
      </c>
      <c r="C2664" s="34" t="s">
        <v>168</v>
      </c>
      <c r="D2664" s="34" t="s">
        <v>119</v>
      </c>
      <c r="E2664" s="34" t="s">
        <v>93</v>
      </c>
      <c r="F2664" s="35">
        <v>44</v>
      </c>
      <c r="G2664" s="37">
        <v>72.42</v>
      </c>
      <c r="H2664" s="32">
        <f t="shared" si="47"/>
        <v>3186.48</v>
      </c>
    </row>
    <row r="2665" spans="2:8">
      <c r="B2665" s="28">
        <v>10375</v>
      </c>
      <c r="C2665" s="34" t="s">
        <v>109</v>
      </c>
      <c r="D2665" s="34" t="s">
        <v>104</v>
      </c>
      <c r="E2665" s="34" t="s">
        <v>93</v>
      </c>
      <c r="F2665" s="35">
        <v>25</v>
      </c>
      <c r="G2665" s="37">
        <v>66.73</v>
      </c>
      <c r="H2665" s="32">
        <f t="shared" si="47"/>
        <v>1668.25</v>
      </c>
    </row>
    <row r="2666" spans="2:8">
      <c r="B2666" s="28">
        <v>10388</v>
      </c>
      <c r="C2666" s="34" t="s">
        <v>100</v>
      </c>
      <c r="D2666" s="34" t="s">
        <v>232</v>
      </c>
      <c r="E2666" s="34" t="s">
        <v>93</v>
      </c>
      <c r="F2666" s="35">
        <v>50</v>
      </c>
      <c r="G2666" s="37">
        <v>100</v>
      </c>
      <c r="H2666" s="32">
        <f t="shared" si="47"/>
        <v>5000</v>
      </c>
    </row>
    <row r="2667" spans="2:8">
      <c r="B2667" s="28">
        <v>10398</v>
      </c>
      <c r="C2667" s="34" t="s">
        <v>109</v>
      </c>
      <c r="D2667" s="34" t="s">
        <v>104</v>
      </c>
      <c r="E2667" s="34" t="s">
        <v>93</v>
      </c>
      <c r="F2667" s="35">
        <v>23</v>
      </c>
      <c r="G2667" s="37">
        <v>100</v>
      </c>
      <c r="H2667" s="32">
        <f t="shared" si="47"/>
        <v>2300</v>
      </c>
    </row>
    <row r="2668" spans="2:8">
      <c r="B2668" s="28">
        <v>10401</v>
      </c>
      <c r="C2668" s="34" t="s">
        <v>100</v>
      </c>
      <c r="D2668" s="34" t="s">
        <v>104</v>
      </c>
      <c r="E2668" s="34" t="s">
        <v>518</v>
      </c>
      <c r="F2668" s="35">
        <v>21</v>
      </c>
      <c r="G2668" s="37">
        <v>96.11</v>
      </c>
      <c r="H2668" s="32">
        <f t="shared" si="47"/>
        <v>2018.31</v>
      </c>
    </row>
    <row r="2669" spans="2:8">
      <c r="B2669" s="28">
        <v>10416</v>
      </c>
      <c r="C2669" s="34" t="s">
        <v>352</v>
      </c>
      <c r="D2669" s="34" t="s">
        <v>119</v>
      </c>
      <c r="E2669" s="34" t="s">
        <v>93</v>
      </c>
      <c r="F2669" s="35">
        <v>41</v>
      </c>
      <c r="G2669" s="37">
        <v>100</v>
      </c>
      <c r="H2669" s="32">
        <f t="shared" si="47"/>
        <v>4100</v>
      </c>
    </row>
    <row r="2670" spans="2:8">
      <c r="B2670" s="28">
        <v>10106</v>
      </c>
      <c r="C2670" s="34" t="s">
        <v>352</v>
      </c>
      <c r="D2670" s="34" t="s">
        <v>119</v>
      </c>
      <c r="E2670" s="34" t="s">
        <v>93</v>
      </c>
      <c r="F2670" s="35">
        <v>44</v>
      </c>
      <c r="G2670" s="37">
        <v>74.400000000000006</v>
      </c>
      <c r="H2670" s="32">
        <f t="shared" si="47"/>
        <v>3273.6000000000004</v>
      </c>
    </row>
    <row r="2671" spans="2:8">
      <c r="B2671" s="28">
        <v>10120</v>
      </c>
      <c r="C2671" s="34" t="s">
        <v>168</v>
      </c>
      <c r="D2671" s="34" t="s">
        <v>119</v>
      </c>
      <c r="E2671" s="34" t="s">
        <v>93</v>
      </c>
      <c r="F2671" s="35">
        <v>43</v>
      </c>
      <c r="G2671" s="37">
        <v>76</v>
      </c>
      <c r="H2671" s="32">
        <f t="shared" si="47"/>
        <v>3268</v>
      </c>
    </row>
    <row r="2672" spans="2:8">
      <c r="B2672" s="28">
        <v>10143</v>
      </c>
      <c r="C2672" s="34" t="s">
        <v>100</v>
      </c>
      <c r="D2672" s="34" t="s">
        <v>104</v>
      </c>
      <c r="E2672" s="34" t="s">
        <v>93</v>
      </c>
      <c r="F2672" s="35">
        <v>28</v>
      </c>
      <c r="G2672" s="37">
        <v>96</v>
      </c>
      <c r="H2672" s="32">
        <f t="shared" si="47"/>
        <v>2688</v>
      </c>
    </row>
    <row r="2673" spans="2:8">
      <c r="B2673" s="28">
        <v>10155</v>
      </c>
      <c r="C2673" s="34" t="s">
        <v>208</v>
      </c>
      <c r="D2673" s="34" t="s">
        <v>119</v>
      </c>
      <c r="E2673" s="34" t="s">
        <v>93</v>
      </c>
      <c r="F2673" s="35">
        <v>43</v>
      </c>
      <c r="G2673" s="37">
        <v>86.4</v>
      </c>
      <c r="H2673" s="32">
        <f t="shared" si="47"/>
        <v>3715.2000000000003</v>
      </c>
    </row>
    <row r="2674" spans="2:8">
      <c r="B2674" s="28">
        <v>10168</v>
      </c>
      <c r="C2674" s="34" t="s">
        <v>100</v>
      </c>
      <c r="D2674" s="34" t="s">
        <v>119</v>
      </c>
      <c r="E2674" s="34" t="s">
        <v>93</v>
      </c>
      <c r="F2674" s="35">
        <v>48</v>
      </c>
      <c r="G2674" s="37">
        <v>96</v>
      </c>
      <c r="H2674" s="32">
        <f t="shared" si="47"/>
        <v>4608</v>
      </c>
    </row>
    <row r="2675" spans="2:8">
      <c r="B2675" s="28">
        <v>10199</v>
      </c>
      <c r="C2675" s="34" t="s">
        <v>100</v>
      </c>
      <c r="D2675" s="34" t="s">
        <v>119</v>
      </c>
      <c r="E2675" s="34" t="s">
        <v>93</v>
      </c>
      <c r="F2675" s="35">
        <v>38</v>
      </c>
      <c r="G2675" s="37">
        <v>82.4</v>
      </c>
      <c r="H2675" s="32">
        <f t="shared" si="47"/>
        <v>3131.2000000000003</v>
      </c>
    </row>
    <row r="2676" spans="2:8">
      <c r="B2676" s="28">
        <v>10210</v>
      </c>
      <c r="C2676" s="34" t="s">
        <v>288</v>
      </c>
      <c r="D2676" s="34" t="s">
        <v>104</v>
      </c>
      <c r="E2676" s="34" t="s">
        <v>93</v>
      </c>
      <c r="F2676" s="35">
        <v>31</v>
      </c>
      <c r="G2676" s="37">
        <v>86.4</v>
      </c>
      <c r="H2676" s="32">
        <f t="shared" si="47"/>
        <v>2678.4</v>
      </c>
    </row>
    <row r="2677" spans="2:8">
      <c r="B2677" s="28">
        <v>10223</v>
      </c>
      <c r="C2677" s="34" t="s">
        <v>168</v>
      </c>
      <c r="D2677" s="34" t="s">
        <v>104</v>
      </c>
      <c r="E2677" s="34" t="s">
        <v>93</v>
      </c>
      <c r="F2677" s="35">
        <v>26</v>
      </c>
      <c r="G2677" s="37">
        <v>67.2</v>
      </c>
      <c r="H2677" s="32">
        <f t="shared" si="47"/>
        <v>1747.2</v>
      </c>
    </row>
    <row r="2678" spans="2:8">
      <c r="B2678" s="28">
        <v>10235</v>
      </c>
      <c r="C2678" s="34" t="s">
        <v>322</v>
      </c>
      <c r="D2678" s="34" t="s">
        <v>104</v>
      </c>
      <c r="E2678" s="34" t="s">
        <v>93</v>
      </c>
      <c r="F2678" s="35">
        <v>32</v>
      </c>
      <c r="G2678" s="37">
        <v>92</v>
      </c>
      <c r="H2678" s="32">
        <f t="shared" si="47"/>
        <v>2944</v>
      </c>
    </row>
    <row r="2679" spans="2:8">
      <c r="B2679" s="28">
        <v>10250</v>
      </c>
      <c r="C2679" s="34" t="s">
        <v>100</v>
      </c>
      <c r="D2679" s="34" t="s">
        <v>104</v>
      </c>
      <c r="E2679" s="34" t="s">
        <v>93</v>
      </c>
      <c r="F2679" s="35">
        <v>44</v>
      </c>
      <c r="G2679" s="37">
        <v>67.2</v>
      </c>
      <c r="H2679" s="32">
        <f t="shared" si="47"/>
        <v>2956.8</v>
      </c>
    </row>
    <row r="2680" spans="2:8">
      <c r="B2680" s="28">
        <v>10262</v>
      </c>
      <c r="C2680" s="34" t="s">
        <v>261</v>
      </c>
      <c r="D2680" s="34" t="s">
        <v>104</v>
      </c>
      <c r="E2680" s="34" t="s">
        <v>444</v>
      </c>
      <c r="F2680" s="35">
        <v>27</v>
      </c>
      <c r="G2680" s="37">
        <v>76</v>
      </c>
      <c r="H2680" s="32">
        <f t="shared" si="47"/>
        <v>2052</v>
      </c>
    </row>
    <row r="2681" spans="2:8">
      <c r="B2681" s="28">
        <v>10275</v>
      </c>
      <c r="C2681" s="34" t="s">
        <v>109</v>
      </c>
      <c r="D2681" s="34" t="s">
        <v>119</v>
      </c>
      <c r="E2681" s="34" t="s">
        <v>93</v>
      </c>
      <c r="F2681" s="35">
        <v>43</v>
      </c>
      <c r="G2681" s="37">
        <v>73.599999999999994</v>
      </c>
      <c r="H2681" s="32">
        <f t="shared" si="47"/>
        <v>3164.7999999999997</v>
      </c>
    </row>
    <row r="2682" spans="2:8">
      <c r="B2682" s="28">
        <v>10284</v>
      </c>
      <c r="C2682" s="34" t="s">
        <v>149</v>
      </c>
      <c r="D2682" s="34" t="s">
        <v>104</v>
      </c>
      <c r="E2682" s="34" t="s">
        <v>93</v>
      </c>
      <c r="F2682" s="35">
        <v>25</v>
      </c>
      <c r="G2682" s="37">
        <v>69.599999999999994</v>
      </c>
      <c r="H2682" s="32">
        <f t="shared" si="47"/>
        <v>1739.9999999999998</v>
      </c>
    </row>
    <row r="2683" spans="2:8">
      <c r="B2683" s="28">
        <v>10296</v>
      </c>
      <c r="C2683" s="34" t="s">
        <v>566</v>
      </c>
      <c r="D2683" s="34" t="s">
        <v>104</v>
      </c>
      <c r="E2683" s="34" t="s">
        <v>93</v>
      </c>
      <c r="F2683" s="35">
        <v>22</v>
      </c>
      <c r="G2683" s="37">
        <v>80.8</v>
      </c>
      <c r="H2683" s="32">
        <f t="shared" si="47"/>
        <v>1777.6</v>
      </c>
    </row>
    <row r="2684" spans="2:8">
      <c r="B2684" s="28">
        <v>10308</v>
      </c>
      <c r="C2684" s="34" t="s">
        <v>100</v>
      </c>
      <c r="D2684" s="34" t="s">
        <v>104</v>
      </c>
      <c r="E2684" s="34" t="s">
        <v>93</v>
      </c>
      <c r="F2684" s="35">
        <v>21</v>
      </c>
      <c r="G2684" s="37">
        <v>87.2</v>
      </c>
      <c r="H2684" s="32">
        <f t="shared" si="47"/>
        <v>1831.2</v>
      </c>
    </row>
    <row r="2685" spans="2:8">
      <c r="B2685" s="28">
        <v>10316</v>
      </c>
      <c r="C2685" s="34" t="s">
        <v>252</v>
      </c>
      <c r="D2685" s="34" t="s">
        <v>119</v>
      </c>
      <c r="E2685" s="34" t="s">
        <v>93</v>
      </c>
      <c r="F2685" s="35">
        <v>48</v>
      </c>
      <c r="G2685" s="37">
        <v>75.2</v>
      </c>
      <c r="H2685" s="32">
        <f t="shared" si="47"/>
        <v>3609.6000000000004</v>
      </c>
    </row>
    <row r="2686" spans="2:8">
      <c r="B2686" s="28">
        <v>10328</v>
      </c>
      <c r="C2686" s="34" t="s">
        <v>352</v>
      </c>
      <c r="D2686" s="34" t="s">
        <v>104</v>
      </c>
      <c r="E2686" s="34" t="s">
        <v>93</v>
      </c>
      <c r="F2686" s="35">
        <v>33</v>
      </c>
      <c r="G2686" s="37">
        <v>64</v>
      </c>
      <c r="H2686" s="32">
        <f t="shared" si="47"/>
        <v>2112</v>
      </c>
    </row>
    <row r="2687" spans="2:8">
      <c r="B2687" s="28">
        <v>10341</v>
      </c>
      <c r="C2687" s="34" t="s">
        <v>229</v>
      </c>
      <c r="D2687" s="34" t="s">
        <v>119</v>
      </c>
      <c r="E2687" s="34" t="s">
        <v>93</v>
      </c>
      <c r="F2687" s="35">
        <v>34</v>
      </c>
      <c r="G2687" s="37">
        <v>100</v>
      </c>
      <c r="H2687" s="32">
        <f t="shared" si="47"/>
        <v>3400</v>
      </c>
    </row>
    <row r="2688" spans="2:8">
      <c r="B2688" s="28">
        <v>10353</v>
      </c>
      <c r="C2688" s="34" t="s">
        <v>100</v>
      </c>
      <c r="D2688" s="34" t="s">
        <v>119</v>
      </c>
      <c r="E2688" s="34" t="s">
        <v>93</v>
      </c>
      <c r="F2688" s="35">
        <v>43</v>
      </c>
      <c r="G2688" s="37">
        <v>81.95</v>
      </c>
      <c r="H2688" s="32">
        <f t="shared" si="47"/>
        <v>3523.85</v>
      </c>
    </row>
    <row r="2689" spans="2:8">
      <c r="B2689" s="28">
        <v>10361</v>
      </c>
      <c r="C2689" s="34" t="s">
        <v>168</v>
      </c>
      <c r="D2689" s="34" t="s">
        <v>119</v>
      </c>
      <c r="E2689" s="34" t="s">
        <v>93</v>
      </c>
      <c r="F2689" s="35">
        <v>44</v>
      </c>
      <c r="G2689" s="37">
        <v>100</v>
      </c>
      <c r="H2689" s="32">
        <f t="shared" si="47"/>
        <v>4400</v>
      </c>
    </row>
    <row r="2690" spans="2:8">
      <c r="B2690" s="28">
        <v>10375</v>
      </c>
      <c r="C2690" s="34" t="s">
        <v>109</v>
      </c>
      <c r="D2690" s="34" t="s">
        <v>119</v>
      </c>
      <c r="E2690" s="34" t="s">
        <v>93</v>
      </c>
      <c r="F2690" s="35">
        <v>44</v>
      </c>
      <c r="G2690" s="37">
        <v>100</v>
      </c>
      <c r="H2690" s="32">
        <f t="shared" si="47"/>
        <v>4400</v>
      </c>
    </row>
    <row r="2691" spans="2:8">
      <c r="B2691" s="28">
        <v>10386</v>
      </c>
      <c r="C2691" s="34" t="s">
        <v>261</v>
      </c>
      <c r="D2691" s="34" t="s">
        <v>119</v>
      </c>
      <c r="E2691" s="34" t="s">
        <v>526</v>
      </c>
      <c r="F2691" s="35">
        <v>32</v>
      </c>
      <c r="G2691" s="37">
        <v>94.34</v>
      </c>
      <c r="H2691" s="32">
        <f t="shared" si="47"/>
        <v>3018.88</v>
      </c>
    </row>
    <row r="2692" spans="2:8">
      <c r="B2692" s="28">
        <v>10398</v>
      </c>
      <c r="C2692" s="34" t="s">
        <v>109</v>
      </c>
      <c r="D2692" s="34" t="s">
        <v>104</v>
      </c>
      <c r="E2692" s="34" t="s">
        <v>93</v>
      </c>
      <c r="F2692" s="35">
        <v>29</v>
      </c>
      <c r="G2692" s="37">
        <v>65.599999999999994</v>
      </c>
      <c r="H2692" s="32">
        <f t="shared" si="47"/>
        <v>1902.3999999999999</v>
      </c>
    </row>
    <row r="2693" spans="2:8">
      <c r="B2693" s="28">
        <v>10401</v>
      </c>
      <c r="C2693" s="34" t="s">
        <v>100</v>
      </c>
      <c r="D2693" s="34" t="s">
        <v>232</v>
      </c>
      <c r="E2693" s="34" t="s">
        <v>518</v>
      </c>
      <c r="F2693" s="35">
        <v>77</v>
      </c>
      <c r="G2693" s="37">
        <v>92</v>
      </c>
      <c r="H2693" s="32">
        <f t="shared" ref="H2693:H2756" si="48">F2693*G2693</f>
        <v>7084</v>
      </c>
    </row>
    <row r="2694" spans="2:8">
      <c r="B2694" s="28">
        <v>10416</v>
      </c>
      <c r="C2694" s="34" t="s">
        <v>352</v>
      </c>
      <c r="D2694" s="34" t="s">
        <v>104</v>
      </c>
      <c r="E2694" s="34" t="s">
        <v>93</v>
      </c>
      <c r="F2694" s="35">
        <v>39</v>
      </c>
      <c r="G2694" s="37">
        <v>67.2</v>
      </c>
      <c r="H2694" s="32">
        <f t="shared" si="48"/>
        <v>2620.8000000000002</v>
      </c>
    </row>
    <row r="2695" spans="2:8">
      <c r="B2695" s="28">
        <v>10105</v>
      </c>
      <c r="C2695" s="34" t="s">
        <v>429</v>
      </c>
      <c r="D2695" s="34" t="s">
        <v>119</v>
      </c>
      <c r="E2695" s="34" t="s">
        <v>93</v>
      </c>
      <c r="F2695" s="35">
        <v>39</v>
      </c>
      <c r="G2695" s="37">
        <v>81.14</v>
      </c>
      <c r="H2695" s="32">
        <f t="shared" si="48"/>
        <v>3164.46</v>
      </c>
    </row>
    <row r="2696" spans="2:8">
      <c r="B2696" s="28">
        <v>10118</v>
      </c>
      <c r="C2696" s="34" t="s">
        <v>261</v>
      </c>
      <c r="D2696" s="34" t="s">
        <v>119</v>
      </c>
      <c r="E2696" s="34" t="s">
        <v>93</v>
      </c>
      <c r="F2696" s="35">
        <v>36</v>
      </c>
      <c r="G2696" s="37">
        <v>100</v>
      </c>
      <c r="H2696" s="32">
        <f t="shared" si="48"/>
        <v>3600</v>
      </c>
    </row>
    <row r="2697" spans="2:8">
      <c r="B2697" s="28">
        <v>10129</v>
      </c>
      <c r="C2697" s="34" t="s">
        <v>252</v>
      </c>
      <c r="D2697" s="34" t="s">
        <v>119</v>
      </c>
      <c r="E2697" s="34" t="s">
        <v>93</v>
      </c>
      <c r="F2697" s="35">
        <v>42</v>
      </c>
      <c r="G2697" s="37">
        <v>91.15</v>
      </c>
      <c r="H2697" s="32">
        <f t="shared" si="48"/>
        <v>3828.3</v>
      </c>
    </row>
    <row r="2698" spans="2:8">
      <c r="B2698" s="28">
        <v>10142</v>
      </c>
      <c r="C2698" s="34" t="s">
        <v>100</v>
      </c>
      <c r="D2698" s="34" t="s">
        <v>104</v>
      </c>
      <c r="E2698" s="34" t="s">
        <v>93</v>
      </c>
      <c r="F2698" s="35">
        <v>21</v>
      </c>
      <c r="G2698" s="37">
        <v>100</v>
      </c>
      <c r="H2698" s="32">
        <f t="shared" si="48"/>
        <v>2100</v>
      </c>
    </row>
    <row r="2699" spans="2:8">
      <c r="B2699" s="28">
        <v>10153</v>
      </c>
      <c r="C2699" s="34" t="s">
        <v>261</v>
      </c>
      <c r="D2699" s="34" t="s">
        <v>119</v>
      </c>
      <c r="E2699" s="34" t="s">
        <v>93</v>
      </c>
      <c r="F2699" s="35">
        <v>50</v>
      </c>
      <c r="G2699" s="37">
        <v>88.15</v>
      </c>
      <c r="H2699" s="32">
        <f t="shared" si="48"/>
        <v>4407.5</v>
      </c>
    </row>
    <row r="2700" spans="2:8">
      <c r="B2700" s="28">
        <v>10167</v>
      </c>
      <c r="C2700" s="34" t="s">
        <v>273</v>
      </c>
      <c r="D2700" s="34" t="s">
        <v>104</v>
      </c>
      <c r="E2700" s="34" t="s">
        <v>444</v>
      </c>
      <c r="F2700" s="35">
        <v>24</v>
      </c>
      <c r="G2700" s="37">
        <v>100</v>
      </c>
      <c r="H2700" s="32">
        <f t="shared" si="48"/>
        <v>2400</v>
      </c>
    </row>
    <row r="2701" spans="2:8">
      <c r="B2701" s="28">
        <v>10177</v>
      </c>
      <c r="C2701" s="34" t="s">
        <v>261</v>
      </c>
      <c r="D2701" s="34" t="s">
        <v>119</v>
      </c>
      <c r="E2701" s="34" t="s">
        <v>93</v>
      </c>
      <c r="F2701" s="35">
        <v>44</v>
      </c>
      <c r="G2701" s="37">
        <v>92.16</v>
      </c>
      <c r="H2701" s="32">
        <f t="shared" si="48"/>
        <v>4055.04</v>
      </c>
    </row>
    <row r="2702" spans="2:8">
      <c r="B2702" s="28">
        <v>10185</v>
      </c>
      <c r="C2702" s="34" t="s">
        <v>100</v>
      </c>
      <c r="D2702" s="34" t="s">
        <v>119</v>
      </c>
      <c r="E2702" s="34" t="s">
        <v>93</v>
      </c>
      <c r="F2702" s="35">
        <v>37</v>
      </c>
      <c r="G2702" s="37">
        <v>100</v>
      </c>
      <c r="H2702" s="32">
        <f t="shared" si="48"/>
        <v>3700</v>
      </c>
    </row>
    <row r="2703" spans="2:8">
      <c r="B2703" s="28">
        <v>10197</v>
      </c>
      <c r="C2703" s="34" t="s">
        <v>261</v>
      </c>
      <c r="D2703" s="34" t="s">
        <v>104</v>
      </c>
      <c r="E2703" s="34" t="s">
        <v>93</v>
      </c>
      <c r="F2703" s="35">
        <v>27</v>
      </c>
      <c r="G2703" s="37">
        <v>92.16</v>
      </c>
      <c r="H2703" s="32">
        <f t="shared" si="48"/>
        <v>2488.3199999999997</v>
      </c>
    </row>
    <row r="2704" spans="2:8">
      <c r="B2704" s="28">
        <v>10208</v>
      </c>
      <c r="C2704" s="34" t="s">
        <v>109</v>
      </c>
      <c r="D2704" s="34" t="s">
        <v>119</v>
      </c>
      <c r="E2704" s="34" t="s">
        <v>93</v>
      </c>
      <c r="F2704" s="35">
        <v>37</v>
      </c>
      <c r="G2704" s="37">
        <v>100</v>
      </c>
      <c r="H2704" s="32">
        <f t="shared" si="48"/>
        <v>3700</v>
      </c>
    </row>
    <row r="2705" spans="2:8">
      <c r="B2705" s="28">
        <v>10222</v>
      </c>
      <c r="C2705" s="34" t="s">
        <v>100</v>
      </c>
      <c r="D2705" s="34" t="s">
        <v>119</v>
      </c>
      <c r="E2705" s="34" t="s">
        <v>93</v>
      </c>
      <c r="F2705" s="35">
        <v>38</v>
      </c>
      <c r="G2705" s="37">
        <v>100</v>
      </c>
      <c r="H2705" s="32">
        <f t="shared" si="48"/>
        <v>3800</v>
      </c>
    </row>
    <row r="2706" spans="2:8">
      <c r="B2706" s="28">
        <v>10232</v>
      </c>
      <c r="C2706" s="34" t="s">
        <v>252</v>
      </c>
      <c r="D2706" s="34" t="s">
        <v>119</v>
      </c>
      <c r="E2706" s="34" t="s">
        <v>93</v>
      </c>
      <c r="F2706" s="35">
        <v>48</v>
      </c>
      <c r="G2706" s="37">
        <v>96.16</v>
      </c>
      <c r="H2706" s="32">
        <f t="shared" si="48"/>
        <v>4615.68</v>
      </c>
    </row>
    <row r="2707" spans="2:8">
      <c r="B2707" s="28">
        <v>10248</v>
      </c>
      <c r="C2707" s="34" t="s">
        <v>100</v>
      </c>
      <c r="D2707" s="34" t="s">
        <v>119</v>
      </c>
      <c r="E2707" s="34" t="s">
        <v>444</v>
      </c>
      <c r="F2707" s="35">
        <v>30</v>
      </c>
      <c r="G2707" s="37">
        <v>100</v>
      </c>
      <c r="H2707" s="32">
        <f t="shared" si="48"/>
        <v>3000</v>
      </c>
    </row>
    <row r="2708" spans="2:8">
      <c r="B2708" s="28">
        <v>10261</v>
      </c>
      <c r="C2708" s="34" t="s">
        <v>322</v>
      </c>
      <c r="D2708" s="34" t="s">
        <v>104</v>
      </c>
      <c r="E2708" s="34" t="s">
        <v>93</v>
      </c>
      <c r="F2708" s="35">
        <v>25</v>
      </c>
      <c r="G2708" s="37">
        <v>88.15</v>
      </c>
      <c r="H2708" s="32">
        <f t="shared" si="48"/>
        <v>2203.75</v>
      </c>
    </row>
    <row r="2709" spans="2:8">
      <c r="B2709" s="28">
        <v>10273</v>
      </c>
      <c r="C2709" s="34" t="s">
        <v>480</v>
      </c>
      <c r="D2709" s="34" t="s">
        <v>119</v>
      </c>
      <c r="E2709" s="34" t="s">
        <v>93</v>
      </c>
      <c r="F2709" s="35">
        <v>40</v>
      </c>
      <c r="G2709" s="37">
        <v>86.15</v>
      </c>
      <c r="H2709" s="32">
        <f t="shared" si="48"/>
        <v>3446</v>
      </c>
    </row>
    <row r="2710" spans="2:8">
      <c r="B2710" s="28">
        <v>10283</v>
      </c>
      <c r="C2710" s="34" t="s">
        <v>322</v>
      </c>
      <c r="D2710" s="34" t="s">
        <v>104</v>
      </c>
      <c r="E2710" s="34" t="s">
        <v>93</v>
      </c>
      <c r="F2710" s="35">
        <v>22</v>
      </c>
      <c r="G2710" s="37">
        <v>88.15</v>
      </c>
      <c r="H2710" s="32">
        <f t="shared" si="48"/>
        <v>1939.3000000000002</v>
      </c>
    </row>
    <row r="2711" spans="2:8">
      <c r="B2711" s="28">
        <v>10295</v>
      </c>
      <c r="C2711" s="34" t="s">
        <v>100</v>
      </c>
      <c r="D2711" s="34" t="s">
        <v>119</v>
      </c>
      <c r="E2711" s="34" t="s">
        <v>93</v>
      </c>
      <c r="F2711" s="35">
        <v>34</v>
      </c>
      <c r="G2711" s="37">
        <v>100</v>
      </c>
      <c r="H2711" s="32">
        <f t="shared" si="48"/>
        <v>3400</v>
      </c>
    </row>
    <row r="2712" spans="2:8">
      <c r="B2712" s="28">
        <v>10306</v>
      </c>
      <c r="C2712" s="34" t="s">
        <v>252</v>
      </c>
      <c r="D2712" s="34" t="s">
        <v>104</v>
      </c>
      <c r="E2712" s="34" t="s">
        <v>93</v>
      </c>
      <c r="F2712" s="35">
        <v>32</v>
      </c>
      <c r="G2712" s="37">
        <v>90.15</v>
      </c>
      <c r="H2712" s="32">
        <f t="shared" si="48"/>
        <v>2884.8</v>
      </c>
    </row>
    <row r="2713" spans="2:8">
      <c r="B2713" s="28">
        <v>10315</v>
      </c>
      <c r="C2713" s="34" t="s">
        <v>109</v>
      </c>
      <c r="D2713" s="34" t="s">
        <v>104</v>
      </c>
      <c r="E2713" s="34" t="s">
        <v>93</v>
      </c>
      <c r="F2713" s="35">
        <v>31</v>
      </c>
      <c r="G2713" s="37">
        <v>86.15</v>
      </c>
      <c r="H2713" s="32">
        <f t="shared" si="48"/>
        <v>2670.65</v>
      </c>
    </row>
    <row r="2714" spans="2:8">
      <c r="B2714" s="28">
        <v>10327</v>
      </c>
      <c r="C2714" s="34" t="s">
        <v>429</v>
      </c>
      <c r="D2714" s="34" t="s">
        <v>119</v>
      </c>
      <c r="E2714" s="34" t="s">
        <v>526</v>
      </c>
      <c r="F2714" s="35">
        <v>43</v>
      </c>
      <c r="G2714" s="37">
        <v>80</v>
      </c>
      <c r="H2714" s="32">
        <f t="shared" si="48"/>
        <v>3440</v>
      </c>
    </row>
    <row r="2715" spans="2:8">
      <c r="B2715" s="28">
        <v>10337</v>
      </c>
      <c r="C2715" s="34" t="s">
        <v>100</v>
      </c>
      <c r="D2715" s="34" t="s">
        <v>104</v>
      </c>
      <c r="E2715" s="34" t="s">
        <v>93</v>
      </c>
      <c r="F2715" s="35">
        <v>31</v>
      </c>
      <c r="G2715" s="37">
        <v>89.38</v>
      </c>
      <c r="H2715" s="32">
        <f t="shared" si="48"/>
        <v>2770.7799999999997</v>
      </c>
    </row>
    <row r="2716" spans="2:8">
      <c r="B2716" s="28">
        <v>10350</v>
      </c>
      <c r="C2716" s="34" t="s">
        <v>261</v>
      </c>
      <c r="D2716" s="34" t="s">
        <v>104</v>
      </c>
      <c r="E2716" s="34" t="s">
        <v>93</v>
      </c>
      <c r="F2716" s="35">
        <v>31</v>
      </c>
      <c r="G2716" s="37">
        <v>77.34</v>
      </c>
      <c r="H2716" s="32">
        <f t="shared" si="48"/>
        <v>2397.54</v>
      </c>
    </row>
    <row r="2717" spans="2:8">
      <c r="B2717" s="28">
        <v>10373</v>
      </c>
      <c r="C2717" s="34" t="s">
        <v>208</v>
      </c>
      <c r="D2717" s="34" t="s">
        <v>119</v>
      </c>
      <c r="E2717" s="34" t="s">
        <v>93</v>
      </c>
      <c r="F2717" s="35">
        <v>34</v>
      </c>
      <c r="G2717" s="37">
        <v>96.34</v>
      </c>
      <c r="H2717" s="32">
        <f t="shared" si="48"/>
        <v>3275.56</v>
      </c>
    </row>
    <row r="2718" spans="2:8">
      <c r="B2718" s="28">
        <v>10386</v>
      </c>
      <c r="C2718" s="34" t="s">
        <v>261</v>
      </c>
      <c r="D2718" s="34" t="s">
        <v>119</v>
      </c>
      <c r="E2718" s="34" t="s">
        <v>526</v>
      </c>
      <c r="F2718" s="35">
        <v>45</v>
      </c>
      <c r="G2718" s="37">
        <v>92.08</v>
      </c>
      <c r="H2718" s="32">
        <f t="shared" si="48"/>
        <v>4143.6000000000004</v>
      </c>
    </row>
    <row r="2719" spans="2:8">
      <c r="B2719" s="28">
        <v>10397</v>
      </c>
      <c r="C2719" s="34" t="s">
        <v>109</v>
      </c>
      <c r="D2719" s="34" t="s">
        <v>119</v>
      </c>
      <c r="E2719" s="34" t="s">
        <v>93</v>
      </c>
      <c r="F2719" s="35">
        <v>48</v>
      </c>
      <c r="G2719" s="37">
        <v>100</v>
      </c>
      <c r="H2719" s="32">
        <f t="shared" si="48"/>
        <v>4800</v>
      </c>
    </row>
    <row r="2720" spans="2:8">
      <c r="B2720" s="28">
        <v>10414</v>
      </c>
      <c r="C2720" s="34" t="s">
        <v>100</v>
      </c>
      <c r="D2720" s="34" t="s">
        <v>119</v>
      </c>
      <c r="E2720" s="34" t="s">
        <v>518</v>
      </c>
      <c r="F2720" s="35">
        <v>28</v>
      </c>
      <c r="G2720" s="37">
        <v>100</v>
      </c>
      <c r="H2720" s="32">
        <f t="shared" si="48"/>
        <v>2800</v>
      </c>
    </row>
    <row r="2721" spans="2:8">
      <c r="B2721" s="28">
        <v>10105</v>
      </c>
      <c r="C2721" s="34" t="s">
        <v>429</v>
      </c>
      <c r="D2721" s="34" t="s">
        <v>104</v>
      </c>
      <c r="E2721" s="34" t="s">
        <v>93</v>
      </c>
      <c r="F2721" s="35">
        <v>22</v>
      </c>
      <c r="G2721" s="37">
        <v>100</v>
      </c>
      <c r="H2721" s="32">
        <f t="shared" si="48"/>
        <v>2200</v>
      </c>
    </row>
    <row r="2722" spans="2:8">
      <c r="B2722" s="28">
        <v>10117</v>
      </c>
      <c r="C2722" s="34" t="s">
        <v>287</v>
      </c>
      <c r="D2722" s="34" t="s">
        <v>119</v>
      </c>
      <c r="E2722" s="34" t="s">
        <v>93</v>
      </c>
      <c r="F2722" s="35">
        <v>45</v>
      </c>
      <c r="G2722" s="37">
        <v>83.42</v>
      </c>
      <c r="H2722" s="32">
        <f t="shared" si="48"/>
        <v>3753.9</v>
      </c>
    </row>
    <row r="2723" spans="2:8">
      <c r="B2723" s="28">
        <v>10129</v>
      </c>
      <c r="C2723" s="34" t="s">
        <v>252</v>
      </c>
      <c r="D2723" s="34" t="s">
        <v>104</v>
      </c>
      <c r="E2723" s="34" t="s">
        <v>93</v>
      </c>
      <c r="F2723" s="35">
        <v>30</v>
      </c>
      <c r="G2723" s="37">
        <v>85.41</v>
      </c>
      <c r="H2723" s="32">
        <f t="shared" si="48"/>
        <v>2562.2999999999997</v>
      </c>
    </row>
    <row r="2724" spans="2:8">
      <c r="B2724" s="28">
        <v>10142</v>
      </c>
      <c r="C2724" s="34" t="s">
        <v>100</v>
      </c>
      <c r="D2724" s="34" t="s">
        <v>119</v>
      </c>
      <c r="E2724" s="34" t="s">
        <v>93</v>
      </c>
      <c r="F2724" s="35">
        <v>38</v>
      </c>
      <c r="G2724" s="37">
        <v>85.41</v>
      </c>
      <c r="H2724" s="32">
        <f t="shared" si="48"/>
        <v>3245.58</v>
      </c>
    </row>
    <row r="2725" spans="2:8">
      <c r="B2725" s="28">
        <v>10153</v>
      </c>
      <c r="C2725" s="34" t="s">
        <v>261</v>
      </c>
      <c r="D2725" s="34" t="s">
        <v>104</v>
      </c>
      <c r="E2725" s="34" t="s">
        <v>93</v>
      </c>
      <c r="F2725" s="35">
        <v>20</v>
      </c>
      <c r="G2725" s="37">
        <v>100</v>
      </c>
      <c r="H2725" s="32">
        <f t="shared" si="48"/>
        <v>2000</v>
      </c>
    </row>
    <row r="2726" spans="2:8">
      <c r="B2726" s="28">
        <v>10167</v>
      </c>
      <c r="C2726" s="34" t="s">
        <v>273</v>
      </c>
      <c r="D2726" s="34" t="s">
        <v>119</v>
      </c>
      <c r="E2726" s="34" t="s">
        <v>444</v>
      </c>
      <c r="F2726" s="35">
        <v>28</v>
      </c>
      <c r="G2726" s="37">
        <v>100</v>
      </c>
      <c r="H2726" s="32">
        <f t="shared" si="48"/>
        <v>2800</v>
      </c>
    </row>
    <row r="2727" spans="2:8">
      <c r="B2727" s="28">
        <v>10177</v>
      </c>
      <c r="C2727" s="34" t="s">
        <v>261</v>
      </c>
      <c r="D2727" s="34" t="s">
        <v>104</v>
      </c>
      <c r="E2727" s="34" t="s">
        <v>93</v>
      </c>
      <c r="F2727" s="35">
        <v>24</v>
      </c>
      <c r="G2727" s="37">
        <v>100</v>
      </c>
      <c r="H2727" s="32">
        <f t="shared" si="48"/>
        <v>2400</v>
      </c>
    </row>
    <row r="2728" spans="2:8">
      <c r="B2728" s="28">
        <v>10185</v>
      </c>
      <c r="C2728" s="34" t="s">
        <v>100</v>
      </c>
      <c r="D2728" s="34" t="s">
        <v>104</v>
      </c>
      <c r="E2728" s="34" t="s">
        <v>93</v>
      </c>
      <c r="F2728" s="35">
        <v>22</v>
      </c>
      <c r="G2728" s="37">
        <v>79.45</v>
      </c>
      <c r="H2728" s="32">
        <f t="shared" si="48"/>
        <v>1747.9</v>
      </c>
    </row>
    <row r="2729" spans="2:8">
      <c r="B2729" s="28">
        <v>10197</v>
      </c>
      <c r="C2729" s="34" t="s">
        <v>261</v>
      </c>
      <c r="D2729" s="34" t="s">
        <v>119</v>
      </c>
      <c r="E2729" s="34" t="s">
        <v>93</v>
      </c>
      <c r="F2729" s="35">
        <v>35</v>
      </c>
      <c r="G2729" s="37">
        <v>93.35</v>
      </c>
      <c r="H2729" s="32">
        <f t="shared" si="48"/>
        <v>3267.25</v>
      </c>
    </row>
    <row r="2730" spans="2:8">
      <c r="B2730" s="28">
        <v>10208</v>
      </c>
      <c r="C2730" s="34" t="s">
        <v>109</v>
      </c>
      <c r="D2730" s="34" t="s">
        <v>104</v>
      </c>
      <c r="E2730" s="34" t="s">
        <v>93</v>
      </c>
      <c r="F2730" s="35">
        <v>33</v>
      </c>
      <c r="G2730" s="37">
        <v>85.41</v>
      </c>
      <c r="H2730" s="32">
        <f t="shared" si="48"/>
        <v>2818.5299999999997</v>
      </c>
    </row>
    <row r="2731" spans="2:8">
      <c r="B2731" s="28">
        <v>10222</v>
      </c>
      <c r="C2731" s="34" t="s">
        <v>100</v>
      </c>
      <c r="D2731" s="34" t="s">
        <v>104</v>
      </c>
      <c r="E2731" s="34" t="s">
        <v>93</v>
      </c>
      <c r="F2731" s="35">
        <v>31</v>
      </c>
      <c r="G2731" s="37">
        <v>95.34</v>
      </c>
      <c r="H2731" s="32">
        <f t="shared" si="48"/>
        <v>2955.54</v>
      </c>
    </row>
    <row r="2732" spans="2:8">
      <c r="B2732" s="28">
        <v>10232</v>
      </c>
      <c r="C2732" s="34" t="s">
        <v>252</v>
      </c>
      <c r="D2732" s="34" t="s">
        <v>104</v>
      </c>
      <c r="E2732" s="34" t="s">
        <v>93</v>
      </c>
      <c r="F2732" s="35">
        <v>35</v>
      </c>
      <c r="G2732" s="37">
        <v>82.43</v>
      </c>
      <c r="H2732" s="32">
        <f t="shared" si="48"/>
        <v>2885.05</v>
      </c>
    </row>
    <row r="2733" spans="2:8">
      <c r="B2733" s="28">
        <v>10248</v>
      </c>
      <c r="C2733" s="34" t="s">
        <v>100</v>
      </c>
      <c r="D2733" s="34" t="s">
        <v>119</v>
      </c>
      <c r="E2733" s="34" t="s">
        <v>444</v>
      </c>
      <c r="F2733" s="35">
        <v>35</v>
      </c>
      <c r="G2733" s="37">
        <v>90.37</v>
      </c>
      <c r="H2733" s="32">
        <f t="shared" si="48"/>
        <v>3162.9500000000003</v>
      </c>
    </row>
    <row r="2734" spans="2:8">
      <c r="B2734" s="28">
        <v>10261</v>
      </c>
      <c r="C2734" s="34" t="s">
        <v>322</v>
      </c>
      <c r="D2734" s="34" t="s">
        <v>119</v>
      </c>
      <c r="E2734" s="34" t="s">
        <v>93</v>
      </c>
      <c r="F2734" s="35">
        <v>50</v>
      </c>
      <c r="G2734" s="37">
        <v>81.430000000000007</v>
      </c>
      <c r="H2734" s="32">
        <f t="shared" si="48"/>
        <v>4071.5000000000005</v>
      </c>
    </row>
    <row r="2735" spans="2:8">
      <c r="B2735" s="28">
        <v>10273</v>
      </c>
      <c r="C2735" s="34" t="s">
        <v>480</v>
      </c>
      <c r="D2735" s="34" t="s">
        <v>104</v>
      </c>
      <c r="E2735" s="34" t="s">
        <v>93</v>
      </c>
      <c r="F2735" s="35">
        <v>26</v>
      </c>
      <c r="G2735" s="37">
        <v>100</v>
      </c>
      <c r="H2735" s="32">
        <f t="shared" si="48"/>
        <v>2600</v>
      </c>
    </row>
    <row r="2736" spans="2:8">
      <c r="B2736" s="28">
        <v>10283</v>
      </c>
      <c r="C2736" s="34" t="s">
        <v>322</v>
      </c>
      <c r="D2736" s="34" t="s">
        <v>119</v>
      </c>
      <c r="E2736" s="34" t="s">
        <v>93</v>
      </c>
      <c r="F2736" s="35">
        <v>38</v>
      </c>
      <c r="G2736" s="37">
        <v>89.38</v>
      </c>
      <c r="H2736" s="32">
        <f t="shared" si="48"/>
        <v>3396.4399999999996</v>
      </c>
    </row>
    <row r="2737" spans="2:8">
      <c r="B2737" s="28">
        <v>10294</v>
      </c>
      <c r="C2737" s="34" t="s">
        <v>100</v>
      </c>
      <c r="D2737" s="34" t="s">
        <v>119</v>
      </c>
      <c r="E2737" s="34" t="s">
        <v>93</v>
      </c>
      <c r="F2737" s="35">
        <v>45</v>
      </c>
      <c r="G2737" s="37">
        <v>100</v>
      </c>
      <c r="H2737" s="32">
        <f t="shared" si="48"/>
        <v>4500</v>
      </c>
    </row>
    <row r="2738" spans="2:8">
      <c r="B2738" s="28">
        <v>10306</v>
      </c>
      <c r="C2738" s="34" t="s">
        <v>252</v>
      </c>
      <c r="D2738" s="34" t="s">
        <v>119</v>
      </c>
      <c r="E2738" s="34" t="s">
        <v>93</v>
      </c>
      <c r="F2738" s="35">
        <v>30</v>
      </c>
      <c r="G2738" s="37">
        <v>100</v>
      </c>
      <c r="H2738" s="32">
        <f t="shared" si="48"/>
        <v>3000</v>
      </c>
    </row>
    <row r="2739" spans="2:8">
      <c r="B2739" s="28">
        <v>10315</v>
      </c>
      <c r="C2739" s="34" t="s">
        <v>109</v>
      </c>
      <c r="D2739" s="34" t="s">
        <v>119</v>
      </c>
      <c r="E2739" s="34" t="s">
        <v>93</v>
      </c>
      <c r="F2739" s="35">
        <v>37</v>
      </c>
      <c r="G2739" s="37">
        <v>91.37</v>
      </c>
      <c r="H2739" s="32">
        <f t="shared" si="48"/>
        <v>3380.69</v>
      </c>
    </row>
    <row r="2740" spans="2:8">
      <c r="B2740" s="28">
        <v>10327</v>
      </c>
      <c r="C2740" s="34" t="s">
        <v>429</v>
      </c>
      <c r="D2740" s="34" t="s">
        <v>119</v>
      </c>
      <c r="E2740" s="34" t="s">
        <v>526</v>
      </c>
      <c r="F2740" s="35">
        <v>37</v>
      </c>
      <c r="G2740" s="37">
        <v>86.61</v>
      </c>
      <c r="H2740" s="32">
        <f t="shared" si="48"/>
        <v>3204.57</v>
      </c>
    </row>
    <row r="2741" spans="2:8">
      <c r="B2741" s="28">
        <v>10337</v>
      </c>
      <c r="C2741" s="34" t="s">
        <v>100</v>
      </c>
      <c r="D2741" s="34" t="s">
        <v>104</v>
      </c>
      <c r="E2741" s="34" t="s">
        <v>93</v>
      </c>
      <c r="F2741" s="35">
        <v>36</v>
      </c>
      <c r="G2741" s="37">
        <v>71.89</v>
      </c>
      <c r="H2741" s="32">
        <f t="shared" si="48"/>
        <v>2588.04</v>
      </c>
    </row>
    <row r="2742" spans="2:8">
      <c r="B2742" s="28">
        <v>10350</v>
      </c>
      <c r="C2742" s="34" t="s">
        <v>261</v>
      </c>
      <c r="D2742" s="34" t="s">
        <v>104</v>
      </c>
      <c r="E2742" s="34" t="s">
        <v>93</v>
      </c>
      <c r="F2742" s="35">
        <v>25</v>
      </c>
      <c r="G2742" s="37">
        <v>100</v>
      </c>
      <c r="H2742" s="32">
        <f t="shared" si="48"/>
        <v>2500</v>
      </c>
    </row>
    <row r="2743" spans="2:8">
      <c r="B2743" s="28">
        <v>10373</v>
      </c>
      <c r="C2743" s="34" t="s">
        <v>208</v>
      </c>
      <c r="D2743" s="34" t="s">
        <v>119</v>
      </c>
      <c r="E2743" s="34" t="s">
        <v>93</v>
      </c>
      <c r="F2743" s="35">
        <v>37</v>
      </c>
      <c r="G2743" s="37">
        <v>100</v>
      </c>
      <c r="H2743" s="32">
        <f t="shared" si="48"/>
        <v>3700</v>
      </c>
    </row>
    <row r="2744" spans="2:8">
      <c r="B2744" s="28">
        <v>10386</v>
      </c>
      <c r="C2744" s="34" t="s">
        <v>261</v>
      </c>
      <c r="D2744" s="34" t="s">
        <v>104</v>
      </c>
      <c r="E2744" s="34" t="s">
        <v>526</v>
      </c>
      <c r="F2744" s="35">
        <v>30</v>
      </c>
      <c r="G2744" s="37">
        <v>95.48</v>
      </c>
      <c r="H2744" s="32">
        <f t="shared" si="48"/>
        <v>2864.4</v>
      </c>
    </row>
    <row r="2745" spans="2:8">
      <c r="B2745" s="28">
        <v>10397</v>
      </c>
      <c r="C2745" s="34" t="s">
        <v>109</v>
      </c>
      <c r="D2745" s="34" t="s">
        <v>119</v>
      </c>
      <c r="E2745" s="34" t="s">
        <v>93</v>
      </c>
      <c r="F2745" s="35">
        <v>36</v>
      </c>
      <c r="G2745" s="37">
        <v>100</v>
      </c>
      <c r="H2745" s="32">
        <f t="shared" si="48"/>
        <v>3600</v>
      </c>
    </row>
    <row r="2746" spans="2:8">
      <c r="B2746" s="28">
        <v>10414</v>
      </c>
      <c r="C2746" s="34" t="s">
        <v>100</v>
      </c>
      <c r="D2746" s="34" t="s">
        <v>104</v>
      </c>
      <c r="E2746" s="34" t="s">
        <v>518</v>
      </c>
      <c r="F2746" s="35">
        <v>27</v>
      </c>
      <c r="G2746" s="37">
        <v>90.37</v>
      </c>
      <c r="H2746" s="32">
        <f t="shared" si="48"/>
        <v>2439.9900000000002</v>
      </c>
    </row>
    <row r="2747" spans="2:8">
      <c r="B2747" s="28">
        <v>10106</v>
      </c>
      <c r="C2747" s="34" t="s">
        <v>352</v>
      </c>
      <c r="D2747" s="34" t="s">
        <v>104</v>
      </c>
      <c r="E2747" s="34" t="s">
        <v>93</v>
      </c>
      <c r="F2747" s="35">
        <v>48</v>
      </c>
      <c r="G2747" s="37">
        <v>61.44</v>
      </c>
      <c r="H2747" s="32">
        <f t="shared" si="48"/>
        <v>2949.12</v>
      </c>
    </row>
    <row r="2748" spans="2:8">
      <c r="B2748" s="28">
        <v>10119</v>
      </c>
      <c r="C2748" s="34" t="s">
        <v>229</v>
      </c>
      <c r="D2748" s="34" t="s">
        <v>104</v>
      </c>
      <c r="E2748" s="34" t="s">
        <v>93</v>
      </c>
      <c r="F2748" s="35">
        <v>26</v>
      </c>
      <c r="G2748" s="37">
        <v>59.22</v>
      </c>
      <c r="H2748" s="32">
        <f t="shared" si="48"/>
        <v>1539.72</v>
      </c>
    </row>
    <row r="2749" spans="2:8">
      <c r="B2749" s="28">
        <v>10131</v>
      </c>
      <c r="C2749" s="34" t="s">
        <v>100</v>
      </c>
      <c r="D2749" s="34" t="s">
        <v>104</v>
      </c>
      <c r="E2749" s="34" t="s">
        <v>93</v>
      </c>
      <c r="F2749" s="35">
        <v>26</v>
      </c>
      <c r="G2749" s="37">
        <v>85.13</v>
      </c>
      <c r="H2749" s="32">
        <f t="shared" si="48"/>
        <v>2213.38</v>
      </c>
    </row>
    <row r="2750" spans="2:8">
      <c r="B2750" s="28">
        <v>10143</v>
      </c>
      <c r="C2750" s="34" t="s">
        <v>100</v>
      </c>
      <c r="D2750" s="34" t="s">
        <v>104</v>
      </c>
      <c r="E2750" s="34" t="s">
        <v>93</v>
      </c>
      <c r="F2750" s="35">
        <v>34</v>
      </c>
      <c r="G2750" s="37">
        <v>85.87</v>
      </c>
      <c r="H2750" s="32">
        <f t="shared" si="48"/>
        <v>2919.58</v>
      </c>
    </row>
    <row r="2751" spans="2:8">
      <c r="B2751" s="28">
        <v>10155</v>
      </c>
      <c r="C2751" s="34" t="s">
        <v>208</v>
      </c>
      <c r="D2751" s="34" t="s">
        <v>119</v>
      </c>
      <c r="E2751" s="34" t="s">
        <v>93</v>
      </c>
      <c r="F2751" s="35">
        <v>44</v>
      </c>
      <c r="G2751" s="37">
        <v>85.87</v>
      </c>
      <c r="H2751" s="32">
        <f t="shared" si="48"/>
        <v>3778.28</v>
      </c>
    </row>
    <row r="2752" spans="2:8">
      <c r="B2752" s="28">
        <v>10168</v>
      </c>
      <c r="C2752" s="34" t="s">
        <v>100</v>
      </c>
      <c r="D2752" s="34" t="s">
        <v>119</v>
      </c>
      <c r="E2752" s="34" t="s">
        <v>93</v>
      </c>
      <c r="F2752" s="35">
        <v>39</v>
      </c>
      <c r="G2752" s="37">
        <v>82.91</v>
      </c>
      <c r="H2752" s="32">
        <f t="shared" si="48"/>
        <v>3233.49</v>
      </c>
    </row>
    <row r="2753" spans="2:8">
      <c r="B2753" s="28">
        <v>10178</v>
      </c>
      <c r="C2753" s="34" t="s">
        <v>109</v>
      </c>
      <c r="D2753" s="34" t="s">
        <v>119</v>
      </c>
      <c r="E2753" s="34" t="s">
        <v>93</v>
      </c>
      <c r="F2753" s="35">
        <v>45</v>
      </c>
      <c r="G2753" s="37">
        <v>76.25</v>
      </c>
      <c r="H2753" s="32">
        <f t="shared" si="48"/>
        <v>3431.25</v>
      </c>
    </row>
    <row r="2754" spans="2:8">
      <c r="B2754" s="28">
        <v>10198</v>
      </c>
      <c r="C2754" s="34" t="s">
        <v>552</v>
      </c>
      <c r="D2754" s="34" t="s">
        <v>104</v>
      </c>
      <c r="E2754" s="34" t="s">
        <v>93</v>
      </c>
      <c r="F2754" s="35">
        <v>40</v>
      </c>
      <c r="G2754" s="37">
        <v>63.67</v>
      </c>
      <c r="H2754" s="32">
        <f t="shared" si="48"/>
        <v>2546.8000000000002</v>
      </c>
    </row>
    <row r="2755" spans="2:8">
      <c r="B2755" s="28">
        <v>10210</v>
      </c>
      <c r="C2755" s="34" t="s">
        <v>288</v>
      </c>
      <c r="D2755" s="34" t="s">
        <v>104</v>
      </c>
      <c r="E2755" s="34" t="s">
        <v>93</v>
      </c>
      <c r="F2755" s="35">
        <v>42</v>
      </c>
      <c r="G2755" s="37">
        <v>70.33</v>
      </c>
      <c r="H2755" s="32">
        <f t="shared" si="48"/>
        <v>2953.86</v>
      </c>
    </row>
    <row r="2756" spans="2:8">
      <c r="B2756" s="28">
        <v>10222</v>
      </c>
      <c r="C2756" s="34" t="s">
        <v>100</v>
      </c>
      <c r="D2756" s="34" t="s">
        <v>119</v>
      </c>
      <c r="E2756" s="34" t="s">
        <v>93</v>
      </c>
      <c r="F2756" s="35">
        <v>43</v>
      </c>
      <c r="G2756" s="37">
        <v>74.03</v>
      </c>
      <c r="H2756" s="32">
        <f t="shared" si="48"/>
        <v>3183.29</v>
      </c>
    </row>
    <row r="2757" spans="2:8">
      <c r="B2757" s="28">
        <v>10235</v>
      </c>
      <c r="C2757" s="34" t="s">
        <v>322</v>
      </c>
      <c r="D2757" s="34" t="s">
        <v>104</v>
      </c>
      <c r="E2757" s="34" t="s">
        <v>93</v>
      </c>
      <c r="F2757" s="35">
        <v>34</v>
      </c>
      <c r="G2757" s="37">
        <v>72.55</v>
      </c>
      <c r="H2757" s="32">
        <f t="shared" ref="H2757:H2820" si="49">F2757*G2757</f>
        <v>2466.6999999999998</v>
      </c>
    </row>
    <row r="2758" spans="2:8">
      <c r="B2758" s="28">
        <v>10250</v>
      </c>
      <c r="C2758" s="34" t="s">
        <v>100</v>
      </c>
      <c r="D2758" s="34" t="s">
        <v>104</v>
      </c>
      <c r="E2758" s="34" t="s">
        <v>93</v>
      </c>
      <c r="F2758" s="35">
        <v>38</v>
      </c>
      <c r="G2758" s="37">
        <v>62.19</v>
      </c>
      <c r="H2758" s="32">
        <f t="shared" si="49"/>
        <v>2363.2199999999998</v>
      </c>
    </row>
    <row r="2759" spans="2:8">
      <c r="B2759" s="28">
        <v>10262</v>
      </c>
      <c r="C2759" s="34" t="s">
        <v>261</v>
      </c>
      <c r="D2759" s="34" t="s">
        <v>104</v>
      </c>
      <c r="E2759" s="34" t="s">
        <v>444</v>
      </c>
      <c r="F2759" s="35">
        <v>35</v>
      </c>
      <c r="G2759" s="37">
        <v>71.069999999999993</v>
      </c>
      <c r="H2759" s="32">
        <f t="shared" si="49"/>
        <v>2487.4499999999998</v>
      </c>
    </row>
    <row r="2760" spans="2:8">
      <c r="B2760" s="28">
        <v>10275</v>
      </c>
      <c r="C2760" s="34" t="s">
        <v>109</v>
      </c>
      <c r="D2760" s="34" t="s">
        <v>104</v>
      </c>
      <c r="E2760" s="34" t="s">
        <v>93</v>
      </c>
      <c r="F2760" s="35">
        <v>31</v>
      </c>
      <c r="G2760" s="37">
        <v>72.55</v>
      </c>
      <c r="H2760" s="32">
        <f t="shared" si="49"/>
        <v>2249.0499999999997</v>
      </c>
    </row>
    <row r="2761" spans="2:8">
      <c r="B2761" s="28">
        <v>10284</v>
      </c>
      <c r="C2761" s="34" t="s">
        <v>149</v>
      </c>
      <c r="D2761" s="34" t="s">
        <v>104</v>
      </c>
      <c r="E2761" s="34" t="s">
        <v>93</v>
      </c>
      <c r="F2761" s="35">
        <v>32</v>
      </c>
      <c r="G2761" s="37">
        <v>64.41</v>
      </c>
      <c r="H2761" s="32">
        <f t="shared" si="49"/>
        <v>2061.12</v>
      </c>
    </row>
    <row r="2762" spans="2:8">
      <c r="B2762" s="28">
        <v>10296</v>
      </c>
      <c r="C2762" s="34" t="s">
        <v>566</v>
      </c>
      <c r="D2762" s="34" t="s">
        <v>119</v>
      </c>
      <c r="E2762" s="34" t="s">
        <v>93</v>
      </c>
      <c r="F2762" s="35">
        <v>47</v>
      </c>
      <c r="G2762" s="37">
        <v>86.62</v>
      </c>
      <c r="H2762" s="32">
        <f t="shared" si="49"/>
        <v>4071.1400000000003</v>
      </c>
    </row>
    <row r="2763" spans="2:8">
      <c r="B2763" s="28">
        <v>10308</v>
      </c>
      <c r="C2763" s="34" t="s">
        <v>100</v>
      </c>
      <c r="D2763" s="34" t="s">
        <v>104</v>
      </c>
      <c r="E2763" s="34" t="s">
        <v>93</v>
      </c>
      <c r="F2763" s="35">
        <v>39</v>
      </c>
      <c r="G2763" s="37">
        <v>68.11</v>
      </c>
      <c r="H2763" s="32">
        <f t="shared" si="49"/>
        <v>2656.29</v>
      </c>
    </row>
    <row r="2764" spans="2:8">
      <c r="B2764" s="28">
        <v>10316</v>
      </c>
      <c r="C2764" s="34" t="s">
        <v>252</v>
      </c>
      <c r="D2764" s="34" t="s">
        <v>104</v>
      </c>
      <c r="E2764" s="34" t="s">
        <v>93</v>
      </c>
      <c r="F2764" s="35">
        <v>44</v>
      </c>
      <c r="G2764" s="37">
        <v>62.19</v>
      </c>
      <c r="H2764" s="32">
        <f t="shared" si="49"/>
        <v>2736.3599999999997</v>
      </c>
    </row>
    <row r="2765" spans="2:8">
      <c r="B2765" s="28">
        <v>10328</v>
      </c>
      <c r="C2765" s="34" t="s">
        <v>352</v>
      </c>
      <c r="D2765" s="34" t="s">
        <v>119</v>
      </c>
      <c r="E2765" s="34" t="s">
        <v>93</v>
      </c>
      <c r="F2765" s="35">
        <v>39</v>
      </c>
      <c r="G2765" s="37">
        <v>85.87</v>
      </c>
      <c r="H2765" s="32">
        <f t="shared" si="49"/>
        <v>3348.9300000000003</v>
      </c>
    </row>
    <row r="2766" spans="2:8">
      <c r="B2766" s="28">
        <v>10339</v>
      </c>
      <c r="C2766" s="34" t="s">
        <v>288</v>
      </c>
      <c r="D2766" s="34" t="s">
        <v>104</v>
      </c>
      <c r="E2766" s="34" t="s">
        <v>93</v>
      </c>
      <c r="F2766" s="35">
        <v>50</v>
      </c>
      <c r="G2766" s="37">
        <v>57.86</v>
      </c>
      <c r="H2766" s="32">
        <f t="shared" si="49"/>
        <v>2893</v>
      </c>
    </row>
    <row r="2767" spans="2:8">
      <c r="B2767" s="28">
        <v>10352</v>
      </c>
      <c r="C2767" s="34" t="s">
        <v>100</v>
      </c>
      <c r="D2767" s="34" t="s">
        <v>104</v>
      </c>
      <c r="E2767" s="34" t="s">
        <v>93</v>
      </c>
      <c r="F2767" s="35">
        <v>22</v>
      </c>
      <c r="G2767" s="37">
        <v>75.510000000000005</v>
      </c>
      <c r="H2767" s="32">
        <f t="shared" si="49"/>
        <v>1661.22</v>
      </c>
    </row>
    <row r="2768" spans="2:8">
      <c r="B2768" s="28">
        <v>10361</v>
      </c>
      <c r="C2768" s="34" t="s">
        <v>168</v>
      </c>
      <c r="D2768" s="34" t="s">
        <v>119</v>
      </c>
      <c r="E2768" s="34" t="s">
        <v>93</v>
      </c>
      <c r="F2768" s="35">
        <v>35</v>
      </c>
      <c r="G2768" s="37">
        <v>100</v>
      </c>
      <c r="H2768" s="32">
        <f t="shared" si="49"/>
        <v>3500</v>
      </c>
    </row>
    <row r="2769" spans="2:8">
      <c r="B2769" s="28">
        <v>10373</v>
      </c>
      <c r="C2769" s="34" t="s">
        <v>208</v>
      </c>
      <c r="D2769" s="34" t="s">
        <v>104</v>
      </c>
      <c r="E2769" s="34" t="s">
        <v>93</v>
      </c>
      <c r="F2769" s="35">
        <v>45</v>
      </c>
      <c r="G2769" s="37">
        <v>55.62</v>
      </c>
      <c r="H2769" s="32">
        <f t="shared" si="49"/>
        <v>2502.9</v>
      </c>
    </row>
    <row r="2770" spans="2:8">
      <c r="B2770" s="28">
        <v>10386</v>
      </c>
      <c r="C2770" s="34" t="s">
        <v>261</v>
      </c>
      <c r="D2770" s="34" t="s">
        <v>119</v>
      </c>
      <c r="E2770" s="34" t="s">
        <v>526</v>
      </c>
      <c r="F2770" s="35">
        <v>44</v>
      </c>
      <c r="G2770" s="37">
        <v>86.4</v>
      </c>
      <c r="H2770" s="32">
        <f t="shared" si="49"/>
        <v>3801.6000000000004</v>
      </c>
    </row>
    <row r="2771" spans="2:8">
      <c r="B2771" s="28">
        <v>10398</v>
      </c>
      <c r="C2771" s="34" t="s">
        <v>109</v>
      </c>
      <c r="D2771" s="34" t="s">
        <v>119</v>
      </c>
      <c r="E2771" s="34" t="s">
        <v>93</v>
      </c>
      <c r="F2771" s="35">
        <v>36</v>
      </c>
      <c r="G2771" s="37">
        <v>87.36</v>
      </c>
      <c r="H2771" s="32">
        <f t="shared" si="49"/>
        <v>3144.96</v>
      </c>
    </row>
    <row r="2772" spans="2:8">
      <c r="B2772" s="28">
        <v>10401</v>
      </c>
      <c r="C2772" s="34" t="s">
        <v>100</v>
      </c>
      <c r="D2772" s="34" t="s">
        <v>104</v>
      </c>
      <c r="E2772" s="34" t="s">
        <v>518</v>
      </c>
      <c r="F2772" s="35">
        <v>28</v>
      </c>
      <c r="G2772" s="37">
        <v>72.55</v>
      </c>
      <c r="H2772" s="32">
        <f t="shared" si="49"/>
        <v>2031.3999999999999</v>
      </c>
    </row>
    <row r="2773" spans="2:8">
      <c r="B2773" s="28">
        <v>10416</v>
      </c>
      <c r="C2773" s="34" t="s">
        <v>352</v>
      </c>
      <c r="D2773" s="34" t="s">
        <v>104</v>
      </c>
      <c r="E2773" s="34" t="s">
        <v>93</v>
      </c>
      <c r="F2773" s="35">
        <v>43</v>
      </c>
      <c r="G2773" s="37">
        <v>62.19</v>
      </c>
      <c r="H2773" s="32">
        <f t="shared" si="49"/>
        <v>2674.17</v>
      </c>
    </row>
    <row r="2774" spans="2:8">
      <c r="B2774" s="28">
        <v>10106</v>
      </c>
      <c r="C2774" s="34" t="s">
        <v>352</v>
      </c>
      <c r="D2774" s="34" t="s">
        <v>104</v>
      </c>
      <c r="E2774" s="34" t="s">
        <v>93</v>
      </c>
      <c r="F2774" s="35">
        <v>48</v>
      </c>
      <c r="G2774" s="37">
        <v>52.64</v>
      </c>
      <c r="H2774" s="32">
        <f t="shared" si="49"/>
        <v>2526.7200000000003</v>
      </c>
    </row>
    <row r="2775" spans="2:8">
      <c r="B2775" s="28">
        <v>10119</v>
      </c>
      <c r="C2775" s="34" t="s">
        <v>229</v>
      </c>
      <c r="D2775" s="34" t="s">
        <v>104</v>
      </c>
      <c r="E2775" s="34" t="s">
        <v>93</v>
      </c>
      <c r="F2775" s="35">
        <v>28</v>
      </c>
      <c r="G2775" s="37">
        <v>48.17</v>
      </c>
      <c r="H2775" s="32">
        <f t="shared" si="49"/>
        <v>1348.76</v>
      </c>
    </row>
    <row r="2776" spans="2:8">
      <c r="B2776" s="28">
        <v>10131</v>
      </c>
      <c r="C2776" s="34" t="s">
        <v>100</v>
      </c>
      <c r="D2776" s="34" t="s">
        <v>104</v>
      </c>
      <c r="E2776" s="34" t="s">
        <v>93</v>
      </c>
      <c r="F2776" s="35">
        <v>21</v>
      </c>
      <c r="G2776" s="37">
        <v>41.71</v>
      </c>
      <c r="H2776" s="32">
        <f t="shared" si="49"/>
        <v>875.91</v>
      </c>
    </row>
    <row r="2777" spans="2:8">
      <c r="B2777" s="28">
        <v>10143</v>
      </c>
      <c r="C2777" s="34" t="s">
        <v>100</v>
      </c>
      <c r="D2777" s="34" t="s">
        <v>104</v>
      </c>
      <c r="E2777" s="34" t="s">
        <v>93</v>
      </c>
      <c r="F2777" s="35">
        <v>37</v>
      </c>
      <c r="G2777" s="37">
        <v>50.65</v>
      </c>
      <c r="H2777" s="32">
        <f t="shared" si="49"/>
        <v>1874.05</v>
      </c>
    </row>
    <row r="2778" spans="2:8">
      <c r="B2778" s="28">
        <v>10155</v>
      </c>
      <c r="C2778" s="34" t="s">
        <v>208</v>
      </c>
      <c r="D2778" s="34" t="s">
        <v>104</v>
      </c>
      <c r="E2778" s="34" t="s">
        <v>93</v>
      </c>
      <c r="F2778" s="35">
        <v>34</v>
      </c>
      <c r="G2778" s="37">
        <v>49.16</v>
      </c>
      <c r="H2778" s="32">
        <f t="shared" si="49"/>
        <v>1671.4399999999998</v>
      </c>
    </row>
    <row r="2779" spans="2:8">
      <c r="B2779" s="28">
        <v>10167</v>
      </c>
      <c r="C2779" s="34" t="s">
        <v>273</v>
      </c>
      <c r="D2779" s="34" t="s">
        <v>104</v>
      </c>
      <c r="E2779" s="34" t="s">
        <v>444</v>
      </c>
      <c r="F2779" s="35">
        <v>40</v>
      </c>
      <c r="G2779" s="37">
        <v>41.71</v>
      </c>
      <c r="H2779" s="32">
        <f t="shared" si="49"/>
        <v>1668.4</v>
      </c>
    </row>
    <row r="2780" spans="2:8">
      <c r="B2780" s="28">
        <v>10178</v>
      </c>
      <c r="C2780" s="34" t="s">
        <v>109</v>
      </c>
      <c r="D2780" s="34" t="s">
        <v>104</v>
      </c>
      <c r="E2780" s="34" t="s">
        <v>93</v>
      </c>
      <c r="F2780" s="35">
        <v>45</v>
      </c>
      <c r="G2780" s="37">
        <v>51.15</v>
      </c>
      <c r="H2780" s="32">
        <f t="shared" si="49"/>
        <v>2301.75</v>
      </c>
    </row>
    <row r="2781" spans="2:8">
      <c r="B2781" s="28">
        <v>10186</v>
      </c>
      <c r="C2781" s="34" t="s">
        <v>252</v>
      </c>
      <c r="D2781" s="34" t="s">
        <v>104</v>
      </c>
      <c r="E2781" s="34" t="s">
        <v>93</v>
      </c>
      <c r="F2781" s="35">
        <v>28</v>
      </c>
      <c r="G2781" s="37">
        <v>52.14</v>
      </c>
      <c r="H2781" s="32">
        <f t="shared" si="49"/>
        <v>1459.92</v>
      </c>
    </row>
    <row r="2782" spans="2:8">
      <c r="B2782" s="28">
        <v>10197</v>
      </c>
      <c r="C2782" s="34" t="s">
        <v>261</v>
      </c>
      <c r="D2782" s="34" t="s">
        <v>104</v>
      </c>
      <c r="E2782" s="34" t="s">
        <v>93</v>
      </c>
      <c r="F2782" s="35">
        <v>29</v>
      </c>
      <c r="G2782" s="37">
        <v>41.71</v>
      </c>
      <c r="H2782" s="32">
        <f t="shared" si="49"/>
        <v>1209.5899999999999</v>
      </c>
    </row>
    <row r="2783" spans="2:8">
      <c r="B2783" s="28">
        <v>10209</v>
      </c>
      <c r="C2783" s="34" t="s">
        <v>100</v>
      </c>
      <c r="D2783" s="34" t="s">
        <v>104</v>
      </c>
      <c r="E2783" s="34" t="s">
        <v>93</v>
      </c>
      <c r="F2783" s="35">
        <v>48</v>
      </c>
      <c r="G2783" s="37">
        <v>44.69</v>
      </c>
      <c r="H2783" s="32">
        <f t="shared" si="49"/>
        <v>2145.12</v>
      </c>
    </row>
    <row r="2784" spans="2:8">
      <c r="B2784" s="28">
        <v>10222</v>
      </c>
      <c r="C2784" s="34" t="s">
        <v>100</v>
      </c>
      <c r="D2784" s="34" t="s">
        <v>104</v>
      </c>
      <c r="E2784" s="34" t="s">
        <v>93</v>
      </c>
      <c r="F2784" s="35">
        <v>31</v>
      </c>
      <c r="G2784" s="37">
        <v>45.69</v>
      </c>
      <c r="H2784" s="32">
        <f t="shared" si="49"/>
        <v>1416.3899999999999</v>
      </c>
    </row>
    <row r="2785" spans="2:8">
      <c r="B2785" s="28">
        <v>10249</v>
      </c>
      <c r="C2785" s="34" t="s">
        <v>100</v>
      </c>
      <c r="D2785" s="34" t="s">
        <v>104</v>
      </c>
      <c r="E2785" s="34" t="s">
        <v>93</v>
      </c>
      <c r="F2785" s="35">
        <v>32</v>
      </c>
      <c r="G2785" s="37">
        <v>57.61</v>
      </c>
      <c r="H2785" s="32">
        <f t="shared" si="49"/>
        <v>1843.52</v>
      </c>
    </row>
    <row r="2786" spans="2:8">
      <c r="B2786" s="28">
        <v>10262</v>
      </c>
      <c r="C2786" s="34" t="s">
        <v>261</v>
      </c>
      <c r="D2786" s="34" t="s">
        <v>104</v>
      </c>
      <c r="E2786" s="34" t="s">
        <v>444</v>
      </c>
      <c r="F2786" s="35">
        <v>21</v>
      </c>
      <c r="G2786" s="37">
        <v>57.11</v>
      </c>
      <c r="H2786" s="32">
        <f t="shared" si="49"/>
        <v>1199.31</v>
      </c>
    </row>
    <row r="2787" spans="2:8">
      <c r="B2787" s="28">
        <v>10274</v>
      </c>
      <c r="C2787" s="34" t="s">
        <v>100</v>
      </c>
      <c r="D2787" s="34" t="s">
        <v>104</v>
      </c>
      <c r="E2787" s="34" t="s">
        <v>93</v>
      </c>
      <c r="F2787" s="35">
        <v>32</v>
      </c>
      <c r="G2787" s="37">
        <v>58.6</v>
      </c>
      <c r="H2787" s="32">
        <f t="shared" si="49"/>
        <v>1875.2</v>
      </c>
    </row>
    <row r="2788" spans="2:8">
      <c r="B2788" s="28">
        <v>10283</v>
      </c>
      <c r="C2788" s="34" t="s">
        <v>322</v>
      </c>
      <c r="D2788" s="34" t="s">
        <v>104</v>
      </c>
      <c r="E2788" s="34" t="s">
        <v>93</v>
      </c>
      <c r="F2788" s="35">
        <v>43</v>
      </c>
      <c r="G2788" s="37">
        <v>57.61</v>
      </c>
      <c r="H2788" s="32">
        <f t="shared" si="49"/>
        <v>2477.23</v>
      </c>
    </row>
    <row r="2789" spans="2:8">
      <c r="B2789" s="28">
        <v>10296</v>
      </c>
      <c r="C2789" s="34" t="s">
        <v>566</v>
      </c>
      <c r="D2789" s="34" t="s">
        <v>104</v>
      </c>
      <c r="E2789" s="34" t="s">
        <v>93</v>
      </c>
      <c r="F2789" s="35">
        <v>21</v>
      </c>
      <c r="G2789" s="37">
        <v>45.19</v>
      </c>
      <c r="H2789" s="32">
        <f t="shared" si="49"/>
        <v>948.99</v>
      </c>
    </row>
    <row r="2790" spans="2:8">
      <c r="B2790" s="28">
        <v>10307</v>
      </c>
      <c r="C2790" s="34" t="s">
        <v>100</v>
      </c>
      <c r="D2790" s="34" t="s">
        <v>104</v>
      </c>
      <c r="E2790" s="34" t="s">
        <v>93</v>
      </c>
      <c r="F2790" s="35">
        <v>34</v>
      </c>
      <c r="G2790" s="37">
        <v>53.63</v>
      </c>
      <c r="H2790" s="32">
        <f t="shared" si="49"/>
        <v>1823.42</v>
      </c>
    </row>
    <row r="2791" spans="2:8">
      <c r="B2791" s="28">
        <v>10316</v>
      </c>
      <c r="C2791" s="34" t="s">
        <v>252</v>
      </c>
      <c r="D2791" s="34" t="s">
        <v>104</v>
      </c>
      <c r="E2791" s="34" t="s">
        <v>93</v>
      </c>
      <c r="F2791" s="35">
        <v>34</v>
      </c>
      <c r="G2791" s="37">
        <v>43.7</v>
      </c>
      <c r="H2791" s="32">
        <f t="shared" si="49"/>
        <v>1485.8000000000002</v>
      </c>
    </row>
    <row r="2792" spans="2:8">
      <c r="B2792" s="28">
        <v>10329</v>
      </c>
      <c r="C2792" s="34" t="s">
        <v>100</v>
      </c>
      <c r="D2792" s="34" t="s">
        <v>119</v>
      </c>
      <c r="E2792" s="34" t="s">
        <v>93</v>
      </c>
      <c r="F2792" s="35">
        <v>44</v>
      </c>
      <c r="G2792" s="37">
        <v>86.13</v>
      </c>
      <c r="H2792" s="32">
        <f t="shared" si="49"/>
        <v>3789.72</v>
      </c>
    </row>
    <row r="2793" spans="2:8">
      <c r="B2793" s="28">
        <v>10339</v>
      </c>
      <c r="C2793" s="34" t="s">
        <v>288</v>
      </c>
      <c r="D2793" s="34" t="s">
        <v>104</v>
      </c>
      <c r="E2793" s="34" t="s">
        <v>93</v>
      </c>
      <c r="F2793" s="35">
        <v>27</v>
      </c>
      <c r="G2793" s="37">
        <v>76.31</v>
      </c>
      <c r="H2793" s="32">
        <f t="shared" si="49"/>
        <v>2060.37</v>
      </c>
    </row>
    <row r="2794" spans="2:8">
      <c r="B2794" s="28">
        <v>10352</v>
      </c>
      <c r="C2794" s="34" t="s">
        <v>100</v>
      </c>
      <c r="D2794" s="34" t="s">
        <v>104</v>
      </c>
      <c r="E2794" s="34" t="s">
        <v>93</v>
      </c>
      <c r="F2794" s="35">
        <v>49</v>
      </c>
      <c r="G2794" s="37">
        <v>52.64</v>
      </c>
      <c r="H2794" s="32">
        <f t="shared" si="49"/>
        <v>2579.36</v>
      </c>
    </row>
    <row r="2795" spans="2:8">
      <c r="B2795" s="28">
        <v>10361</v>
      </c>
      <c r="C2795" s="34" t="s">
        <v>168</v>
      </c>
      <c r="D2795" s="34" t="s">
        <v>104</v>
      </c>
      <c r="E2795" s="34" t="s">
        <v>93</v>
      </c>
      <c r="F2795" s="35">
        <v>23</v>
      </c>
      <c r="G2795" s="37">
        <v>95.2</v>
      </c>
      <c r="H2795" s="32">
        <f t="shared" si="49"/>
        <v>2189.6</v>
      </c>
    </row>
    <row r="2796" spans="2:8">
      <c r="B2796" s="28">
        <v>10373</v>
      </c>
      <c r="C2796" s="34" t="s">
        <v>208</v>
      </c>
      <c r="D2796" s="34" t="s">
        <v>104</v>
      </c>
      <c r="E2796" s="34" t="s">
        <v>93</v>
      </c>
      <c r="F2796" s="35">
        <v>25</v>
      </c>
      <c r="G2796" s="37">
        <v>64.97</v>
      </c>
      <c r="H2796" s="32">
        <f t="shared" si="49"/>
        <v>1624.25</v>
      </c>
    </row>
    <row r="2797" spans="2:8">
      <c r="B2797" s="28">
        <v>10386</v>
      </c>
      <c r="C2797" s="34" t="s">
        <v>261</v>
      </c>
      <c r="D2797" s="34" t="s">
        <v>119</v>
      </c>
      <c r="E2797" s="34" t="s">
        <v>526</v>
      </c>
      <c r="F2797" s="35">
        <v>50</v>
      </c>
      <c r="G2797" s="37">
        <v>87.15</v>
      </c>
      <c r="H2797" s="32">
        <f t="shared" si="49"/>
        <v>4357.5</v>
      </c>
    </row>
    <row r="2798" spans="2:8">
      <c r="B2798" s="28">
        <v>10398</v>
      </c>
      <c r="C2798" s="34" t="s">
        <v>109</v>
      </c>
      <c r="D2798" s="34" t="s">
        <v>104</v>
      </c>
      <c r="E2798" s="34" t="s">
        <v>93</v>
      </c>
      <c r="F2798" s="35">
        <v>34</v>
      </c>
      <c r="G2798" s="37">
        <v>40.22</v>
      </c>
      <c r="H2798" s="32">
        <f t="shared" si="49"/>
        <v>1367.48</v>
      </c>
    </row>
    <row r="2799" spans="2:8">
      <c r="B2799" s="28">
        <v>10400</v>
      </c>
      <c r="C2799" s="34" t="s">
        <v>100</v>
      </c>
      <c r="D2799" s="34" t="s">
        <v>104</v>
      </c>
      <c r="E2799" s="34" t="s">
        <v>93</v>
      </c>
      <c r="F2799" s="35">
        <v>20</v>
      </c>
      <c r="G2799" s="37">
        <v>56.12</v>
      </c>
      <c r="H2799" s="32">
        <f t="shared" si="49"/>
        <v>1122.3999999999999</v>
      </c>
    </row>
    <row r="2800" spans="2:8">
      <c r="B2800" s="28">
        <v>10415</v>
      </c>
      <c r="C2800" s="34" t="s">
        <v>168</v>
      </c>
      <c r="D2800" s="34" t="s">
        <v>104</v>
      </c>
      <c r="E2800" s="34" t="s">
        <v>256</v>
      </c>
      <c r="F2800" s="35">
        <v>42</v>
      </c>
      <c r="G2800" s="37">
        <v>57.61</v>
      </c>
      <c r="H2800" s="32">
        <f t="shared" si="49"/>
        <v>2419.62</v>
      </c>
    </row>
    <row r="2801" spans="2:8">
      <c r="B2801" s="28">
        <v>10105</v>
      </c>
      <c r="C2801" s="34" t="s">
        <v>429</v>
      </c>
      <c r="D2801" s="34" t="s">
        <v>104</v>
      </c>
      <c r="E2801" s="34" t="s">
        <v>93</v>
      </c>
      <c r="F2801" s="35">
        <v>25</v>
      </c>
      <c r="G2801" s="37">
        <v>56.78</v>
      </c>
      <c r="H2801" s="32">
        <f t="shared" si="49"/>
        <v>1419.5</v>
      </c>
    </row>
    <row r="2802" spans="2:8">
      <c r="B2802" s="28">
        <v>10117</v>
      </c>
      <c r="C2802" s="34" t="s">
        <v>287</v>
      </c>
      <c r="D2802" s="34" t="s">
        <v>104</v>
      </c>
      <c r="E2802" s="34" t="s">
        <v>93</v>
      </c>
      <c r="F2802" s="35">
        <v>50</v>
      </c>
      <c r="G2802" s="37">
        <v>43.68</v>
      </c>
      <c r="H2802" s="32">
        <f t="shared" si="49"/>
        <v>2184</v>
      </c>
    </row>
    <row r="2803" spans="2:8">
      <c r="B2803" s="28">
        <v>10129</v>
      </c>
      <c r="C2803" s="34" t="s">
        <v>252</v>
      </c>
      <c r="D2803" s="34" t="s">
        <v>104</v>
      </c>
      <c r="E2803" s="34" t="s">
        <v>93</v>
      </c>
      <c r="F2803" s="35">
        <v>32</v>
      </c>
      <c r="G2803" s="37">
        <v>64.97</v>
      </c>
      <c r="H2803" s="32">
        <f t="shared" si="49"/>
        <v>2079.04</v>
      </c>
    </row>
    <row r="2804" spans="2:8">
      <c r="B2804" s="28">
        <v>10142</v>
      </c>
      <c r="C2804" s="34" t="s">
        <v>100</v>
      </c>
      <c r="D2804" s="34" t="s">
        <v>104</v>
      </c>
      <c r="E2804" s="34" t="s">
        <v>93</v>
      </c>
      <c r="F2804" s="35">
        <v>39</v>
      </c>
      <c r="G2804" s="37">
        <v>44.23</v>
      </c>
      <c r="H2804" s="32">
        <f t="shared" si="49"/>
        <v>1724.9699999999998</v>
      </c>
    </row>
    <row r="2805" spans="2:8">
      <c r="B2805" s="28">
        <v>10153</v>
      </c>
      <c r="C2805" s="34" t="s">
        <v>261</v>
      </c>
      <c r="D2805" s="34" t="s">
        <v>119</v>
      </c>
      <c r="E2805" s="34" t="s">
        <v>93</v>
      </c>
      <c r="F2805" s="35">
        <v>50</v>
      </c>
      <c r="G2805" s="37">
        <v>60.06</v>
      </c>
      <c r="H2805" s="32">
        <f t="shared" si="49"/>
        <v>3003</v>
      </c>
    </row>
    <row r="2806" spans="2:8">
      <c r="B2806" s="28">
        <v>10167</v>
      </c>
      <c r="C2806" s="34" t="s">
        <v>273</v>
      </c>
      <c r="D2806" s="34" t="s">
        <v>104</v>
      </c>
      <c r="E2806" s="34" t="s">
        <v>444</v>
      </c>
      <c r="F2806" s="35">
        <v>38</v>
      </c>
      <c r="G2806" s="37">
        <v>48.59</v>
      </c>
      <c r="H2806" s="32">
        <f t="shared" si="49"/>
        <v>1846.42</v>
      </c>
    </row>
    <row r="2807" spans="2:8">
      <c r="B2807" s="28">
        <v>10177</v>
      </c>
      <c r="C2807" s="34" t="s">
        <v>261</v>
      </c>
      <c r="D2807" s="34" t="s">
        <v>104</v>
      </c>
      <c r="E2807" s="34" t="s">
        <v>93</v>
      </c>
      <c r="F2807" s="35">
        <v>40</v>
      </c>
      <c r="G2807" s="37">
        <v>50.23</v>
      </c>
      <c r="H2807" s="32">
        <f t="shared" si="49"/>
        <v>2009.1999999999998</v>
      </c>
    </row>
    <row r="2808" spans="2:8">
      <c r="B2808" s="28">
        <v>10185</v>
      </c>
      <c r="C2808" s="34" t="s">
        <v>100</v>
      </c>
      <c r="D2808" s="34" t="s">
        <v>104</v>
      </c>
      <c r="E2808" s="34" t="s">
        <v>93</v>
      </c>
      <c r="F2808" s="35">
        <v>28</v>
      </c>
      <c r="G2808" s="37">
        <v>64.430000000000007</v>
      </c>
      <c r="H2808" s="32">
        <f t="shared" si="49"/>
        <v>1804.0400000000002</v>
      </c>
    </row>
    <row r="2809" spans="2:8">
      <c r="B2809" s="28">
        <v>10197</v>
      </c>
      <c r="C2809" s="34" t="s">
        <v>261</v>
      </c>
      <c r="D2809" s="34" t="s">
        <v>104</v>
      </c>
      <c r="E2809" s="34" t="s">
        <v>93</v>
      </c>
      <c r="F2809" s="35">
        <v>42</v>
      </c>
      <c r="G2809" s="37">
        <v>50.23</v>
      </c>
      <c r="H2809" s="32">
        <f t="shared" si="49"/>
        <v>2109.66</v>
      </c>
    </row>
    <row r="2810" spans="2:8">
      <c r="B2810" s="28">
        <v>10208</v>
      </c>
      <c r="C2810" s="34" t="s">
        <v>109</v>
      </c>
      <c r="D2810" s="34" t="s">
        <v>104</v>
      </c>
      <c r="E2810" s="34" t="s">
        <v>93</v>
      </c>
      <c r="F2810" s="35">
        <v>42</v>
      </c>
      <c r="G2810" s="37">
        <v>63.88</v>
      </c>
      <c r="H2810" s="32">
        <f t="shared" si="49"/>
        <v>2682.96</v>
      </c>
    </row>
    <row r="2811" spans="2:8">
      <c r="B2811" s="28">
        <v>10222</v>
      </c>
      <c r="C2811" s="34" t="s">
        <v>100</v>
      </c>
      <c r="D2811" s="34" t="s">
        <v>104</v>
      </c>
      <c r="E2811" s="34" t="s">
        <v>93</v>
      </c>
      <c r="F2811" s="35">
        <v>36</v>
      </c>
      <c r="G2811" s="37">
        <v>63.34</v>
      </c>
      <c r="H2811" s="32">
        <f t="shared" si="49"/>
        <v>2280.2400000000002</v>
      </c>
    </row>
    <row r="2812" spans="2:8">
      <c r="B2812" s="28">
        <v>10232</v>
      </c>
      <c r="C2812" s="34" t="s">
        <v>252</v>
      </c>
      <c r="D2812" s="34" t="s">
        <v>104</v>
      </c>
      <c r="E2812" s="34" t="s">
        <v>93</v>
      </c>
      <c r="F2812" s="35">
        <v>24</v>
      </c>
      <c r="G2812" s="37">
        <v>49.69</v>
      </c>
      <c r="H2812" s="32">
        <f t="shared" si="49"/>
        <v>1192.56</v>
      </c>
    </row>
    <row r="2813" spans="2:8">
      <c r="B2813" s="28">
        <v>10248</v>
      </c>
      <c r="C2813" s="34" t="s">
        <v>100</v>
      </c>
      <c r="D2813" s="34" t="s">
        <v>104</v>
      </c>
      <c r="E2813" s="34" t="s">
        <v>444</v>
      </c>
      <c r="F2813" s="35">
        <v>23</v>
      </c>
      <c r="G2813" s="37">
        <v>65.52</v>
      </c>
      <c r="H2813" s="32">
        <f t="shared" si="49"/>
        <v>1506.9599999999998</v>
      </c>
    </row>
    <row r="2814" spans="2:8">
      <c r="B2814" s="28">
        <v>10261</v>
      </c>
      <c r="C2814" s="34" t="s">
        <v>322</v>
      </c>
      <c r="D2814" s="34" t="s">
        <v>104</v>
      </c>
      <c r="E2814" s="34" t="s">
        <v>93</v>
      </c>
      <c r="F2814" s="35">
        <v>29</v>
      </c>
      <c r="G2814" s="37">
        <v>50.78</v>
      </c>
      <c r="H2814" s="32">
        <f t="shared" si="49"/>
        <v>1472.6200000000001</v>
      </c>
    </row>
    <row r="2815" spans="2:8">
      <c r="B2815" s="28">
        <v>10273</v>
      </c>
      <c r="C2815" s="34" t="s">
        <v>480</v>
      </c>
      <c r="D2815" s="34" t="s">
        <v>104</v>
      </c>
      <c r="E2815" s="34" t="s">
        <v>93</v>
      </c>
      <c r="F2815" s="35">
        <v>37</v>
      </c>
      <c r="G2815" s="37">
        <v>45.86</v>
      </c>
      <c r="H2815" s="32">
        <f t="shared" si="49"/>
        <v>1696.82</v>
      </c>
    </row>
    <row r="2816" spans="2:8">
      <c r="B2816" s="28">
        <v>10283</v>
      </c>
      <c r="C2816" s="34" t="s">
        <v>322</v>
      </c>
      <c r="D2816" s="34" t="s">
        <v>104</v>
      </c>
      <c r="E2816" s="34" t="s">
        <v>93</v>
      </c>
      <c r="F2816" s="35">
        <v>33</v>
      </c>
      <c r="G2816" s="37">
        <v>51.32</v>
      </c>
      <c r="H2816" s="32">
        <f t="shared" si="49"/>
        <v>1693.56</v>
      </c>
    </row>
    <row r="2817" spans="2:19">
      <c r="B2817" s="28">
        <v>10293</v>
      </c>
      <c r="C2817" s="34" t="s">
        <v>352</v>
      </c>
      <c r="D2817" s="34" t="s">
        <v>104</v>
      </c>
      <c r="E2817" s="34" t="s">
        <v>93</v>
      </c>
      <c r="F2817" s="35">
        <v>32</v>
      </c>
      <c r="G2817" s="37">
        <v>60.06</v>
      </c>
      <c r="H2817" s="32">
        <f t="shared" si="49"/>
        <v>1921.92</v>
      </c>
    </row>
    <row r="2818" spans="2:19">
      <c r="B2818" s="28">
        <v>10306</v>
      </c>
      <c r="C2818" s="34" t="s">
        <v>252</v>
      </c>
      <c r="D2818" s="34" t="s">
        <v>104</v>
      </c>
      <c r="E2818" s="34" t="s">
        <v>93</v>
      </c>
      <c r="F2818" s="35">
        <v>35</v>
      </c>
      <c r="G2818" s="37">
        <v>59.51</v>
      </c>
      <c r="H2818" s="32">
        <f t="shared" si="49"/>
        <v>2082.85</v>
      </c>
    </row>
    <row r="2819" spans="2:19">
      <c r="B2819" s="28">
        <v>10315</v>
      </c>
      <c r="C2819" s="34" t="s">
        <v>109</v>
      </c>
      <c r="D2819" s="34" t="s">
        <v>104</v>
      </c>
      <c r="E2819" s="34" t="s">
        <v>93</v>
      </c>
      <c r="F2819" s="35">
        <v>40</v>
      </c>
      <c r="G2819" s="37">
        <v>55.69</v>
      </c>
      <c r="H2819" s="32">
        <f t="shared" si="49"/>
        <v>2227.6</v>
      </c>
    </row>
    <row r="2820" spans="2:19">
      <c r="B2820" s="28">
        <v>10327</v>
      </c>
      <c r="C2820" s="34" t="s">
        <v>429</v>
      </c>
      <c r="D2820" s="34" t="s">
        <v>119</v>
      </c>
      <c r="E2820" s="34" t="s">
        <v>526</v>
      </c>
      <c r="F2820" s="35">
        <v>37</v>
      </c>
      <c r="G2820" s="37">
        <v>86.74</v>
      </c>
      <c r="H2820" s="32">
        <f t="shared" si="49"/>
        <v>3209.3799999999997</v>
      </c>
    </row>
    <row r="2821" spans="2:19">
      <c r="B2821" s="28">
        <v>10337</v>
      </c>
      <c r="C2821" s="34" t="s">
        <v>100</v>
      </c>
      <c r="D2821" s="34" t="s">
        <v>119</v>
      </c>
      <c r="E2821" s="34" t="s">
        <v>93</v>
      </c>
      <c r="F2821" s="35">
        <v>42</v>
      </c>
      <c r="G2821" s="37">
        <v>97.16</v>
      </c>
      <c r="H2821" s="32">
        <f t="shared" ref="H2821:H2826" si="50">F2821*G2821</f>
        <v>4080.72</v>
      </c>
    </row>
    <row r="2822" spans="2:19">
      <c r="B2822" s="28">
        <v>10350</v>
      </c>
      <c r="C2822" s="34" t="s">
        <v>261</v>
      </c>
      <c r="D2822" s="34" t="s">
        <v>104</v>
      </c>
      <c r="E2822" s="34" t="s">
        <v>93</v>
      </c>
      <c r="F2822" s="35">
        <v>20</v>
      </c>
      <c r="G2822" s="37">
        <v>100</v>
      </c>
      <c r="H2822" s="32">
        <f t="shared" si="50"/>
        <v>2000</v>
      </c>
    </row>
    <row r="2823" spans="2:19">
      <c r="B2823" s="28">
        <v>10373</v>
      </c>
      <c r="C2823" s="34" t="s">
        <v>208</v>
      </c>
      <c r="D2823" s="34" t="s">
        <v>119</v>
      </c>
      <c r="E2823" s="34" t="s">
        <v>93</v>
      </c>
      <c r="F2823" s="35">
        <v>29</v>
      </c>
      <c r="G2823" s="37">
        <v>100</v>
      </c>
      <c r="H2823" s="32">
        <f t="shared" si="50"/>
        <v>2900</v>
      </c>
    </row>
    <row r="2824" spans="2:19">
      <c r="B2824" s="28">
        <v>10386</v>
      </c>
      <c r="C2824" s="34" t="s">
        <v>261</v>
      </c>
      <c r="D2824" s="34" t="s">
        <v>119</v>
      </c>
      <c r="E2824" s="34" t="s">
        <v>526</v>
      </c>
      <c r="F2824" s="35">
        <v>43</v>
      </c>
      <c r="G2824" s="37">
        <v>100</v>
      </c>
      <c r="H2824" s="32">
        <f t="shared" si="50"/>
        <v>4300</v>
      </c>
    </row>
    <row r="2825" spans="2:19">
      <c r="B2825" s="28">
        <v>10397</v>
      </c>
      <c r="C2825" s="34" t="s">
        <v>109</v>
      </c>
      <c r="D2825" s="34" t="s">
        <v>104</v>
      </c>
      <c r="E2825" s="34" t="s">
        <v>93</v>
      </c>
      <c r="F2825" s="35">
        <v>34</v>
      </c>
      <c r="G2825" s="37">
        <v>62.24</v>
      </c>
      <c r="H2825" s="32">
        <f t="shared" si="50"/>
        <v>2116.16</v>
      </c>
    </row>
    <row r="2826" spans="2:19">
      <c r="B2826" s="28">
        <v>10414</v>
      </c>
      <c r="C2826" s="34" t="s">
        <v>100</v>
      </c>
      <c r="D2826" s="34" t="s">
        <v>119</v>
      </c>
      <c r="E2826" s="34" t="s">
        <v>518</v>
      </c>
      <c r="F2826" s="35">
        <v>47</v>
      </c>
      <c r="G2826" s="37">
        <v>65.52</v>
      </c>
      <c r="H2826" s="32">
        <f t="shared" si="50"/>
        <v>3079.4399999999996</v>
      </c>
    </row>
    <row r="2829" spans="2:19">
      <c r="S2829" s="39"/>
    </row>
    <row r="2833" spans="19:19">
      <c r="S2833" s="39"/>
    </row>
  </sheetData>
  <sortState xmlns:xlrd2="http://schemas.microsoft.com/office/spreadsheetml/2017/richdata2" ref="S11:S2833">
    <sortCondition ref="S11"/>
  </sortState>
  <dataValidations count="3">
    <dataValidation type="list" allowBlank="1" showInputMessage="1" showErrorMessage="1" sqref="C4:C2826" xr:uid="{A0826744-E13C-4106-9197-35E8B791F027}">
      <formula1>$K$4:$K$22</formula1>
    </dataValidation>
    <dataValidation type="list" allowBlank="1" showInputMessage="1" showErrorMessage="1" sqref="D4:D2826" xr:uid="{14ED8048-9F3C-4363-A455-81BCA356E058}">
      <formula1>$O$4:$O$6</formula1>
    </dataValidation>
    <dataValidation type="list" allowBlank="1" showInputMessage="1" showErrorMessage="1" sqref="E4:E2826" xr:uid="{BA284A09-090D-4340-BE02-F262E4DF9BD6}">
      <formula1>$S$4:$S$9</formula1>
    </dataValidation>
  </dataValidations>
  <pageMargins left="0.7" right="0.7" top="0.75" bottom="0.75" header="0.3" footer="0.3"/>
  <ignoredErrors>
    <ignoredError sqref="G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2:Y2830"/>
  <sheetViews>
    <sheetView workbookViewId="0">
      <selection activeCell="B8" sqref="B8"/>
    </sheetView>
  </sheetViews>
  <sheetFormatPr defaultRowHeight="14.4"/>
  <cols>
    <col min="1" max="1" width="14.88671875" bestFit="1" customWidth="1"/>
    <col min="2" max="2" width="18.5546875" bestFit="1" customWidth="1"/>
    <col min="3" max="3" width="10.6640625" bestFit="1" customWidth="1"/>
    <col min="4" max="4" width="18.88671875" bestFit="1" customWidth="1"/>
    <col min="5" max="5" width="8" bestFit="1" customWidth="1"/>
    <col min="6" max="6" width="14.88671875" bestFit="1" customWidth="1"/>
    <col min="7" max="7" width="9.88671875" bestFit="1" customWidth="1"/>
    <col min="8" max="8" width="7.44140625" bestFit="1" customWidth="1"/>
    <col min="9" max="9" width="10.6640625" bestFit="1" customWidth="1"/>
    <col min="10" max="10" width="8.33203125" bestFit="1" customWidth="1"/>
    <col min="11" max="11" width="16" bestFit="1" customWidth="1"/>
    <col min="12" max="12" width="6" bestFit="1" customWidth="1"/>
    <col min="13" max="13" width="14.44140625" bestFit="1" customWidth="1"/>
    <col min="14" max="14" width="31.6640625" bestFit="1" customWidth="1"/>
    <col min="15" max="15" width="15.88671875" bestFit="1" customWidth="1"/>
    <col min="16" max="16" width="40.88671875" bestFit="1" customWidth="1"/>
    <col min="17" max="17" width="14" bestFit="1" customWidth="1"/>
    <col min="18" max="18" width="14.44140625" bestFit="1" customWidth="1"/>
    <col min="19" max="19" width="12.109375" bestFit="1" customWidth="1"/>
    <col min="20" max="20" width="12.5546875" bestFit="1" customWidth="1"/>
    <col min="21" max="21" width="11.44140625" bestFit="1" customWidth="1"/>
    <col min="22" max="22" width="10.44140625" bestFit="1" customWidth="1"/>
    <col min="23" max="23" width="19.33203125" bestFit="1" customWidth="1"/>
    <col min="24" max="24" width="19.88671875" bestFit="1" customWidth="1"/>
    <col min="25" max="25" width="9" bestFit="1" customWidth="1"/>
  </cols>
  <sheetData>
    <row r="2" spans="1:25">
      <c r="A2" t="s">
        <v>66</v>
      </c>
    </row>
    <row r="7" spans="1:2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  <c r="Y7" t="s">
        <v>91</v>
      </c>
    </row>
    <row r="8" spans="1:25">
      <c r="A8">
        <v>10107</v>
      </c>
      <c r="B8">
        <v>30</v>
      </c>
      <c r="C8">
        <v>95.7</v>
      </c>
      <c r="D8">
        <v>2</v>
      </c>
      <c r="E8">
        <v>2871</v>
      </c>
      <c r="F8" t="s">
        <v>92</v>
      </c>
      <c r="G8" t="s">
        <v>93</v>
      </c>
      <c r="H8">
        <v>1</v>
      </c>
      <c r="I8">
        <v>2</v>
      </c>
      <c r="J8">
        <v>2003</v>
      </c>
      <c r="K8" t="s">
        <v>94</v>
      </c>
      <c r="L8">
        <v>95</v>
      </c>
      <c r="M8" t="s">
        <v>95</v>
      </c>
      <c r="N8" t="s">
        <v>96</v>
      </c>
      <c r="O8">
        <v>2125557818</v>
      </c>
      <c r="P8" t="s">
        <v>97</v>
      </c>
      <c r="R8" t="s">
        <v>98</v>
      </c>
      <c r="S8" t="s">
        <v>99</v>
      </c>
      <c r="T8">
        <v>10022</v>
      </c>
      <c r="U8" t="s">
        <v>100</v>
      </c>
      <c r="V8" t="s">
        <v>101</v>
      </c>
      <c r="W8" t="s">
        <v>102</v>
      </c>
      <c r="X8" t="s">
        <v>103</v>
      </c>
      <c r="Y8" t="s">
        <v>104</v>
      </c>
    </row>
    <row r="9" spans="1:25">
      <c r="A9">
        <v>10121</v>
      </c>
      <c r="B9">
        <v>34</v>
      </c>
      <c r="C9">
        <v>81.349999999999994</v>
      </c>
      <c r="D9">
        <v>5</v>
      </c>
      <c r="E9">
        <v>2765.9</v>
      </c>
      <c r="F9" s="4">
        <v>37807</v>
      </c>
      <c r="G9" t="s">
        <v>93</v>
      </c>
      <c r="H9">
        <v>2</v>
      </c>
      <c r="I9">
        <v>5</v>
      </c>
      <c r="J9">
        <v>2003</v>
      </c>
      <c r="K9" t="s">
        <v>94</v>
      </c>
      <c r="L9">
        <v>95</v>
      </c>
      <c r="M9" t="s">
        <v>95</v>
      </c>
      <c r="N9" t="s">
        <v>105</v>
      </c>
      <c r="O9" t="s">
        <v>106</v>
      </c>
      <c r="P9" t="s">
        <v>107</v>
      </c>
      <c r="R9" t="s">
        <v>108</v>
      </c>
      <c r="T9">
        <v>51100</v>
      </c>
      <c r="U9" t="s">
        <v>109</v>
      </c>
      <c r="V9" t="s">
        <v>110</v>
      </c>
      <c r="W9" t="s">
        <v>111</v>
      </c>
      <c r="X9" t="s">
        <v>112</v>
      </c>
      <c r="Y9" t="s">
        <v>104</v>
      </c>
    </row>
    <row r="10" spans="1:25">
      <c r="A10">
        <v>10134</v>
      </c>
      <c r="B10">
        <v>41</v>
      </c>
      <c r="C10">
        <v>94.74</v>
      </c>
      <c r="D10">
        <v>2</v>
      </c>
      <c r="E10">
        <v>3884.34</v>
      </c>
      <c r="F10" s="4">
        <v>37628</v>
      </c>
      <c r="G10" t="s">
        <v>93</v>
      </c>
      <c r="H10">
        <v>3</v>
      </c>
      <c r="I10">
        <v>7</v>
      </c>
      <c r="J10">
        <v>2003</v>
      </c>
      <c r="K10" t="s">
        <v>94</v>
      </c>
      <c r="L10">
        <v>95</v>
      </c>
      <c r="M10" t="s">
        <v>95</v>
      </c>
      <c r="N10" t="s">
        <v>113</v>
      </c>
      <c r="O10" t="s">
        <v>114</v>
      </c>
      <c r="P10" t="s">
        <v>115</v>
      </c>
      <c r="R10" t="s">
        <v>116</v>
      </c>
      <c r="T10">
        <v>75508</v>
      </c>
      <c r="U10" t="s">
        <v>109</v>
      </c>
      <c r="V10" t="s">
        <v>110</v>
      </c>
      <c r="W10" t="s">
        <v>117</v>
      </c>
      <c r="X10" t="s">
        <v>118</v>
      </c>
      <c r="Y10" t="s">
        <v>119</v>
      </c>
    </row>
    <row r="11" spans="1:25">
      <c r="A11">
        <v>10145</v>
      </c>
      <c r="B11">
        <v>45</v>
      </c>
      <c r="C11">
        <v>83.26</v>
      </c>
      <c r="D11">
        <v>6</v>
      </c>
      <c r="E11">
        <v>3746.7</v>
      </c>
      <c r="F11" t="s">
        <v>120</v>
      </c>
      <c r="G11" t="s">
        <v>93</v>
      </c>
      <c r="H11">
        <v>3</v>
      </c>
      <c r="I11">
        <v>8</v>
      </c>
      <c r="J11">
        <v>2003</v>
      </c>
      <c r="K11" t="s">
        <v>94</v>
      </c>
      <c r="L11">
        <v>95</v>
      </c>
      <c r="M11" t="s">
        <v>95</v>
      </c>
      <c r="N11" t="s">
        <v>121</v>
      </c>
      <c r="O11">
        <v>6265557265</v>
      </c>
      <c r="P11" t="s">
        <v>122</v>
      </c>
      <c r="R11" t="s">
        <v>123</v>
      </c>
      <c r="S11" t="s">
        <v>124</v>
      </c>
      <c r="T11">
        <v>90003</v>
      </c>
      <c r="U11" t="s">
        <v>100</v>
      </c>
      <c r="V11" t="s">
        <v>101</v>
      </c>
      <c r="W11" t="s">
        <v>125</v>
      </c>
      <c r="X11" t="s">
        <v>126</v>
      </c>
      <c r="Y11" t="s">
        <v>119</v>
      </c>
    </row>
    <row r="12" spans="1:25">
      <c r="A12">
        <v>10159</v>
      </c>
      <c r="B12">
        <v>49</v>
      </c>
      <c r="C12">
        <v>100</v>
      </c>
      <c r="D12">
        <v>14</v>
      </c>
      <c r="E12">
        <v>5205.2700000000004</v>
      </c>
      <c r="F12" s="4">
        <v>37904</v>
      </c>
      <c r="G12" t="s">
        <v>93</v>
      </c>
      <c r="H12">
        <v>4</v>
      </c>
      <c r="I12">
        <v>10</v>
      </c>
      <c r="J12">
        <v>2003</v>
      </c>
      <c r="K12" t="s">
        <v>94</v>
      </c>
      <c r="L12">
        <v>95</v>
      </c>
      <c r="M12" t="s">
        <v>95</v>
      </c>
      <c r="N12" t="s">
        <v>127</v>
      </c>
      <c r="O12">
        <v>6505551386</v>
      </c>
      <c r="P12" t="s">
        <v>128</v>
      </c>
      <c r="R12" t="s">
        <v>129</v>
      </c>
      <c r="S12" t="s">
        <v>124</v>
      </c>
      <c r="U12" t="s">
        <v>100</v>
      </c>
      <c r="V12" t="s">
        <v>101</v>
      </c>
      <c r="W12" t="s">
        <v>130</v>
      </c>
      <c r="X12" t="s">
        <v>126</v>
      </c>
      <c r="Y12" t="s">
        <v>119</v>
      </c>
    </row>
    <row r="13" spans="1:25">
      <c r="A13">
        <v>10168</v>
      </c>
      <c r="B13">
        <v>36</v>
      </c>
      <c r="C13">
        <v>96.66</v>
      </c>
      <c r="D13">
        <v>1</v>
      </c>
      <c r="E13">
        <v>3479.76</v>
      </c>
      <c r="F13" t="s">
        <v>131</v>
      </c>
      <c r="G13" t="s">
        <v>93</v>
      </c>
      <c r="H13">
        <v>4</v>
      </c>
      <c r="I13">
        <v>10</v>
      </c>
      <c r="J13">
        <v>2003</v>
      </c>
      <c r="K13" t="s">
        <v>94</v>
      </c>
      <c r="L13">
        <v>95</v>
      </c>
      <c r="M13" t="s">
        <v>95</v>
      </c>
      <c r="N13" t="s">
        <v>132</v>
      </c>
      <c r="O13">
        <v>6505556809</v>
      </c>
      <c r="P13" t="s">
        <v>133</v>
      </c>
      <c r="R13" t="s">
        <v>134</v>
      </c>
      <c r="S13" t="s">
        <v>124</v>
      </c>
      <c r="T13">
        <v>94217</v>
      </c>
      <c r="U13" t="s">
        <v>100</v>
      </c>
      <c r="V13" t="s">
        <v>101</v>
      </c>
      <c r="W13" t="s">
        <v>135</v>
      </c>
      <c r="X13" t="s">
        <v>136</v>
      </c>
      <c r="Y13" t="s">
        <v>119</v>
      </c>
    </row>
    <row r="14" spans="1:25">
      <c r="A14">
        <v>10180</v>
      </c>
      <c r="B14">
        <v>29</v>
      </c>
      <c r="C14">
        <v>86.13</v>
      </c>
      <c r="D14">
        <v>9</v>
      </c>
      <c r="E14">
        <v>2497.77</v>
      </c>
      <c r="F14" s="4">
        <v>37936</v>
      </c>
      <c r="G14" t="s">
        <v>93</v>
      </c>
      <c r="H14">
        <v>4</v>
      </c>
      <c r="I14">
        <v>11</v>
      </c>
      <c r="J14">
        <v>2003</v>
      </c>
      <c r="K14" t="s">
        <v>94</v>
      </c>
      <c r="L14">
        <v>95</v>
      </c>
      <c r="M14" t="s">
        <v>95</v>
      </c>
      <c r="N14" t="s">
        <v>137</v>
      </c>
      <c r="O14" t="s">
        <v>138</v>
      </c>
      <c r="P14" t="s">
        <v>139</v>
      </c>
      <c r="R14" t="s">
        <v>140</v>
      </c>
      <c r="T14">
        <v>59000</v>
      </c>
      <c r="U14" t="s">
        <v>109</v>
      </c>
      <c r="V14" t="s">
        <v>110</v>
      </c>
      <c r="W14" t="s">
        <v>141</v>
      </c>
      <c r="X14" t="s">
        <v>142</v>
      </c>
      <c r="Y14" t="s">
        <v>104</v>
      </c>
    </row>
    <row r="15" spans="1:25">
      <c r="A15">
        <v>10188</v>
      </c>
      <c r="B15">
        <v>48</v>
      </c>
      <c r="C15">
        <v>100</v>
      </c>
      <c r="D15">
        <v>1</v>
      </c>
      <c r="E15">
        <v>5512.32</v>
      </c>
      <c r="F15" t="s">
        <v>143</v>
      </c>
      <c r="G15" t="s">
        <v>93</v>
      </c>
      <c r="H15">
        <v>4</v>
      </c>
      <c r="I15">
        <v>11</v>
      </c>
      <c r="J15">
        <v>2003</v>
      </c>
      <c r="K15" t="s">
        <v>94</v>
      </c>
      <c r="L15">
        <v>95</v>
      </c>
      <c r="M15" t="s">
        <v>95</v>
      </c>
      <c r="N15" t="s">
        <v>144</v>
      </c>
      <c r="O15" t="s">
        <v>145</v>
      </c>
      <c r="P15" t="s">
        <v>146</v>
      </c>
      <c r="R15" t="s">
        <v>147</v>
      </c>
      <c r="T15" t="s">
        <v>148</v>
      </c>
      <c r="U15" t="s">
        <v>149</v>
      </c>
      <c r="V15" t="s">
        <v>110</v>
      </c>
      <c r="W15" t="s">
        <v>150</v>
      </c>
      <c r="X15" t="s">
        <v>151</v>
      </c>
      <c r="Y15" t="s">
        <v>119</v>
      </c>
    </row>
    <row r="16" spans="1:25">
      <c r="A16">
        <v>10201</v>
      </c>
      <c r="B16">
        <v>22</v>
      </c>
      <c r="C16">
        <v>98.57</v>
      </c>
      <c r="D16">
        <v>2</v>
      </c>
      <c r="E16">
        <v>2168.54</v>
      </c>
      <c r="F16" s="4">
        <v>37633</v>
      </c>
      <c r="G16" t="s">
        <v>93</v>
      </c>
      <c r="H16">
        <v>4</v>
      </c>
      <c r="I16">
        <v>12</v>
      </c>
      <c r="J16">
        <v>2003</v>
      </c>
      <c r="K16" t="s">
        <v>94</v>
      </c>
      <c r="L16">
        <v>95</v>
      </c>
      <c r="M16" t="s">
        <v>95</v>
      </c>
      <c r="N16" t="s">
        <v>152</v>
      </c>
      <c r="O16">
        <v>6505555787</v>
      </c>
      <c r="P16" t="s">
        <v>153</v>
      </c>
      <c r="R16" t="s">
        <v>129</v>
      </c>
      <c r="S16" t="s">
        <v>124</v>
      </c>
      <c r="U16" t="s">
        <v>100</v>
      </c>
      <c r="V16" t="s">
        <v>101</v>
      </c>
      <c r="W16" t="s">
        <v>154</v>
      </c>
      <c r="X16" t="s">
        <v>126</v>
      </c>
      <c r="Y16" t="s">
        <v>104</v>
      </c>
    </row>
    <row r="17" spans="1:25">
      <c r="A17">
        <v>10211</v>
      </c>
      <c r="B17">
        <v>41</v>
      </c>
      <c r="C17">
        <v>100</v>
      </c>
      <c r="D17">
        <v>14</v>
      </c>
      <c r="E17">
        <v>4708.4399999999996</v>
      </c>
      <c r="F17" t="s">
        <v>155</v>
      </c>
      <c r="G17" t="s">
        <v>93</v>
      </c>
      <c r="H17">
        <v>1</v>
      </c>
      <c r="I17">
        <v>1</v>
      </c>
      <c r="J17">
        <v>2004</v>
      </c>
      <c r="K17" t="s">
        <v>94</v>
      </c>
      <c r="L17">
        <v>95</v>
      </c>
      <c r="M17" t="s">
        <v>95</v>
      </c>
      <c r="N17" t="s">
        <v>156</v>
      </c>
      <c r="O17" t="s">
        <v>157</v>
      </c>
      <c r="P17" t="s">
        <v>158</v>
      </c>
      <c r="R17" t="s">
        <v>116</v>
      </c>
      <c r="T17">
        <v>75016</v>
      </c>
      <c r="U17" t="s">
        <v>109</v>
      </c>
      <c r="V17" t="s">
        <v>110</v>
      </c>
      <c r="W17" t="s">
        <v>159</v>
      </c>
      <c r="X17" t="s">
        <v>160</v>
      </c>
      <c r="Y17" t="s">
        <v>119</v>
      </c>
    </row>
    <row r="18" spans="1:25">
      <c r="A18">
        <v>10223</v>
      </c>
      <c r="B18">
        <v>37</v>
      </c>
      <c r="C18">
        <v>100</v>
      </c>
      <c r="D18">
        <v>1</v>
      </c>
      <c r="E18">
        <v>3965.66</v>
      </c>
      <c r="F18" t="s">
        <v>161</v>
      </c>
      <c r="G18" t="s">
        <v>93</v>
      </c>
      <c r="H18">
        <v>1</v>
      </c>
      <c r="I18">
        <v>2</v>
      </c>
      <c r="J18">
        <v>2004</v>
      </c>
      <c r="K18" t="s">
        <v>94</v>
      </c>
      <c r="L18">
        <v>95</v>
      </c>
      <c r="M18" t="s">
        <v>95</v>
      </c>
      <c r="N18" t="s">
        <v>162</v>
      </c>
      <c r="O18" t="s">
        <v>163</v>
      </c>
      <c r="P18" t="s">
        <v>164</v>
      </c>
      <c r="Q18" t="s">
        <v>165</v>
      </c>
      <c r="R18" t="s">
        <v>166</v>
      </c>
      <c r="S18" t="s">
        <v>167</v>
      </c>
      <c r="T18">
        <v>3004</v>
      </c>
      <c r="U18" t="s">
        <v>168</v>
      </c>
      <c r="V18" t="s">
        <v>169</v>
      </c>
      <c r="W18" t="s">
        <v>170</v>
      </c>
      <c r="X18" t="s">
        <v>171</v>
      </c>
      <c r="Y18" t="s">
        <v>119</v>
      </c>
    </row>
    <row r="19" spans="1:25">
      <c r="A19">
        <v>10237</v>
      </c>
      <c r="B19">
        <v>23</v>
      </c>
      <c r="C19">
        <v>100</v>
      </c>
      <c r="D19">
        <v>7</v>
      </c>
      <c r="E19">
        <v>2333.12</v>
      </c>
      <c r="F19" s="4">
        <v>38111</v>
      </c>
      <c r="G19" t="s">
        <v>93</v>
      </c>
      <c r="H19">
        <v>2</v>
      </c>
      <c r="I19">
        <v>4</v>
      </c>
      <c r="J19">
        <v>2004</v>
      </c>
      <c r="K19" t="s">
        <v>94</v>
      </c>
      <c r="L19">
        <v>95</v>
      </c>
      <c r="M19" t="s">
        <v>95</v>
      </c>
      <c r="N19" t="s">
        <v>172</v>
      </c>
      <c r="O19">
        <v>2125551500</v>
      </c>
      <c r="P19" t="s">
        <v>173</v>
      </c>
      <c r="Q19" t="s">
        <v>174</v>
      </c>
      <c r="R19" t="s">
        <v>98</v>
      </c>
      <c r="S19" t="s">
        <v>99</v>
      </c>
      <c r="T19">
        <v>10022</v>
      </c>
      <c r="U19" t="s">
        <v>100</v>
      </c>
      <c r="V19" t="s">
        <v>101</v>
      </c>
      <c r="W19" t="s">
        <v>175</v>
      </c>
      <c r="X19" t="s">
        <v>176</v>
      </c>
      <c r="Y19" t="s">
        <v>104</v>
      </c>
    </row>
    <row r="20" spans="1:25">
      <c r="A20">
        <v>10251</v>
      </c>
      <c r="B20">
        <v>28</v>
      </c>
      <c r="C20">
        <v>100</v>
      </c>
      <c r="D20">
        <v>2</v>
      </c>
      <c r="E20">
        <v>3188.64</v>
      </c>
      <c r="F20" t="s">
        <v>177</v>
      </c>
      <c r="G20" t="s">
        <v>93</v>
      </c>
      <c r="H20">
        <v>2</v>
      </c>
      <c r="I20">
        <v>5</v>
      </c>
      <c r="J20">
        <v>2004</v>
      </c>
      <c r="K20" t="s">
        <v>94</v>
      </c>
      <c r="L20">
        <v>95</v>
      </c>
      <c r="M20" t="s">
        <v>95</v>
      </c>
      <c r="N20" t="s">
        <v>178</v>
      </c>
      <c r="O20">
        <v>2015559350</v>
      </c>
      <c r="P20" t="s">
        <v>179</v>
      </c>
      <c r="R20" t="s">
        <v>180</v>
      </c>
      <c r="S20" t="s">
        <v>181</v>
      </c>
      <c r="T20">
        <v>94019</v>
      </c>
      <c r="U20" t="s">
        <v>100</v>
      </c>
      <c r="V20" t="s">
        <v>101</v>
      </c>
      <c r="W20" t="s">
        <v>130</v>
      </c>
      <c r="X20" t="s">
        <v>182</v>
      </c>
      <c r="Y20" t="s">
        <v>119</v>
      </c>
    </row>
    <row r="21" spans="1:25">
      <c r="A21">
        <v>10263</v>
      </c>
      <c r="B21">
        <v>34</v>
      </c>
      <c r="C21">
        <v>100</v>
      </c>
      <c r="D21">
        <v>2</v>
      </c>
      <c r="E21">
        <v>3676.76</v>
      </c>
      <c r="F21" t="s">
        <v>183</v>
      </c>
      <c r="G21" t="s">
        <v>93</v>
      </c>
      <c r="H21">
        <v>2</v>
      </c>
      <c r="I21">
        <v>6</v>
      </c>
      <c r="J21">
        <v>2004</v>
      </c>
      <c r="K21" t="s">
        <v>94</v>
      </c>
      <c r="L21">
        <v>95</v>
      </c>
      <c r="M21" t="s">
        <v>95</v>
      </c>
      <c r="N21" t="s">
        <v>184</v>
      </c>
      <c r="O21">
        <v>2035552570</v>
      </c>
      <c r="P21" t="s">
        <v>185</v>
      </c>
      <c r="R21" t="s">
        <v>186</v>
      </c>
      <c r="S21" t="s">
        <v>187</v>
      </c>
      <c r="T21">
        <v>97562</v>
      </c>
      <c r="U21" t="s">
        <v>100</v>
      </c>
      <c r="V21" t="s">
        <v>101</v>
      </c>
      <c r="W21" t="s">
        <v>188</v>
      </c>
      <c r="X21" t="s">
        <v>126</v>
      </c>
      <c r="Y21" t="s">
        <v>119</v>
      </c>
    </row>
    <row r="22" spans="1:25">
      <c r="A22">
        <v>10275</v>
      </c>
      <c r="B22">
        <v>45</v>
      </c>
      <c r="C22">
        <v>92.83</v>
      </c>
      <c r="D22">
        <v>1</v>
      </c>
      <c r="E22">
        <v>4177.3500000000004</v>
      </c>
      <c r="F22" t="s">
        <v>189</v>
      </c>
      <c r="G22" t="s">
        <v>93</v>
      </c>
      <c r="H22">
        <v>3</v>
      </c>
      <c r="I22">
        <v>7</v>
      </c>
      <c r="J22">
        <v>2004</v>
      </c>
      <c r="K22" t="s">
        <v>94</v>
      </c>
      <c r="L22">
        <v>95</v>
      </c>
      <c r="M22" t="s">
        <v>95</v>
      </c>
      <c r="N22" t="s">
        <v>190</v>
      </c>
      <c r="O22" t="s">
        <v>191</v>
      </c>
      <c r="P22" t="s">
        <v>192</v>
      </c>
      <c r="R22" t="s">
        <v>193</v>
      </c>
      <c r="T22">
        <v>44000</v>
      </c>
      <c r="U22" t="s">
        <v>109</v>
      </c>
      <c r="V22" t="s">
        <v>110</v>
      </c>
      <c r="W22" t="s">
        <v>194</v>
      </c>
      <c r="X22" t="s">
        <v>195</v>
      </c>
      <c r="Y22" t="s">
        <v>119</v>
      </c>
    </row>
    <row r="23" spans="1:25">
      <c r="A23">
        <v>10285</v>
      </c>
      <c r="B23">
        <v>36</v>
      </c>
      <c r="C23">
        <v>100</v>
      </c>
      <c r="D23">
        <v>6</v>
      </c>
      <c r="E23">
        <v>4099.68</v>
      </c>
      <c r="F23" t="s">
        <v>196</v>
      </c>
      <c r="G23" t="s">
        <v>93</v>
      </c>
      <c r="H23">
        <v>3</v>
      </c>
      <c r="I23">
        <v>8</v>
      </c>
      <c r="J23">
        <v>2004</v>
      </c>
      <c r="K23" t="s">
        <v>94</v>
      </c>
      <c r="L23">
        <v>95</v>
      </c>
      <c r="M23" t="s">
        <v>95</v>
      </c>
      <c r="N23" t="s">
        <v>197</v>
      </c>
      <c r="O23">
        <v>6175558555</v>
      </c>
      <c r="P23" t="s">
        <v>198</v>
      </c>
      <c r="R23" t="s">
        <v>199</v>
      </c>
      <c r="S23" t="s">
        <v>200</v>
      </c>
      <c r="T23">
        <v>51247</v>
      </c>
      <c r="U23" t="s">
        <v>100</v>
      </c>
      <c r="V23" t="s">
        <v>101</v>
      </c>
      <c r="W23" t="s">
        <v>201</v>
      </c>
      <c r="X23" t="s">
        <v>202</v>
      </c>
      <c r="Y23" t="s">
        <v>119</v>
      </c>
    </row>
    <row r="24" spans="1:25">
      <c r="A24">
        <v>10299</v>
      </c>
      <c r="B24">
        <v>23</v>
      </c>
      <c r="C24">
        <v>100</v>
      </c>
      <c r="D24">
        <v>9</v>
      </c>
      <c r="E24">
        <v>2597.39</v>
      </c>
      <c r="F24" t="s">
        <v>203</v>
      </c>
      <c r="G24" t="s">
        <v>93</v>
      </c>
      <c r="H24">
        <v>3</v>
      </c>
      <c r="I24">
        <v>9</v>
      </c>
      <c r="J24">
        <v>2004</v>
      </c>
      <c r="K24" t="s">
        <v>94</v>
      </c>
      <c r="L24">
        <v>95</v>
      </c>
      <c r="M24" t="s">
        <v>95</v>
      </c>
      <c r="N24" t="s">
        <v>204</v>
      </c>
      <c r="O24" t="s">
        <v>205</v>
      </c>
      <c r="P24" t="s">
        <v>206</v>
      </c>
      <c r="R24" t="s">
        <v>207</v>
      </c>
      <c r="T24">
        <v>21240</v>
      </c>
      <c r="U24" t="s">
        <v>208</v>
      </c>
      <c r="V24" t="s">
        <v>110</v>
      </c>
      <c r="W24" t="s">
        <v>209</v>
      </c>
      <c r="X24" t="s">
        <v>210</v>
      </c>
      <c r="Y24" t="s">
        <v>104</v>
      </c>
    </row>
    <row r="25" spans="1:25">
      <c r="A25">
        <v>10309</v>
      </c>
      <c r="B25">
        <v>41</v>
      </c>
      <c r="C25">
        <v>100</v>
      </c>
      <c r="D25">
        <v>5</v>
      </c>
      <c r="E25">
        <v>4394.38</v>
      </c>
      <c r="F25" t="s">
        <v>211</v>
      </c>
      <c r="G25" t="s">
        <v>93</v>
      </c>
      <c r="H25">
        <v>4</v>
      </c>
      <c r="I25">
        <v>10</v>
      </c>
      <c r="J25">
        <v>2004</v>
      </c>
      <c r="K25" t="s">
        <v>94</v>
      </c>
      <c r="L25">
        <v>95</v>
      </c>
      <c r="M25" t="s">
        <v>95</v>
      </c>
      <c r="N25" t="s">
        <v>212</v>
      </c>
      <c r="O25" t="s">
        <v>213</v>
      </c>
      <c r="P25" t="s">
        <v>214</v>
      </c>
      <c r="R25" t="s">
        <v>215</v>
      </c>
      <c r="T25">
        <v>4110</v>
      </c>
      <c r="U25" t="s">
        <v>149</v>
      </c>
      <c r="V25" t="s">
        <v>110</v>
      </c>
      <c r="W25" t="s">
        <v>216</v>
      </c>
      <c r="X25" t="s">
        <v>217</v>
      </c>
      <c r="Y25" t="s">
        <v>119</v>
      </c>
    </row>
    <row r="26" spans="1:25">
      <c r="A26">
        <v>10318</v>
      </c>
      <c r="B26">
        <v>46</v>
      </c>
      <c r="C26">
        <v>94.74</v>
      </c>
      <c r="D26">
        <v>1</v>
      </c>
      <c r="E26">
        <v>4358.04</v>
      </c>
      <c r="F26" s="4">
        <v>38028</v>
      </c>
      <c r="G26" t="s">
        <v>93</v>
      </c>
      <c r="H26">
        <v>4</v>
      </c>
      <c r="I26">
        <v>11</v>
      </c>
      <c r="J26">
        <v>2004</v>
      </c>
      <c r="K26" t="s">
        <v>94</v>
      </c>
      <c r="L26">
        <v>95</v>
      </c>
      <c r="M26" t="s">
        <v>95</v>
      </c>
      <c r="N26" t="s">
        <v>218</v>
      </c>
      <c r="O26">
        <v>2155551555</v>
      </c>
      <c r="P26" t="s">
        <v>219</v>
      </c>
      <c r="R26" t="s">
        <v>220</v>
      </c>
      <c r="S26" t="s">
        <v>221</v>
      </c>
      <c r="T26">
        <v>70267</v>
      </c>
      <c r="U26" t="s">
        <v>100</v>
      </c>
      <c r="V26" t="s">
        <v>101</v>
      </c>
      <c r="W26" t="s">
        <v>102</v>
      </c>
      <c r="X26" t="s">
        <v>222</v>
      </c>
      <c r="Y26" t="s">
        <v>119</v>
      </c>
    </row>
    <row r="27" spans="1:25">
      <c r="A27">
        <v>10329</v>
      </c>
      <c r="B27">
        <v>42</v>
      </c>
      <c r="C27">
        <v>100</v>
      </c>
      <c r="D27">
        <v>1</v>
      </c>
      <c r="E27">
        <v>4396.1400000000003</v>
      </c>
      <c r="F27" t="s">
        <v>223</v>
      </c>
      <c r="G27" t="s">
        <v>93</v>
      </c>
      <c r="H27">
        <v>4</v>
      </c>
      <c r="I27">
        <v>11</v>
      </c>
      <c r="J27">
        <v>2004</v>
      </c>
      <c r="K27" t="s">
        <v>94</v>
      </c>
      <c r="L27">
        <v>95</v>
      </c>
      <c r="M27" t="s">
        <v>95</v>
      </c>
      <c r="N27" t="s">
        <v>96</v>
      </c>
      <c r="O27">
        <v>2125557818</v>
      </c>
      <c r="P27" t="s">
        <v>97</v>
      </c>
      <c r="R27" t="s">
        <v>98</v>
      </c>
      <c r="S27" t="s">
        <v>99</v>
      </c>
      <c r="T27">
        <v>10022</v>
      </c>
      <c r="U27" t="s">
        <v>100</v>
      </c>
      <c r="V27" t="s">
        <v>101</v>
      </c>
      <c r="W27" t="s">
        <v>102</v>
      </c>
      <c r="X27" t="s">
        <v>103</v>
      </c>
      <c r="Y27" t="s">
        <v>119</v>
      </c>
    </row>
    <row r="28" spans="1:25">
      <c r="A28">
        <v>10341</v>
      </c>
      <c r="B28">
        <v>41</v>
      </c>
      <c r="C28">
        <v>100</v>
      </c>
      <c r="D28">
        <v>9</v>
      </c>
      <c r="E28">
        <v>7737.93</v>
      </c>
      <c r="F28" t="s">
        <v>224</v>
      </c>
      <c r="G28" t="s">
        <v>93</v>
      </c>
      <c r="H28">
        <v>4</v>
      </c>
      <c r="I28">
        <v>11</v>
      </c>
      <c r="J28">
        <v>2004</v>
      </c>
      <c r="K28" t="s">
        <v>94</v>
      </c>
      <c r="L28">
        <v>95</v>
      </c>
      <c r="M28" t="s">
        <v>95</v>
      </c>
      <c r="N28" t="s">
        <v>225</v>
      </c>
      <c r="O28" t="s">
        <v>226</v>
      </c>
      <c r="P28" t="s">
        <v>227</v>
      </c>
      <c r="R28" t="s">
        <v>228</v>
      </c>
      <c r="T28">
        <v>5020</v>
      </c>
      <c r="U28" t="s">
        <v>229</v>
      </c>
      <c r="V28" t="s">
        <v>110</v>
      </c>
      <c r="W28" t="s">
        <v>230</v>
      </c>
      <c r="X28" t="s">
        <v>231</v>
      </c>
      <c r="Y28" t="s">
        <v>232</v>
      </c>
    </row>
    <row r="29" spans="1:25">
      <c r="A29">
        <v>10361</v>
      </c>
      <c r="B29">
        <v>20</v>
      </c>
      <c r="C29">
        <v>72.55</v>
      </c>
      <c r="D29">
        <v>13</v>
      </c>
      <c r="E29">
        <v>1451</v>
      </c>
      <c r="F29" t="s">
        <v>233</v>
      </c>
      <c r="G29" t="s">
        <v>93</v>
      </c>
      <c r="H29">
        <v>4</v>
      </c>
      <c r="I29">
        <v>12</v>
      </c>
      <c r="J29">
        <v>2004</v>
      </c>
      <c r="K29" t="s">
        <v>94</v>
      </c>
      <c r="L29">
        <v>95</v>
      </c>
      <c r="M29" t="s">
        <v>95</v>
      </c>
      <c r="N29" t="s">
        <v>234</v>
      </c>
      <c r="O29" t="s">
        <v>235</v>
      </c>
      <c r="P29" t="s">
        <v>236</v>
      </c>
      <c r="Q29" t="s">
        <v>237</v>
      </c>
      <c r="R29" t="s">
        <v>238</v>
      </c>
      <c r="S29" t="s">
        <v>239</v>
      </c>
      <c r="T29">
        <v>2067</v>
      </c>
      <c r="U29" t="s">
        <v>168</v>
      </c>
      <c r="V29" t="s">
        <v>169</v>
      </c>
      <c r="W29" t="s">
        <v>240</v>
      </c>
      <c r="X29" t="s">
        <v>241</v>
      </c>
      <c r="Y29" t="s">
        <v>104</v>
      </c>
    </row>
    <row r="30" spans="1:25">
      <c r="A30">
        <v>10375</v>
      </c>
      <c r="B30">
        <v>21</v>
      </c>
      <c r="C30">
        <v>34.909999999999997</v>
      </c>
      <c r="D30">
        <v>12</v>
      </c>
      <c r="E30">
        <v>733.11</v>
      </c>
      <c r="F30" s="4">
        <v>38413</v>
      </c>
      <c r="G30" t="s">
        <v>93</v>
      </c>
      <c r="H30">
        <v>1</v>
      </c>
      <c r="I30">
        <v>2</v>
      </c>
      <c r="J30">
        <v>2005</v>
      </c>
      <c r="K30" t="s">
        <v>94</v>
      </c>
      <c r="L30">
        <v>95</v>
      </c>
      <c r="M30" t="s">
        <v>95</v>
      </c>
      <c r="N30" t="s">
        <v>190</v>
      </c>
      <c r="O30" t="s">
        <v>191</v>
      </c>
      <c r="P30" t="s">
        <v>192</v>
      </c>
      <c r="R30" t="s">
        <v>193</v>
      </c>
      <c r="T30">
        <v>44000</v>
      </c>
      <c r="U30" t="s">
        <v>109</v>
      </c>
      <c r="V30" t="s">
        <v>110</v>
      </c>
      <c r="W30" t="s">
        <v>194</v>
      </c>
      <c r="X30" t="s">
        <v>195</v>
      </c>
      <c r="Y30" t="s">
        <v>104</v>
      </c>
    </row>
    <row r="31" spans="1:25">
      <c r="A31">
        <v>10388</v>
      </c>
      <c r="B31">
        <v>42</v>
      </c>
      <c r="C31">
        <v>76.36</v>
      </c>
      <c r="D31">
        <v>4</v>
      </c>
      <c r="E31">
        <v>3207.12</v>
      </c>
      <c r="F31" s="4">
        <v>38414</v>
      </c>
      <c r="G31" t="s">
        <v>93</v>
      </c>
      <c r="H31">
        <v>1</v>
      </c>
      <c r="I31">
        <v>3</v>
      </c>
      <c r="J31">
        <v>2005</v>
      </c>
      <c r="K31" t="s">
        <v>94</v>
      </c>
      <c r="L31">
        <v>95</v>
      </c>
      <c r="M31" t="s">
        <v>95</v>
      </c>
      <c r="N31" t="s">
        <v>242</v>
      </c>
      <c r="O31">
        <v>5085552555</v>
      </c>
      <c r="P31" t="s">
        <v>243</v>
      </c>
      <c r="R31" t="s">
        <v>244</v>
      </c>
      <c r="S31" t="s">
        <v>200</v>
      </c>
      <c r="T31">
        <v>50553</v>
      </c>
      <c r="U31" t="s">
        <v>100</v>
      </c>
      <c r="V31" t="s">
        <v>101</v>
      </c>
      <c r="W31" t="s">
        <v>245</v>
      </c>
      <c r="X31" t="s">
        <v>246</v>
      </c>
      <c r="Y31" t="s">
        <v>119</v>
      </c>
    </row>
    <row r="32" spans="1:25">
      <c r="A32">
        <v>10403</v>
      </c>
      <c r="B32">
        <v>24</v>
      </c>
      <c r="C32">
        <v>100</v>
      </c>
      <c r="D32">
        <v>7</v>
      </c>
      <c r="E32">
        <v>2434.56</v>
      </c>
      <c r="F32" s="4">
        <v>38568</v>
      </c>
      <c r="G32" t="s">
        <v>93</v>
      </c>
      <c r="H32">
        <v>2</v>
      </c>
      <c r="I32">
        <v>4</v>
      </c>
      <c r="J32">
        <v>2005</v>
      </c>
      <c r="K32" t="s">
        <v>94</v>
      </c>
      <c r="L32">
        <v>95</v>
      </c>
      <c r="M32" t="s">
        <v>95</v>
      </c>
      <c r="N32" t="s">
        <v>247</v>
      </c>
      <c r="O32" t="s">
        <v>248</v>
      </c>
      <c r="P32" t="s">
        <v>249</v>
      </c>
      <c r="R32" t="s">
        <v>250</v>
      </c>
      <c r="T32" t="s">
        <v>251</v>
      </c>
      <c r="U32" t="s">
        <v>252</v>
      </c>
      <c r="V32" t="s">
        <v>110</v>
      </c>
      <c r="W32" t="s">
        <v>253</v>
      </c>
      <c r="X32" t="s">
        <v>254</v>
      </c>
      <c r="Y32" t="s">
        <v>104</v>
      </c>
    </row>
    <row r="33" spans="1:25">
      <c r="A33">
        <v>10417</v>
      </c>
      <c r="B33">
        <v>66</v>
      </c>
      <c r="C33">
        <v>100</v>
      </c>
      <c r="D33">
        <v>2</v>
      </c>
      <c r="E33">
        <v>7516.08</v>
      </c>
      <c r="F33" t="s">
        <v>255</v>
      </c>
      <c r="G33" t="s">
        <v>256</v>
      </c>
      <c r="H33">
        <v>2</v>
      </c>
      <c r="I33">
        <v>5</v>
      </c>
      <c r="J33">
        <v>2005</v>
      </c>
      <c r="K33" t="s">
        <v>94</v>
      </c>
      <c r="L33">
        <v>95</v>
      </c>
      <c r="M33" t="s">
        <v>95</v>
      </c>
      <c r="N33" t="s">
        <v>257</v>
      </c>
      <c r="O33" t="s">
        <v>258</v>
      </c>
      <c r="P33" t="s">
        <v>259</v>
      </c>
      <c r="R33" t="s">
        <v>260</v>
      </c>
      <c r="T33">
        <v>28034</v>
      </c>
      <c r="U33" t="s">
        <v>261</v>
      </c>
      <c r="V33" t="s">
        <v>110</v>
      </c>
      <c r="W33" t="s">
        <v>262</v>
      </c>
      <c r="X33" t="s">
        <v>263</v>
      </c>
      <c r="Y33" t="s">
        <v>232</v>
      </c>
    </row>
    <row r="34" spans="1:25">
      <c r="A34">
        <v>10103</v>
      </c>
      <c r="B34">
        <v>26</v>
      </c>
      <c r="C34">
        <v>100</v>
      </c>
      <c r="D34">
        <v>11</v>
      </c>
      <c r="E34">
        <v>5404.62</v>
      </c>
      <c r="F34" t="s">
        <v>264</v>
      </c>
      <c r="G34" t="s">
        <v>93</v>
      </c>
      <c r="H34">
        <v>1</v>
      </c>
      <c r="I34">
        <v>1</v>
      </c>
      <c r="J34">
        <v>2003</v>
      </c>
      <c r="K34" t="s">
        <v>265</v>
      </c>
      <c r="L34">
        <v>214</v>
      </c>
      <c r="M34" t="s">
        <v>266</v>
      </c>
      <c r="N34" t="s">
        <v>212</v>
      </c>
      <c r="O34" t="s">
        <v>213</v>
      </c>
      <c r="P34" t="s">
        <v>214</v>
      </c>
      <c r="R34" t="s">
        <v>215</v>
      </c>
      <c r="T34">
        <v>4110</v>
      </c>
      <c r="U34" t="s">
        <v>149</v>
      </c>
      <c r="V34" t="s">
        <v>110</v>
      </c>
      <c r="W34" t="s">
        <v>216</v>
      </c>
      <c r="X34" t="s">
        <v>217</v>
      </c>
      <c r="Y34" t="s">
        <v>119</v>
      </c>
    </row>
    <row r="35" spans="1:25">
      <c r="A35">
        <v>10112</v>
      </c>
      <c r="B35">
        <v>29</v>
      </c>
      <c r="C35">
        <v>100</v>
      </c>
      <c r="D35">
        <v>1</v>
      </c>
      <c r="E35">
        <v>7209.11</v>
      </c>
      <c r="F35" t="s">
        <v>267</v>
      </c>
      <c r="G35" t="s">
        <v>93</v>
      </c>
      <c r="H35">
        <v>1</v>
      </c>
      <c r="I35">
        <v>3</v>
      </c>
      <c r="J35">
        <v>2003</v>
      </c>
      <c r="K35" t="s">
        <v>265</v>
      </c>
      <c r="L35">
        <v>214</v>
      </c>
      <c r="M35" t="s">
        <v>266</v>
      </c>
      <c r="N35" t="s">
        <v>268</v>
      </c>
      <c r="O35" t="s">
        <v>269</v>
      </c>
      <c r="P35" t="s">
        <v>270</v>
      </c>
      <c r="R35" t="s">
        <v>271</v>
      </c>
      <c r="T35" t="s">
        <v>272</v>
      </c>
      <c r="U35" t="s">
        <v>273</v>
      </c>
      <c r="V35" t="s">
        <v>110</v>
      </c>
      <c r="W35" t="s">
        <v>274</v>
      </c>
      <c r="X35" t="s">
        <v>275</v>
      </c>
      <c r="Y35" t="s">
        <v>232</v>
      </c>
    </row>
    <row r="36" spans="1:25">
      <c r="A36">
        <v>10126</v>
      </c>
      <c r="B36">
        <v>38</v>
      </c>
      <c r="C36">
        <v>100</v>
      </c>
      <c r="D36">
        <v>11</v>
      </c>
      <c r="E36">
        <v>7329.06</v>
      </c>
      <c r="F36" t="s">
        <v>276</v>
      </c>
      <c r="G36" t="s">
        <v>93</v>
      </c>
      <c r="H36">
        <v>2</v>
      </c>
      <c r="I36">
        <v>5</v>
      </c>
      <c r="J36">
        <v>2003</v>
      </c>
      <c r="K36" t="s">
        <v>265</v>
      </c>
      <c r="L36">
        <v>214</v>
      </c>
      <c r="M36" t="s">
        <v>266</v>
      </c>
      <c r="N36" t="s">
        <v>277</v>
      </c>
      <c r="O36" t="s">
        <v>278</v>
      </c>
      <c r="P36" t="s">
        <v>279</v>
      </c>
      <c r="R36" t="s">
        <v>260</v>
      </c>
      <c r="T36">
        <v>28023</v>
      </c>
      <c r="U36" t="s">
        <v>261</v>
      </c>
      <c r="V36" t="s">
        <v>110</v>
      </c>
      <c r="W36" t="s">
        <v>280</v>
      </c>
      <c r="X36" t="s">
        <v>281</v>
      </c>
      <c r="Y36" t="s">
        <v>232</v>
      </c>
    </row>
    <row r="37" spans="1:25">
      <c r="A37">
        <v>10140</v>
      </c>
      <c r="B37">
        <v>37</v>
      </c>
      <c r="C37">
        <v>100</v>
      </c>
      <c r="D37">
        <v>11</v>
      </c>
      <c r="E37">
        <v>7374.1</v>
      </c>
      <c r="F37" t="s">
        <v>282</v>
      </c>
      <c r="G37" t="s">
        <v>93</v>
      </c>
      <c r="H37">
        <v>3</v>
      </c>
      <c r="I37">
        <v>7</v>
      </c>
      <c r="J37">
        <v>2003</v>
      </c>
      <c r="K37" t="s">
        <v>265</v>
      </c>
      <c r="L37">
        <v>214</v>
      </c>
      <c r="M37" t="s">
        <v>266</v>
      </c>
      <c r="N37" t="s">
        <v>132</v>
      </c>
      <c r="O37">
        <v>6505556809</v>
      </c>
      <c r="P37" t="s">
        <v>133</v>
      </c>
      <c r="R37" t="s">
        <v>134</v>
      </c>
      <c r="S37" t="s">
        <v>124</v>
      </c>
      <c r="T37">
        <v>94217</v>
      </c>
      <c r="U37" t="s">
        <v>100</v>
      </c>
      <c r="V37" t="s">
        <v>101</v>
      </c>
      <c r="W37" t="s">
        <v>135</v>
      </c>
      <c r="X37" t="s">
        <v>136</v>
      </c>
      <c r="Y37" t="s">
        <v>232</v>
      </c>
    </row>
    <row r="38" spans="1:25">
      <c r="A38">
        <v>10150</v>
      </c>
      <c r="B38">
        <v>45</v>
      </c>
      <c r="C38">
        <v>100</v>
      </c>
      <c r="D38">
        <v>8</v>
      </c>
      <c r="E38">
        <v>10993.5</v>
      </c>
      <c r="F38" t="s">
        <v>283</v>
      </c>
      <c r="G38" t="s">
        <v>93</v>
      </c>
      <c r="H38">
        <v>3</v>
      </c>
      <c r="I38">
        <v>9</v>
      </c>
      <c r="J38">
        <v>2003</v>
      </c>
      <c r="K38" t="s">
        <v>265</v>
      </c>
      <c r="L38">
        <v>214</v>
      </c>
      <c r="M38" t="s">
        <v>266</v>
      </c>
      <c r="N38" t="s">
        <v>284</v>
      </c>
      <c r="O38" t="s">
        <v>285</v>
      </c>
      <c r="P38" t="s">
        <v>286</v>
      </c>
      <c r="R38" t="s">
        <v>287</v>
      </c>
      <c r="T38">
        <v>79903</v>
      </c>
      <c r="U38" t="s">
        <v>287</v>
      </c>
      <c r="V38" t="s">
        <v>288</v>
      </c>
      <c r="W38" t="s">
        <v>289</v>
      </c>
      <c r="X38" t="s">
        <v>290</v>
      </c>
      <c r="Y38" t="s">
        <v>232</v>
      </c>
    </row>
    <row r="39" spans="1:25">
      <c r="A39">
        <v>10163</v>
      </c>
      <c r="B39">
        <v>21</v>
      </c>
      <c r="C39">
        <v>100</v>
      </c>
      <c r="D39">
        <v>1</v>
      </c>
      <c r="E39">
        <v>4860.24</v>
      </c>
      <c r="F39" t="s">
        <v>291</v>
      </c>
      <c r="G39" t="s">
        <v>93</v>
      </c>
      <c r="H39">
        <v>4</v>
      </c>
      <c r="I39">
        <v>10</v>
      </c>
      <c r="J39">
        <v>2003</v>
      </c>
      <c r="K39" t="s">
        <v>265</v>
      </c>
      <c r="L39">
        <v>214</v>
      </c>
      <c r="M39" t="s">
        <v>266</v>
      </c>
      <c r="N39" t="s">
        <v>292</v>
      </c>
      <c r="O39">
        <v>2125558493</v>
      </c>
      <c r="P39" t="s">
        <v>293</v>
      </c>
      <c r="Q39" t="s">
        <v>294</v>
      </c>
      <c r="R39" t="s">
        <v>98</v>
      </c>
      <c r="S39" t="s">
        <v>99</v>
      </c>
      <c r="T39">
        <v>10022</v>
      </c>
      <c r="U39" t="s">
        <v>100</v>
      </c>
      <c r="V39" t="s">
        <v>101</v>
      </c>
      <c r="W39" t="s">
        <v>201</v>
      </c>
      <c r="X39" t="s">
        <v>295</v>
      </c>
      <c r="Y39" t="s">
        <v>119</v>
      </c>
    </row>
    <row r="40" spans="1:25">
      <c r="A40">
        <v>10174</v>
      </c>
      <c r="B40">
        <v>34</v>
      </c>
      <c r="C40">
        <v>100</v>
      </c>
      <c r="D40">
        <v>4</v>
      </c>
      <c r="E40">
        <v>8014.82</v>
      </c>
      <c r="F40" s="4">
        <v>37783</v>
      </c>
      <c r="G40" t="s">
        <v>93</v>
      </c>
      <c r="H40">
        <v>4</v>
      </c>
      <c r="I40">
        <v>11</v>
      </c>
      <c r="J40">
        <v>2003</v>
      </c>
      <c r="K40" t="s">
        <v>265</v>
      </c>
      <c r="L40">
        <v>214</v>
      </c>
      <c r="M40" t="s">
        <v>266</v>
      </c>
      <c r="N40" t="s">
        <v>296</v>
      </c>
      <c r="O40" t="s">
        <v>297</v>
      </c>
      <c r="P40" t="s">
        <v>298</v>
      </c>
      <c r="R40" t="s">
        <v>299</v>
      </c>
      <c r="S40" t="s">
        <v>300</v>
      </c>
      <c r="T40">
        <v>4101</v>
      </c>
      <c r="U40" t="s">
        <v>168</v>
      </c>
      <c r="V40" t="s">
        <v>169</v>
      </c>
      <c r="W40" t="s">
        <v>301</v>
      </c>
      <c r="X40" t="s">
        <v>302</v>
      </c>
      <c r="Y40" t="s">
        <v>232</v>
      </c>
    </row>
    <row r="41" spans="1:25">
      <c r="A41">
        <v>10183</v>
      </c>
      <c r="B41">
        <v>23</v>
      </c>
      <c r="C41">
        <v>100</v>
      </c>
      <c r="D41">
        <v>8</v>
      </c>
      <c r="E41">
        <v>5372.57</v>
      </c>
      <c r="F41" t="s">
        <v>303</v>
      </c>
      <c r="G41" t="s">
        <v>93</v>
      </c>
      <c r="H41">
        <v>4</v>
      </c>
      <c r="I41">
        <v>11</v>
      </c>
      <c r="J41">
        <v>2003</v>
      </c>
      <c r="K41" t="s">
        <v>265</v>
      </c>
      <c r="L41">
        <v>214</v>
      </c>
      <c r="M41" t="s">
        <v>266</v>
      </c>
      <c r="N41" t="s">
        <v>304</v>
      </c>
      <c r="O41">
        <v>2155554695</v>
      </c>
      <c r="P41" t="s">
        <v>305</v>
      </c>
      <c r="R41" t="s">
        <v>306</v>
      </c>
      <c r="S41" t="s">
        <v>221</v>
      </c>
      <c r="T41">
        <v>71270</v>
      </c>
      <c r="U41" t="s">
        <v>100</v>
      </c>
      <c r="V41" t="s">
        <v>101</v>
      </c>
      <c r="W41" t="s">
        <v>307</v>
      </c>
      <c r="X41" t="s">
        <v>308</v>
      </c>
      <c r="Y41" t="s">
        <v>119</v>
      </c>
    </row>
    <row r="42" spans="1:25">
      <c r="A42">
        <v>10194</v>
      </c>
      <c r="B42">
        <v>42</v>
      </c>
      <c r="C42">
        <v>100</v>
      </c>
      <c r="D42">
        <v>11</v>
      </c>
      <c r="E42">
        <v>7290.36</v>
      </c>
      <c r="F42" t="s">
        <v>309</v>
      </c>
      <c r="G42" t="s">
        <v>93</v>
      </c>
      <c r="H42">
        <v>4</v>
      </c>
      <c r="I42">
        <v>11</v>
      </c>
      <c r="J42">
        <v>2003</v>
      </c>
      <c r="K42" t="s">
        <v>265</v>
      </c>
      <c r="L42">
        <v>214</v>
      </c>
      <c r="M42" t="s">
        <v>266</v>
      </c>
      <c r="N42" t="s">
        <v>310</v>
      </c>
      <c r="O42" t="s">
        <v>311</v>
      </c>
      <c r="P42" t="s">
        <v>312</v>
      </c>
      <c r="R42" t="s">
        <v>313</v>
      </c>
      <c r="T42">
        <v>69004</v>
      </c>
      <c r="U42" t="s">
        <v>109</v>
      </c>
      <c r="V42" t="s">
        <v>110</v>
      </c>
      <c r="W42" t="s">
        <v>314</v>
      </c>
      <c r="X42" t="s">
        <v>315</v>
      </c>
      <c r="Y42" t="s">
        <v>232</v>
      </c>
    </row>
    <row r="43" spans="1:25">
      <c r="A43">
        <v>10206</v>
      </c>
      <c r="B43">
        <v>47</v>
      </c>
      <c r="C43">
        <v>100</v>
      </c>
      <c r="D43">
        <v>6</v>
      </c>
      <c r="E43">
        <v>9064.89</v>
      </c>
      <c r="F43" s="4">
        <v>37753</v>
      </c>
      <c r="G43" t="s">
        <v>93</v>
      </c>
      <c r="H43">
        <v>4</v>
      </c>
      <c r="I43">
        <v>12</v>
      </c>
      <c r="J43">
        <v>2003</v>
      </c>
      <c r="K43" t="s">
        <v>265</v>
      </c>
      <c r="L43">
        <v>214</v>
      </c>
      <c r="M43" t="s">
        <v>266</v>
      </c>
      <c r="N43" t="s">
        <v>316</v>
      </c>
      <c r="O43" t="s">
        <v>317</v>
      </c>
      <c r="P43" t="s">
        <v>318</v>
      </c>
      <c r="R43" t="s">
        <v>319</v>
      </c>
      <c r="S43" t="s">
        <v>320</v>
      </c>
      <c r="T43" t="s">
        <v>321</v>
      </c>
      <c r="U43" t="s">
        <v>322</v>
      </c>
      <c r="V43" t="s">
        <v>101</v>
      </c>
      <c r="W43" t="s">
        <v>323</v>
      </c>
      <c r="X43" t="s">
        <v>324</v>
      </c>
      <c r="Y43" t="s">
        <v>232</v>
      </c>
    </row>
    <row r="44" spans="1:25">
      <c r="A44">
        <v>10215</v>
      </c>
      <c r="B44">
        <v>35</v>
      </c>
      <c r="C44">
        <v>100</v>
      </c>
      <c r="D44">
        <v>3</v>
      </c>
      <c r="E44">
        <v>6075.3</v>
      </c>
      <c r="F44" t="s">
        <v>325</v>
      </c>
      <c r="G44" t="s">
        <v>93</v>
      </c>
      <c r="H44">
        <v>1</v>
      </c>
      <c r="I44">
        <v>1</v>
      </c>
      <c r="J44">
        <v>2004</v>
      </c>
      <c r="K44" t="s">
        <v>265</v>
      </c>
      <c r="L44">
        <v>214</v>
      </c>
      <c r="M44" t="s">
        <v>266</v>
      </c>
      <c r="N44" t="s">
        <v>326</v>
      </c>
      <c r="O44">
        <v>3105553722</v>
      </c>
      <c r="P44" t="s">
        <v>327</v>
      </c>
      <c r="R44" t="s">
        <v>328</v>
      </c>
      <c r="S44" t="s">
        <v>124</v>
      </c>
      <c r="T44">
        <v>94019</v>
      </c>
      <c r="U44" t="s">
        <v>100</v>
      </c>
      <c r="V44" t="s">
        <v>101</v>
      </c>
      <c r="W44" t="s">
        <v>6</v>
      </c>
      <c r="X44" t="s">
        <v>329</v>
      </c>
      <c r="Y44" t="s">
        <v>119</v>
      </c>
    </row>
    <row r="45" spans="1:25">
      <c r="A45">
        <v>10228</v>
      </c>
      <c r="B45">
        <v>29</v>
      </c>
      <c r="C45">
        <v>100</v>
      </c>
      <c r="D45">
        <v>2</v>
      </c>
      <c r="E45">
        <v>6463.23</v>
      </c>
      <c r="F45" s="4">
        <v>38263</v>
      </c>
      <c r="G45" t="s">
        <v>93</v>
      </c>
      <c r="H45">
        <v>1</v>
      </c>
      <c r="I45">
        <v>3</v>
      </c>
      <c r="J45">
        <v>2004</v>
      </c>
      <c r="K45" t="s">
        <v>265</v>
      </c>
      <c r="L45">
        <v>214</v>
      </c>
      <c r="M45" t="s">
        <v>266</v>
      </c>
      <c r="N45" t="s">
        <v>330</v>
      </c>
      <c r="O45">
        <v>6175555555</v>
      </c>
      <c r="P45" t="s">
        <v>331</v>
      </c>
      <c r="R45" t="s">
        <v>199</v>
      </c>
      <c r="S45" t="s">
        <v>200</v>
      </c>
      <c r="T45">
        <v>51247</v>
      </c>
      <c r="U45" t="s">
        <v>100</v>
      </c>
      <c r="V45" t="s">
        <v>101</v>
      </c>
      <c r="W45" t="s">
        <v>332</v>
      </c>
      <c r="X45" t="s">
        <v>222</v>
      </c>
      <c r="Y45" t="s">
        <v>119</v>
      </c>
    </row>
    <row r="46" spans="1:25">
      <c r="A46">
        <v>10245</v>
      </c>
      <c r="B46">
        <v>34</v>
      </c>
      <c r="C46">
        <v>100</v>
      </c>
      <c r="D46">
        <v>9</v>
      </c>
      <c r="E46">
        <v>6120.34</v>
      </c>
      <c r="F46" s="4">
        <v>38082</v>
      </c>
      <c r="G46" t="s">
        <v>93</v>
      </c>
      <c r="H46">
        <v>2</v>
      </c>
      <c r="I46">
        <v>5</v>
      </c>
      <c r="J46">
        <v>2004</v>
      </c>
      <c r="K46" t="s">
        <v>265</v>
      </c>
      <c r="L46">
        <v>214</v>
      </c>
      <c r="M46" t="s">
        <v>266</v>
      </c>
      <c r="N46" t="s">
        <v>333</v>
      </c>
      <c r="O46">
        <v>2035559545</v>
      </c>
      <c r="P46" t="s">
        <v>334</v>
      </c>
      <c r="R46" t="s">
        <v>335</v>
      </c>
      <c r="S46" t="s">
        <v>187</v>
      </c>
      <c r="T46">
        <v>97823</v>
      </c>
      <c r="U46" t="s">
        <v>100</v>
      </c>
      <c r="V46" t="s">
        <v>101</v>
      </c>
      <c r="W46" t="s">
        <v>154</v>
      </c>
      <c r="X46" t="s">
        <v>336</v>
      </c>
      <c r="Y46" t="s">
        <v>119</v>
      </c>
    </row>
    <row r="47" spans="1:25">
      <c r="A47">
        <v>10258</v>
      </c>
      <c r="B47">
        <v>32</v>
      </c>
      <c r="C47">
        <v>100</v>
      </c>
      <c r="D47">
        <v>6</v>
      </c>
      <c r="E47">
        <v>7680.64</v>
      </c>
      <c r="F47" t="s">
        <v>337</v>
      </c>
      <c r="G47" t="s">
        <v>93</v>
      </c>
      <c r="H47">
        <v>2</v>
      </c>
      <c r="I47">
        <v>6</v>
      </c>
      <c r="J47">
        <v>2004</v>
      </c>
      <c r="K47" t="s">
        <v>265</v>
      </c>
      <c r="L47">
        <v>214</v>
      </c>
      <c r="M47" t="s">
        <v>266</v>
      </c>
      <c r="N47" t="s">
        <v>338</v>
      </c>
      <c r="O47" t="s">
        <v>339</v>
      </c>
      <c r="P47" t="s">
        <v>340</v>
      </c>
      <c r="R47" t="s">
        <v>341</v>
      </c>
      <c r="S47" t="s">
        <v>342</v>
      </c>
      <c r="T47" t="s">
        <v>343</v>
      </c>
      <c r="U47" t="s">
        <v>288</v>
      </c>
      <c r="V47" t="s">
        <v>288</v>
      </c>
      <c r="W47" t="s">
        <v>344</v>
      </c>
      <c r="X47" t="s">
        <v>345</v>
      </c>
      <c r="Y47" t="s">
        <v>232</v>
      </c>
    </row>
    <row r="48" spans="1:25">
      <c r="A48">
        <v>10270</v>
      </c>
      <c r="B48">
        <v>21</v>
      </c>
      <c r="C48">
        <v>100</v>
      </c>
      <c r="D48">
        <v>9</v>
      </c>
      <c r="E48">
        <v>4905.3900000000003</v>
      </c>
      <c r="F48" t="s">
        <v>346</v>
      </c>
      <c r="G48" t="s">
        <v>93</v>
      </c>
      <c r="H48">
        <v>3</v>
      </c>
      <c r="I48">
        <v>7</v>
      </c>
      <c r="J48">
        <v>2004</v>
      </c>
      <c r="K48" t="s">
        <v>265</v>
      </c>
      <c r="L48">
        <v>214</v>
      </c>
      <c r="M48" t="s">
        <v>266</v>
      </c>
      <c r="N48" t="s">
        <v>234</v>
      </c>
      <c r="O48" t="s">
        <v>235</v>
      </c>
      <c r="P48" t="s">
        <v>236</v>
      </c>
      <c r="Q48" t="s">
        <v>237</v>
      </c>
      <c r="R48" t="s">
        <v>238</v>
      </c>
      <c r="S48" t="s">
        <v>239</v>
      </c>
      <c r="T48">
        <v>2067</v>
      </c>
      <c r="U48" t="s">
        <v>168</v>
      </c>
      <c r="V48" t="s">
        <v>169</v>
      </c>
      <c r="W48" t="s">
        <v>240</v>
      </c>
      <c r="X48" t="s">
        <v>241</v>
      </c>
      <c r="Y48" t="s">
        <v>119</v>
      </c>
    </row>
    <row r="49" spans="1:25">
      <c r="A49">
        <v>10280</v>
      </c>
      <c r="B49">
        <v>34</v>
      </c>
      <c r="C49">
        <v>100</v>
      </c>
      <c r="D49">
        <v>2</v>
      </c>
      <c r="E49">
        <v>8014.82</v>
      </c>
      <c r="F49" t="s">
        <v>347</v>
      </c>
      <c r="G49" t="s">
        <v>93</v>
      </c>
      <c r="H49">
        <v>3</v>
      </c>
      <c r="I49">
        <v>8</v>
      </c>
      <c r="J49">
        <v>2004</v>
      </c>
      <c r="K49" t="s">
        <v>265</v>
      </c>
      <c r="L49">
        <v>214</v>
      </c>
      <c r="M49" t="s">
        <v>266</v>
      </c>
      <c r="N49" t="s">
        <v>348</v>
      </c>
      <c r="O49" t="s">
        <v>349</v>
      </c>
      <c r="P49" t="s">
        <v>350</v>
      </c>
      <c r="R49" t="s">
        <v>351</v>
      </c>
      <c r="T49">
        <v>10100</v>
      </c>
      <c r="U49" t="s">
        <v>352</v>
      </c>
      <c r="V49" t="s">
        <v>110</v>
      </c>
      <c r="W49" t="s">
        <v>353</v>
      </c>
      <c r="X49" t="s">
        <v>354</v>
      </c>
      <c r="Y49" t="s">
        <v>232</v>
      </c>
    </row>
    <row r="50" spans="1:25">
      <c r="A50">
        <v>10291</v>
      </c>
      <c r="B50">
        <v>37</v>
      </c>
      <c r="C50">
        <v>100</v>
      </c>
      <c r="D50">
        <v>11</v>
      </c>
      <c r="E50">
        <v>7136.19</v>
      </c>
      <c r="F50" s="4">
        <v>38208</v>
      </c>
      <c r="G50" t="s">
        <v>93</v>
      </c>
      <c r="H50">
        <v>3</v>
      </c>
      <c r="I50">
        <v>9</v>
      </c>
      <c r="J50">
        <v>2004</v>
      </c>
      <c r="K50" t="s">
        <v>265</v>
      </c>
      <c r="L50">
        <v>214</v>
      </c>
      <c r="M50" t="s">
        <v>266</v>
      </c>
      <c r="N50" t="s">
        <v>355</v>
      </c>
      <c r="O50" t="s">
        <v>356</v>
      </c>
      <c r="P50" t="s">
        <v>357</v>
      </c>
      <c r="R50" t="s">
        <v>358</v>
      </c>
      <c r="T50" t="s">
        <v>359</v>
      </c>
      <c r="U50" t="s">
        <v>273</v>
      </c>
      <c r="V50" t="s">
        <v>110</v>
      </c>
      <c r="W50" t="s">
        <v>360</v>
      </c>
      <c r="X50" t="s">
        <v>295</v>
      </c>
      <c r="Y50" t="s">
        <v>232</v>
      </c>
    </row>
    <row r="51" spans="1:25">
      <c r="A51">
        <v>10304</v>
      </c>
      <c r="B51">
        <v>47</v>
      </c>
      <c r="C51">
        <v>100</v>
      </c>
      <c r="D51">
        <v>6</v>
      </c>
      <c r="E51">
        <v>10172.700000000001</v>
      </c>
      <c r="F51" s="4">
        <v>38301</v>
      </c>
      <c r="G51" t="s">
        <v>93</v>
      </c>
      <c r="H51">
        <v>4</v>
      </c>
      <c r="I51">
        <v>10</v>
      </c>
      <c r="J51">
        <v>2004</v>
      </c>
      <c r="K51" t="s">
        <v>265</v>
      </c>
      <c r="L51">
        <v>214</v>
      </c>
      <c r="M51" t="s">
        <v>266</v>
      </c>
      <c r="N51" t="s">
        <v>361</v>
      </c>
      <c r="O51" t="s">
        <v>362</v>
      </c>
      <c r="P51" t="s">
        <v>363</v>
      </c>
      <c r="R51" t="s">
        <v>364</v>
      </c>
      <c r="T51">
        <v>78000</v>
      </c>
      <c r="U51" t="s">
        <v>109</v>
      </c>
      <c r="V51" t="s">
        <v>110</v>
      </c>
      <c r="W51" t="s">
        <v>365</v>
      </c>
      <c r="X51" t="s">
        <v>118</v>
      </c>
      <c r="Y51" t="s">
        <v>232</v>
      </c>
    </row>
    <row r="52" spans="1:25">
      <c r="A52">
        <v>10312</v>
      </c>
      <c r="B52">
        <v>48</v>
      </c>
      <c r="C52">
        <v>100</v>
      </c>
      <c r="D52">
        <v>3</v>
      </c>
      <c r="E52">
        <v>11623.7</v>
      </c>
      <c r="F52" t="s">
        <v>366</v>
      </c>
      <c r="G52" t="s">
        <v>93</v>
      </c>
      <c r="H52">
        <v>4</v>
      </c>
      <c r="I52">
        <v>10</v>
      </c>
      <c r="J52">
        <v>2004</v>
      </c>
      <c r="K52" t="s">
        <v>265</v>
      </c>
      <c r="L52">
        <v>214</v>
      </c>
      <c r="M52" t="s">
        <v>266</v>
      </c>
      <c r="N52" t="s">
        <v>367</v>
      </c>
      <c r="O52">
        <v>4155551450</v>
      </c>
      <c r="P52" t="s">
        <v>368</v>
      </c>
      <c r="R52" t="s">
        <v>369</v>
      </c>
      <c r="S52" t="s">
        <v>124</v>
      </c>
      <c r="T52">
        <v>97562</v>
      </c>
      <c r="U52" t="s">
        <v>100</v>
      </c>
      <c r="V52" t="s">
        <v>101</v>
      </c>
      <c r="W52" t="s">
        <v>370</v>
      </c>
      <c r="X52" t="s">
        <v>371</v>
      </c>
      <c r="Y52" t="s">
        <v>232</v>
      </c>
    </row>
    <row r="53" spans="1:25">
      <c r="A53">
        <v>10322</v>
      </c>
      <c r="B53">
        <v>40</v>
      </c>
      <c r="C53">
        <v>100</v>
      </c>
      <c r="D53">
        <v>1</v>
      </c>
      <c r="E53">
        <v>6000.4</v>
      </c>
      <c r="F53" s="4">
        <v>38088</v>
      </c>
      <c r="G53" t="s">
        <v>93</v>
      </c>
      <c r="H53">
        <v>4</v>
      </c>
      <c r="I53">
        <v>11</v>
      </c>
      <c r="J53">
        <v>2004</v>
      </c>
      <c r="K53" t="s">
        <v>265</v>
      </c>
      <c r="L53">
        <v>214</v>
      </c>
      <c r="M53" t="s">
        <v>266</v>
      </c>
      <c r="N53" t="s">
        <v>372</v>
      </c>
      <c r="O53">
        <v>6035558647</v>
      </c>
      <c r="P53" t="s">
        <v>373</v>
      </c>
      <c r="R53" t="s">
        <v>374</v>
      </c>
      <c r="S53" t="s">
        <v>375</v>
      </c>
      <c r="T53">
        <v>62005</v>
      </c>
      <c r="U53" t="s">
        <v>100</v>
      </c>
      <c r="V53" t="s">
        <v>101</v>
      </c>
      <c r="W53" t="s">
        <v>125</v>
      </c>
      <c r="X53" t="s">
        <v>371</v>
      </c>
      <c r="Y53" t="s">
        <v>119</v>
      </c>
    </row>
    <row r="54" spans="1:25">
      <c r="A54">
        <v>10333</v>
      </c>
      <c r="B54">
        <v>26</v>
      </c>
      <c r="C54">
        <v>100</v>
      </c>
      <c r="D54">
        <v>3</v>
      </c>
      <c r="E54">
        <v>3003</v>
      </c>
      <c r="F54" t="s">
        <v>376</v>
      </c>
      <c r="G54" t="s">
        <v>93</v>
      </c>
      <c r="H54">
        <v>4</v>
      </c>
      <c r="I54">
        <v>11</v>
      </c>
      <c r="J54">
        <v>2004</v>
      </c>
      <c r="K54" t="s">
        <v>265</v>
      </c>
      <c r="L54">
        <v>214</v>
      </c>
      <c r="M54" t="s">
        <v>266</v>
      </c>
      <c r="N54" t="s">
        <v>152</v>
      </c>
      <c r="O54">
        <v>6505555787</v>
      </c>
      <c r="P54" t="s">
        <v>153</v>
      </c>
      <c r="R54" t="s">
        <v>129</v>
      </c>
      <c r="S54" t="s">
        <v>124</v>
      </c>
      <c r="U54" t="s">
        <v>100</v>
      </c>
      <c r="V54" t="s">
        <v>101</v>
      </c>
      <c r="W54" t="s">
        <v>154</v>
      </c>
      <c r="X54" t="s">
        <v>126</v>
      </c>
      <c r="Y54" t="s">
        <v>119</v>
      </c>
    </row>
    <row r="55" spans="1:25">
      <c r="A55">
        <v>10347</v>
      </c>
      <c r="B55">
        <v>30</v>
      </c>
      <c r="C55">
        <v>100</v>
      </c>
      <c r="D55">
        <v>1</v>
      </c>
      <c r="E55">
        <v>3944.7</v>
      </c>
      <c r="F55" t="s">
        <v>377</v>
      </c>
      <c r="G55" t="s">
        <v>93</v>
      </c>
      <c r="H55">
        <v>4</v>
      </c>
      <c r="I55">
        <v>11</v>
      </c>
      <c r="J55">
        <v>2004</v>
      </c>
      <c r="K55" t="s">
        <v>265</v>
      </c>
      <c r="L55">
        <v>214</v>
      </c>
      <c r="M55" t="s">
        <v>266</v>
      </c>
      <c r="N55" t="s">
        <v>162</v>
      </c>
      <c r="O55" t="s">
        <v>163</v>
      </c>
      <c r="P55" t="s">
        <v>164</v>
      </c>
      <c r="Q55" t="s">
        <v>165</v>
      </c>
      <c r="R55" t="s">
        <v>166</v>
      </c>
      <c r="S55" t="s">
        <v>167</v>
      </c>
      <c r="T55">
        <v>3004</v>
      </c>
      <c r="U55" t="s">
        <v>168</v>
      </c>
      <c r="V55" t="s">
        <v>169</v>
      </c>
      <c r="W55" t="s">
        <v>170</v>
      </c>
      <c r="X55" t="s">
        <v>171</v>
      </c>
      <c r="Y55" t="s">
        <v>119</v>
      </c>
    </row>
    <row r="56" spans="1:25">
      <c r="A56">
        <v>10357</v>
      </c>
      <c r="B56">
        <v>32</v>
      </c>
      <c r="C56">
        <v>100</v>
      </c>
      <c r="D56">
        <v>10</v>
      </c>
      <c r="E56">
        <v>5691.84</v>
      </c>
      <c r="F56" s="4">
        <v>38272</v>
      </c>
      <c r="G56" t="s">
        <v>93</v>
      </c>
      <c r="H56">
        <v>4</v>
      </c>
      <c r="I56">
        <v>12</v>
      </c>
      <c r="J56">
        <v>2004</v>
      </c>
      <c r="K56" t="s">
        <v>265</v>
      </c>
      <c r="L56">
        <v>214</v>
      </c>
      <c r="M56" t="s">
        <v>266</v>
      </c>
      <c r="N56" t="s">
        <v>367</v>
      </c>
      <c r="O56">
        <v>4155551450</v>
      </c>
      <c r="P56" t="s">
        <v>368</v>
      </c>
      <c r="R56" t="s">
        <v>369</v>
      </c>
      <c r="S56" t="s">
        <v>124</v>
      </c>
      <c r="T56">
        <v>97562</v>
      </c>
      <c r="U56" t="s">
        <v>100</v>
      </c>
      <c r="V56" t="s">
        <v>101</v>
      </c>
      <c r="W56" t="s">
        <v>370</v>
      </c>
      <c r="X56" t="s">
        <v>371</v>
      </c>
      <c r="Y56" t="s">
        <v>119</v>
      </c>
    </row>
    <row r="57" spans="1:25">
      <c r="A57">
        <v>10369</v>
      </c>
      <c r="B57">
        <v>41</v>
      </c>
      <c r="C57">
        <v>100</v>
      </c>
      <c r="D57">
        <v>2</v>
      </c>
      <c r="E57">
        <v>4514.92</v>
      </c>
      <c r="F57" t="s">
        <v>378</v>
      </c>
      <c r="G57" t="s">
        <v>93</v>
      </c>
      <c r="H57">
        <v>1</v>
      </c>
      <c r="I57">
        <v>1</v>
      </c>
      <c r="J57">
        <v>2005</v>
      </c>
      <c r="K57" t="s">
        <v>265</v>
      </c>
      <c r="L57">
        <v>214</v>
      </c>
      <c r="M57" t="s">
        <v>266</v>
      </c>
      <c r="N57" t="s">
        <v>379</v>
      </c>
      <c r="O57">
        <v>6175558555</v>
      </c>
      <c r="P57" t="s">
        <v>380</v>
      </c>
      <c r="R57" t="s">
        <v>381</v>
      </c>
      <c r="S57" t="s">
        <v>200</v>
      </c>
      <c r="T57">
        <v>58339</v>
      </c>
      <c r="U57" t="s">
        <v>100</v>
      </c>
      <c r="V57" t="s">
        <v>101</v>
      </c>
      <c r="W57" t="s">
        <v>370</v>
      </c>
      <c r="X57" t="s">
        <v>382</v>
      </c>
      <c r="Y57" t="s">
        <v>119</v>
      </c>
    </row>
    <row r="58" spans="1:25">
      <c r="A58">
        <v>10381</v>
      </c>
      <c r="B58">
        <v>36</v>
      </c>
      <c r="C58">
        <v>100</v>
      </c>
      <c r="D58">
        <v>3</v>
      </c>
      <c r="E58">
        <v>8254.7999999999993</v>
      </c>
      <c r="F58" t="s">
        <v>383</v>
      </c>
      <c r="G58" t="s">
        <v>93</v>
      </c>
      <c r="H58">
        <v>1</v>
      </c>
      <c r="I58">
        <v>2</v>
      </c>
      <c r="J58">
        <v>2005</v>
      </c>
      <c r="K58" t="s">
        <v>265</v>
      </c>
      <c r="L58">
        <v>214</v>
      </c>
      <c r="M58" t="s">
        <v>266</v>
      </c>
      <c r="N58" t="s">
        <v>127</v>
      </c>
      <c r="O58">
        <v>6505551386</v>
      </c>
      <c r="P58" t="s">
        <v>128</v>
      </c>
      <c r="R58" t="s">
        <v>129</v>
      </c>
      <c r="S58" t="s">
        <v>124</v>
      </c>
      <c r="U58" t="s">
        <v>100</v>
      </c>
      <c r="V58" t="s">
        <v>101</v>
      </c>
      <c r="W58" t="s">
        <v>130</v>
      </c>
      <c r="X58" t="s">
        <v>126</v>
      </c>
      <c r="Y58" t="s">
        <v>232</v>
      </c>
    </row>
    <row r="59" spans="1:25">
      <c r="A59">
        <v>10391</v>
      </c>
      <c r="B59">
        <v>24</v>
      </c>
      <c r="C59">
        <v>100</v>
      </c>
      <c r="D59">
        <v>4</v>
      </c>
      <c r="E59">
        <v>2416.56</v>
      </c>
      <c r="F59" s="4">
        <v>38598</v>
      </c>
      <c r="G59" t="s">
        <v>93</v>
      </c>
      <c r="H59">
        <v>1</v>
      </c>
      <c r="I59">
        <v>3</v>
      </c>
      <c r="J59">
        <v>2005</v>
      </c>
      <c r="K59" t="s">
        <v>265</v>
      </c>
      <c r="L59">
        <v>214</v>
      </c>
      <c r="M59" t="s">
        <v>266</v>
      </c>
      <c r="N59" t="s">
        <v>384</v>
      </c>
      <c r="O59" t="s">
        <v>385</v>
      </c>
      <c r="P59" t="s">
        <v>386</v>
      </c>
      <c r="Q59" t="s">
        <v>387</v>
      </c>
      <c r="R59" t="s">
        <v>388</v>
      </c>
      <c r="S59" t="s">
        <v>239</v>
      </c>
      <c r="T59">
        <v>2060</v>
      </c>
      <c r="U59" t="s">
        <v>168</v>
      </c>
      <c r="V59" t="s">
        <v>169</v>
      </c>
      <c r="W59" t="s">
        <v>389</v>
      </c>
      <c r="X59" t="s">
        <v>390</v>
      </c>
      <c r="Y59" t="s">
        <v>104</v>
      </c>
    </row>
    <row r="60" spans="1:25">
      <c r="A60">
        <v>10411</v>
      </c>
      <c r="B60">
        <v>23</v>
      </c>
      <c r="C60">
        <v>100</v>
      </c>
      <c r="D60">
        <v>9</v>
      </c>
      <c r="E60">
        <v>4140.2299999999996</v>
      </c>
      <c r="F60" s="4">
        <v>38357</v>
      </c>
      <c r="G60" t="s">
        <v>93</v>
      </c>
      <c r="H60">
        <v>2</v>
      </c>
      <c r="I60">
        <v>5</v>
      </c>
      <c r="J60">
        <v>2005</v>
      </c>
      <c r="K60" t="s">
        <v>265</v>
      </c>
      <c r="L60">
        <v>214</v>
      </c>
      <c r="M60" t="s">
        <v>266</v>
      </c>
      <c r="N60" t="s">
        <v>391</v>
      </c>
      <c r="O60" t="s">
        <v>392</v>
      </c>
      <c r="P60" t="s">
        <v>393</v>
      </c>
      <c r="R60" t="s">
        <v>394</v>
      </c>
      <c r="S60" t="s">
        <v>395</v>
      </c>
      <c r="T60" t="s">
        <v>396</v>
      </c>
      <c r="U60" t="s">
        <v>322</v>
      </c>
      <c r="V60" t="s">
        <v>101</v>
      </c>
      <c r="W60" t="s">
        <v>397</v>
      </c>
      <c r="X60" t="s">
        <v>398</v>
      </c>
      <c r="Y60" t="s">
        <v>119</v>
      </c>
    </row>
    <row r="61" spans="1:25">
      <c r="A61">
        <v>10424</v>
      </c>
      <c r="B61">
        <v>50</v>
      </c>
      <c r="C61">
        <v>100</v>
      </c>
      <c r="D61">
        <v>6</v>
      </c>
      <c r="E61">
        <v>12001</v>
      </c>
      <c r="F61" t="s">
        <v>399</v>
      </c>
      <c r="G61" t="s">
        <v>400</v>
      </c>
      <c r="H61">
        <v>2</v>
      </c>
      <c r="I61">
        <v>5</v>
      </c>
      <c r="J61">
        <v>2005</v>
      </c>
      <c r="K61" t="s">
        <v>265</v>
      </c>
      <c r="L61">
        <v>214</v>
      </c>
      <c r="M61" t="s">
        <v>266</v>
      </c>
      <c r="N61" t="s">
        <v>257</v>
      </c>
      <c r="O61" t="s">
        <v>258</v>
      </c>
      <c r="P61" t="s">
        <v>259</v>
      </c>
      <c r="R61" t="s">
        <v>260</v>
      </c>
      <c r="T61">
        <v>28034</v>
      </c>
      <c r="U61" t="s">
        <v>261</v>
      </c>
      <c r="V61" t="s">
        <v>110</v>
      </c>
      <c r="W61" t="s">
        <v>262</v>
      </c>
      <c r="X61" t="s">
        <v>263</v>
      </c>
      <c r="Y61" t="s">
        <v>232</v>
      </c>
    </row>
    <row r="62" spans="1:25">
      <c r="A62">
        <v>10107</v>
      </c>
      <c r="B62">
        <v>39</v>
      </c>
      <c r="C62">
        <v>99.91</v>
      </c>
      <c r="D62">
        <v>5</v>
      </c>
      <c r="E62">
        <v>3896.49</v>
      </c>
      <c r="F62" t="s">
        <v>92</v>
      </c>
      <c r="G62" t="s">
        <v>93</v>
      </c>
      <c r="H62">
        <v>1</v>
      </c>
      <c r="I62">
        <v>2</v>
      </c>
      <c r="J62">
        <v>2003</v>
      </c>
      <c r="K62" t="s">
        <v>94</v>
      </c>
      <c r="L62">
        <v>118</v>
      </c>
      <c r="M62" t="s">
        <v>401</v>
      </c>
      <c r="N62" t="s">
        <v>96</v>
      </c>
      <c r="O62">
        <v>2125557818</v>
      </c>
      <c r="P62" t="s">
        <v>97</v>
      </c>
      <c r="R62" t="s">
        <v>98</v>
      </c>
      <c r="S62" t="s">
        <v>99</v>
      </c>
      <c r="T62">
        <v>10022</v>
      </c>
      <c r="U62" t="s">
        <v>100</v>
      </c>
      <c r="V62" t="s">
        <v>101</v>
      </c>
      <c r="W62" t="s">
        <v>102</v>
      </c>
      <c r="X62" t="s">
        <v>103</v>
      </c>
      <c r="Y62" t="s">
        <v>119</v>
      </c>
    </row>
    <row r="63" spans="1:25">
      <c r="A63">
        <v>10120</v>
      </c>
      <c r="B63">
        <v>29</v>
      </c>
      <c r="C63">
        <v>96.34</v>
      </c>
      <c r="D63">
        <v>3</v>
      </c>
      <c r="E63">
        <v>2793.86</v>
      </c>
      <c r="F63" t="s">
        <v>402</v>
      </c>
      <c r="G63" t="s">
        <v>93</v>
      </c>
      <c r="H63">
        <v>2</v>
      </c>
      <c r="I63">
        <v>4</v>
      </c>
      <c r="J63">
        <v>2003</v>
      </c>
      <c r="K63" t="s">
        <v>94</v>
      </c>
      <c r="L63">
        <v>118</v>
      </c>
      <c r="M63" t="s">
        <v>401</v>
      </c>
      <c r="N63" t="s">
        <v>162</v>
      </c>
      <c r="O63" t="s">
        <v>163</v>
      </c>
      <c r="P63" t="s">
        <v>164</v>
      </c>
      <c r="Q63" t="s">
        <v>165</v>
      </c>
      <c r="R63" t="s">
        <v>166</v>
      </c>
      <c r="S63" t="s">
        <v>167</v>
      </c>
      <c r="T63">
        <v>3004</v>
      </c>
      <c r="U63" t="s">
        <v>168</v>
      </c>
      <c r="V63" t="s">
        <v>169</v>
      </c>
      <c r="W63" t="s">
        <v>170</v>
      </c>
      <c r="X63" t="s">
        <v>171</v>
      </c>
      <c r="Y63" t="s">
        <v>104</v>
      </c>
    </row>
    <row r="64" spans="1:25">
      <c r="A64">
        <v>10134</v>
      </c>
      <c r="B64">
        <v>27</v>
      </c>
      <c r="C64">
        <v>100</v>
      </c>
      <c r="D64">
        <v>5</v>
      </c>
      <c r="E64">
        <v>3307.77</v>
      </c>
      <c r="F64" s="4">
        <v>37628</v>
      </c>
      <c r="G64" t="s">
        <v>93</v>
      </c>
      <c r="H64">
        <v>3</v>
      </c>
      <c r="I64">
        <v>7</v>
      </c>
      <c r="J64">
        <v>2003</v>
      </c>
      <c r="K64" t="s">
        <v>94</v>
      </c>
      <c r="L64">
        <v>118</v>
      </c>
      <c r="M64" t="s">
        <v>401</v>
      </c>
      <c r="N64" t="s">
        <v>113</v>
      </c>
      <c r="O64" t="s">
        <v>114</v>
      </c>
      <c r="P64" t="s">
        <v>115</v>
      </c>
      <c r="R64" t="s">
        <v>116</v>
      </c>
      <c r="T64">
        <v>75508</v>
      </c>
      <c r="U64" t="s">
        <v>109</v>
      </c>
      <c r="V64" t="s">
        <v>110</v>
      </c>
      <c r="W64" t="s">
        <v>117</v>
      </c>
      <c r="X64" t="s">
        <v>118</v>
      </c>
      <c r="Y64" t="s">
        <v>119</v>
      </c>
    </row>
    <row r="65" spans="1:25">
      <c r="A65">
        <v>10145</v>
      </c>
      <c r="B65">
        <v>37</v>
      </c>
      <c r="C65">
        <v>100</v>
      </c>
      <c r="D65">
        <v>9</v>
      </c>
      <c r="E65">
        <v>5192.95</v>
      </c>
      <c r="F65" t="s">
        <v>120</v>
      </c>
      <c r="G65" t="s">
        <v>93</v>
      </c>
      <c r="H65">
        <v>3</v>
      </c>
      <c r="I65">
        <v>8</v>
      </c>
      <c r="J65">
        <v>2003</v>
      </c>
      <c r="K65" t="s">
        <v>94</v>
      </c>
      <c r="L65">
        <v>118</v>
      </c>
      <c r="M65" t="s">
        <v>401</v>
      </c>
      <c r="N65" t="s">
        <v>121</v>
      </c>
      <c r="O65">
        <v>6265557265</v>
      </c>
      <c r="P65" t="s">
        <v>122</v>
      </c>
      <c r="R65" t="s">
        <v>123</v>
      </c>
      <c r="S65" t="s">
        <v>124</v>
      </c>
      <c r="T65">
        <v>90003</v>
      </c>
      <c r="U65" t="s">
        <v>100</v>
      </c>
      <c r="V65" t="s">
        <v>101</v>
      </c>
      <c r="W65" t="s">
        <v>125</v>
      </c>
      <c r="X65" t="s">
        <v>126</v>
      </c>
      <c r="Y65" t="s">
        <v>119</v>
      </c>
    </row>
    <row r="66" spans="1:25">
      <c r="A66">
        <v>10159</v>
      </c>
      <c r="B66">
        <v>37</v>
      </c>
      <c r="C66">
        <v>100</v>
      </c>
      <c r="D66">
        <v>17</v>
      </c>
      <c r="E66">
        <v>5016.83</v>
      </c>
      <c r="F66" s="4">
        <v>37904</v>
      </c>
      <c r="G66" t="s">
        <v>93</v>
      </c>
      <c r="H66">
        <v>4</v>
      </c>
      <c r="I66">
        <v>10</v>
      </c>
      <c r="J66">
        <v>2003</v>
      </c>
      <c r="K66" t="s">
        <v>94</v>
      </c>
      <c r="L66">
        <v>118</v>
      </c>
      <c r="M66" t="s">
        <v>401</v>
      </c>
      <c r="N66" t="s">
        <v>127</v>
      </c>
      <c r="O66">
        <v>6505551386</v>
      </c>
      <c r="P66" t="s">
        <v>128</v>
      </c>
      <c r="R66" t="s">
        <v>129</v>
      </c>
      <c r="S66" t="s">
        <v>124</v>
      </c>
      <c r="U66" t="s">
        <v>100</v>
      </c>
      <c r="V66" t="s">
        <v>101</v>
      </c>
      <c r="W66" t="s">
        <v>130</v>
      </c>
      <c r="X66" t="s">
        <v>126</v>
      </c>
      <c r="Y66" t="s">
        <v>119</v>
      </c>
    </row>
    <row r="67" spans="1:25">
      <c r="A67">
        <v>10168</v>
      </c>
      <c r="B67">
        <v>27</v>
      </c>
      <c r="C67">
        <v>100</v>
      </c>
      <c r="D67">
        <v>4</v>
      </c>
      <c r="E67">
        <v>3660.93</v>
      </c>
      <c r="F67" t="s">
        <v>131</v>
      </c>
      <c r="G67" t="s">
        <v>93</v>
      </c>
      <c r="H67">
        <v>4</v>
      </c>
      <c r="I67">
        <v>10</v>
      </c>
      <c r="J67">
        <v>2003</v>
      </c>
      <c r="K67" t="s">
        <v>94</v>
      </c>
      <c r="L67">
        <v>118</v>
      </c>
      <c r="M67" t="s">
        <v>401</v>
      </c>
      <c r="N67" t="s">
        <v>132</v>
      </c>
      <c r="O67">
        <v>6505556809</v>
      </c>
      <c r="P67" t="s">
        <v>133</v>
      </c>
      <c r="R67" t="s">
        <v>134</v>
      </c>
      <c r="S67" t="s">
        <v>124</v>
      </c>
      <c r="T67">
        <v>94217</v>
      </c>
      <c r="U67" t="s">
        <v>100</v>
      </c>
      <c r="V67" t="s">
        <v>101</v>
      </c>
      <c r="W67" t="s">
        <v>135</v>
      </c>
      <c r="X67" t="s">
        <v>136</v>
      </c>
      <c r="Y67" t="s">
        <v>119</v>
      </c>
    </row>
    <row r="68" spans="1:25">
      <c r="A68">
        <v>10180</v>
      </c>
      <c r="B68">
        <v>42</v>
      </c>
      <c r="C68">
        <v>100</v>
      </c>
      <c r="D68">
        <v>12</v>
      </c>
      <c r="E68">
        <v>4695.6000000000004</v>
      </c>
      <c r="F68" s="4">
        <v>37936</v>
      </c>
      <c r="G68" t="s">
        <v>93</v>
      </c>
      <c r="H68">
        <v>4</v>
      </c>
      <c r="I68">
        <v>11</v>
      </c>
      <c r="J68">
        <v>2003</v>
      </c>
      <c r="K68" t="s">
        <v>94</v>
      </c>
      <c r="L68">
        <v>118</v>
      </c>
      <c r="M68" t="s">
        <v>401</v>
      </c>
      <c r="N68" t="s">
        <v>137</v>
      </c>
      <c r="O68" t="s">
        <v>138</v>
      </c>
      <c r="P68" t="s">
        <v>139</v>
      </c>
      <c r="R68" t="s">
        <v>140</v>
      </c>
      <c r="T68">
        <v>59000</v>
      </c>
      <c r="U68" t="s">
        <v>109</v>
      </c>
      <c r="V68" t="s">
        <v>110</v>
      </c>
      <c r="W68" t="s">
        <v>141</v>
      </c>
      <c r="X68" t="s">
        <v>142</v>
      </c>
      <c r="Y68" t="s">
        <v>119</v>
      </c>
    </row>
    <row r="69" spans="1:25">
      <c r="A69">
        <v>10188</v>
      </c>
      <c r="B69">
        <v>38</v>
      </c>
      <c r="C69">
        <v>96.34</v>
      </c>
      <c r="D69">
        <v>4</v>
      </c>
      <c r="E69">
        <v>3660.92</v>
      </c>
      <c r="F69" t="s">
        <v>143</v>
      </c>
      <c r="G69" t="s">
        <v>93</v>
      </c>
      <c r="H69">
        <v>4</v>
      </c>
      <c r="I69">
        <v>11</v>
      </c>
      <c r="J69">
        <v>2003</v>
      </c>
      <c r="K69" t="s">
        <v>94</v>
      </c>
      <c r="L69">
        <v>118</v>
      </c>
      <c r="M69" t="s">
        <v>401</v>
      </c>
      <c r="N69" t="s">
        <v>144</v>
      </c>
      <c r="O69" t="s">
        <v>145</v>
      </c>
      <c r="P69" t="s">
        <v>146</v>
      </c>
      <c r="R69" t="s">
        <v>147</v>
      </c>
      <c r="T69" t="s">
        <v>148</v>
      </c>
      <c r="U69" t="s">
        <v>149</v>
      </c>
      <c r="V69" t="s">
        <v>110</v>
      </c>
      <c r="W69" t="s">
        <v>150</v>
      </c>
      <c r="X69" t="s">
        <v>151</v>
      </c>
      <c r="Y69" t="s">
        <v>119</v>
      </c>
    </row>
    <row r="70" spans="1:25">
      <c r="A70">
        <v>10201</v>
      </c>
      <c r="B70">
        <v>24</v>
      </c>
      <c r="C70">
        <v>100</v>
      </c>
      <c r="D70">
        <v>5</v>
      </c>
      <c r="E70">
        <v>3025.92</v>
      </c>
      <c r="F70" s="4">
        <v>37633</v>
      </c>
      <c r="G70" t="s">
        <v>93</v>
      </c>
      <c r="H70">
        <v>4</v>
      </c>
      <c r="I70">
        <v>12</v>
      </c>
      <c r="J70">
        <v>2003</v>
      </c>
      <c r="K70" t="s">
        <v>94</v>
      </c>
      <c r="L70">
        <v>118</v>
      </c>
      <c r="M70" t="s">
        <v>401</v>
      </c>
      <c r="N70" t="s">
        <v>152</v>
      </c>
      <c r="O70">
        <v>6505555787</v>
      </c>
      <c r="P70" t="s">
        <v>153</v>
      </c>
      <c r="R70" t="s">
        <v>129</v>
      </c>
      <c r="S70" t="s">
        <v>124</v>
      </c>
      <c r="U70" t="s">
        <v>100</v>
      </c>
      <c r="V70" t="s">
        <v>101</v>
      </c>
      <c r="W70" t="s">
        <v>154</v>
      </c>
      <c r="X70" t="s">
        <v>126</v>
      </c>
      <c r="Y70" t="s">
        <v>119</v>
      </c>
    </row>
    <row r="71" spans="1:25">
      <c r="A71">
        <v>10210</v>
      </c>
      <c r="B71">
        <v>23</v>
      </c>
      <c r="C71">
        <v>100</v>
      </c>
      <c r="D71">
        <v>2</v>
      </c>
      <c r="E71">
        <v>3009.09</v>
      </c>
      <c r="F71" s="4">
        <v>38322</v>
      </c>
      <c r="G71" t="s">
        <v>93</v>
      </c>
      <c r="H71">
        <v>1</v>
      </c>
      <c r="I71">
        <v>1</v>
      </c>
      <c r="J71">
        <v>2004</v>
      </c>
      <c r="K71" t="s">
        <v>94</v>
      </c>
      <c r="L71">
        <v>118</v>
      </c>
      <c r="M71" t="s">
        <v>401</v>
      </c>
      <c r="N71" t="s">
        <v>403</v>
      </c>
      <c r="O71" t="s">
        <v>404</v>
      </c>
      <c r="P71" t="s">
        <v>405</v>
      </c>
      <c r="R71" t="s">
        <v>406</v>
      </c>
      <c r="S71" t="s">
        <v>406</v>
      </c>
      <c r="T71" t="s">
        <v>407</v>
      </c>
      <c r="U71" t="s">
        <v>288</v>
      </c>
      <c r="V71" t="s">
        <v>288</v>
      </c>
      <c r="W71" t="s">
        <v>408</v>
      </c>
      <c r="X71" t="s">
        <v>409</v>
      </c>
      <c r="Y71" t="s">
        <v>119</v>
      </c>
    </row>
    <row r="72" spans="1:25">
      <c r="A72">
        <v>10223</v>
      </c>
      <c r="B72">
        <v>47</v>
      </c>
      <c r="C72">
        <v>100</v>
      </c>
      <c r="D72">
        <v>4</v>
      </c>
      <c r="E72">
        <v>5422.39</v>
      </c>
      <c r="F72" t="s">
        <v>161</v>
      </c>
      <c r="G72" t="s">
        <v>93</v>
      </c>
      <c r="H72">
        <v>1</v>
      </c>
      <c r="I72">
        <v>2</v>
      </c>
      <c r="J72">
        <v>2004</v>
      </c>
      <c r="K72" t="s">
        <v>94</v>
      </c>
      <c r="L72">
        <v>118</v>
      </c>
      <c r="M72" t="s">
        <v>401</v>
      </c>
      <c r="N72" t="s">
        <v>162</v>
      </c>
      <c r="O72" t="s">
        <v>163</v>
      </c>
      <c r="P72" t="s">
        <v>164</v>
      </c>
      <c r="Q72" t="s">
        <v>165</v>
      </c>
      <c r="R72" t="s">
        <v>166</v>
      </c>
      <c r="S72" t="s">
        <v>167</v>
      </c>
      <c r="T72">
        <v>3004</v>
      </c>
      <c r="U72" t="s">
        <v>168</v>
      </c>
      <c r="V72" t="s">
        <v>169</v>
      </c>
      <c r="W72" t="s">
        <v>170</v>
      </c>
      <c r="X72" t="s">
        <v>171</v>
      </c>
      <c r="Y72" t="s">
        <v>119</v>
      </c>
    </row>
    <row r="73" spans="1:25">
      <c r="A73">
        <v>10236</v>
      </c>
      <c r="B73">
        <v>22</v>
      </c>
      <c r="C73">
        <v>100</v>
      </c>
      <c r="D73">
        <v>1</v>
      </c>
      <c r="E73">
        <v>2852.08</v>
      </c>
      <c r="F73" s="4">
        <v>38050</v>
      </c>
      <c r="G73" t="s">
        <v>93</v>
      </c>
      <c r="H73">
        <v>2</v>
      </c>
      <c r="I73">
        <v>4</v>
      </c>
      <c r="J73">
        <v>2004</v>
      </c>
      <c r="K73" t="s">
        <v>94</v>
      </c>
      <c r="L73">
        <v>118</v>
      </c>
      <c r="M73" t="s">
        <v>401</v>
      </c>
      <c r="N73" t="s">
        <v>410</v>
      </c>
      <c r="O73">
        <v>2155559857</v>
      </c>
      <c r="P73" t="s">
        <v>411</v>
      </c>
      <c r="R73" t="s">
        <v>306</v>
      </c>
      <c r="S73" t="s">
        <v>221</v>
      </c>
      <c r="T73">
        <v>71270</v>
      </c>
      <c r="U73" t="s">
        <v>100</v>
      </c>
      <c r="V73" t="s">
        <v>101</v>
      </c>
      <c r="W73" t="s">
        <v>201</v>
      </c>
      <c r="X73" t="s">
        <v>412</v>
      </c>
      <c r="Y73" t="s">
        <v>104</v>
      </c>
    </row>
    <row r="74" spans="1:25">
      <c r="A74">
        <v>10251</v>
      </c>
      <c r="B74">
        <v>44</v>
      </c>
      <c r="C74">
        <v>100</v>
      </c>
      <c r="D74">
        <v>5</v>
      </c>
      <c r="E74">
        <v>5756.52</v>
      </c>
      <c r="F74" t="s">
        <v>177</v>
      </c>
      <c r="G74" t="s">
        <v>93</v>
      </c>
      <c r="H74">
        <v>2</v>
      </c>
      <c r="I74">
        <v>5</v>
      </c>
      <c r="J74">
        <v>2004</v>
      </c>
      <c r="K74" t="s">
        <v>94</v>
      </c>
      <c r="L74">
        <v>118</v>
      </c>
      <c r="M74" t="s">
        <v>401</v>
      </c>
      <c r="N74" t="s">
        <v>178</v>
      </c>
      <c r="O74">
        <v>2015559350</v>
      </c>
      <c r="P74" t="s">
        <v>179</v>
      </c>
      <c r="R74" t="s">
        <v>180</v>
      </c>
      <c r="S74" t="s">
        <v>181</v>
      </c>
      <c r="T74">
        <v>94019</v>
      </c>
      <c r="U74" t="s">
        <v>100</v>
      </c>
      <c r="V74" t="s">
        <v>101</v>
      </c>
      <c r="W74" t="s">
        <v>130</v>
      </c>
      <c r="X74" t="s">
        <v>182</v>
      </c>
      <c r="Y74" t="s">
        <v>119</v>
      </c>
    </row>
    <row r="75" spans="1:25">
      <c r="A75">
        <v>10263</v>
      </c>
      <c r="B75">
        <v>40</v>
      </c>
      <c r="C75">
        <v>100</v>
      </c>
      <c r="D75">
        <v>5</v>
      </c>
      <c r="E75">
        <v>4472</v>
      </c>
      <c r="F75" t="s">
        <v>183</v>
      </c>
      <c r="G75" t="s">
        <v>93</v>
      </c>
      <c r="H75">
        <v>2</v>
      </c>
      <c r="I75">
        <v>6</v>
      </c>
      <c r="J75">
        <v>2004</v>
      </c>
      <c r="K75" t="s">
        <v>94</v>
      </c>
      <c r="L75">
        <v>118</v>
      </c>
      <c r="M75" t="s">
        <v>401</v>
      </c>
      <c r="N75" t="s">
        <v>184</v>
      </c>
      <c r="O75">
        <v>2035552570</v>
      </c>
      <c r="P75" t="s">
        <v>185</v>
      </c>
      <c r="R75" t="s">
        <v>186</v>
      </c>
      <c r="S75" t="s">
        <v>187</v>
      </c>
      <c r="T75">
        <v>97562</v>
      </c>
      <c r="U75" t="s">
        <v>100</v>
      </c>
      <c r="V75" t="s">
        <v>101</v>
      </c>
      <c r="W75" t="s">
        <v>188</v>
      </c>
      <c r="X75" t="s">
        <v>126</v>
      </c>
      <c r="Y75" t="s">
        <v>119</v>
      </c>
    </row>
    <row r="76" spans="1:25">
      <c r="A76">
        <v>10275</v>
      </c>
      <c r="B76">
        <v>22</v>
      </c>
      <c r="C76">
        <v>100</v>
      </c>
      <c r="D76">
        <v>4</v>
      </c>
      <c r="E76">
        <v>2904.44</v>
      </c>
      <c r="F76" t="s">
        <v>189</v>
      </c>
      <c r="G76" t="s">
        <v>93</v>
      </c>
      <c r="H76">
        <v>3</v>
      </c>
      <c r="I76">
        <v>7</v>
      </c>
      <c r="J76">
        <v>2004</v>
      </c>
      <c r="K76" t="s">
        <v>94</v>
      </c>
      <c r="L76">
        <v>118</v>
      </c>
      <c r="M76" t="s">
        <v>401</v>
      </c>
      <c r="N76" t="s">
        <v>190</v>
      </c>
      <c r="O76" t="s">
        <v>191</v>
      </c>
      <c r="P76" t="s">
        <v>192</v>
      </c>
      <c r="R76" t="s">
        <v>193</v>
      </c>
      <c r="T76">
        <v>44000</v>
      </c>
      <c r="U76" t="s">
        <v>109</v>
      </c>
      <c r="V76" t="s">
        <v>110</v>
      </c>
      <c r="W76" t="s">
        <v>194</v>
      </c>
      <c r="X76" t="s">
        <v>195</v>
      </c>
      <c r="Y76" t="s">
        <v>104</v>
      </c>
    </row>
    <row r="77" spans="1:25">
      <c r="A77">
        <v>10285</v>
      </c>
      <c r="B77">
        <v>47</v>
      </c>
      <c r="C77">
        <v>100</v>
      </c>
      <c r="D77">
        <v>9</v>
      </c>
      <c r="E77">
        <v>6484.59</v>
      </c>
      <c r="F77" t="s">
        <v>196</v>
      </c>
      <c r="G77" t="s">
        <v>93</v>
      </c>
      <c r="H77">
        <v>3</v>
      </c>
      <c r="I77">
        <v>8</v>
      </c>
      <c r="J77">
        <v>2004</v>
      </c>
      <c r="K77" t="s">
        <v>94</v>
      </c>
      <c r="L77">
        <v>118</v>
      </c>
      <c r="M77" t="s">
        <v>401</v>
      </c>
      <c r="N77" t="s">
        <v>197</v>
      </c>
      <c r="O77">
        <v>6175558555</v>
      </c>
      <c r="P77" t="s">
        <v>198</v>
      </c>
      <c r="R77" t="s">
        <v>199</v>
      </c>
      <c r="S77" t="s">
        <v>200</v>
      </c>
      <c r="T77">
        <v>51247</v>
      </c>
      <c r="U77" t="s">
        <v>100</v>
      </c>
      <c r="V77" t="s">
        <v>101</v>
      </c>
      <c r="W77" t="s">
        <v>201</v>
      </c>
      <c r="X77" t="s">
        <v>202</v>
      </c>
      <c r="Y77" t="s">
        <v>119</v>
      </c>
    </row>
    <row r="78" spans="1:25">
      <c r="A78">
        <v>10298</v>
      </c>
      <c r="B78">
        <v>39</v>
      </c>
      <c r="C78">
        <v>96.34</v>
      </c>
      <c r="D78">
        <v>1</v>
      </c>
      <c r="E78">
        <v>3757.26</v>
      </c>
      <c r="F78" t="s">
        <v>413</v>
      </c>
      <c r="G78" t="s">
        <v>93</v>
      </c>
      <c r="H78">
        <v>3</v>
      </c>
      <c r="I78">
        <v>9</v>
      </c>
      <c r="J78">
        <v>2004</v>
      </c>
      <c r="K78" t="s">
        <v>94</v>
      </c>
      <c r="L78">
        <v>118</v>
      </c>
      <c r="M78" t="s">
        <v>401</v>
      </c>
      <c r="N78" t="s">
        <v>414</v>
      </c>
      <c r="O78" t="s">
        <v>415</v>
      </c>
      <c r="P78" t="s">
        <v>416</v>
      </c>
      <c r="R78" t="s">
        <v>193</v>
      </c>
      <c r="T78">
        <v>44000</v>
      </c>
      <c r="U78" t="s">
        <v>109</v>
      </c>
      <c r="V78" t="s">
        <v>110</v>
      </c>
      <c r="W78" t="s">
        <v>417</v>
      </c>
      <c r="X78" t="s">
        <v>418</v>
      </c>
      <c r="Y78" t="s">
        <v>119</v>
      </c>
    </row>
    <row r="79" spans="1:25">
      <c r="A79">
        <v>10308</v>
      </c>
      <c r="B79">
        <v>34</v>
      </c>
      <c r="C79">
        <v>100</v>
      </c>
      <c r="D79">
        <v>2</v>
      </c>
      <c r="E79">
        <v>4043.96</v>
      </c>
      <c r="F79" t="s">
        <v>211</v>
      </c>
      <c r="G79" t="s">
        <v>93</v>
      </c>
      <c r="H79">
        <v>4</v>
      </c>
      <c r="I79">
        <v>10</v>
      </c>
      <c r="J79">
        <v>2004</v>
      </c>
      <c r="K79" t="s">
        <v>94</v>
      </c>
      <c r="L79">
        <v>118</v>
      </c>
      <c r="M79" t="s">
        <v>401</v>
      </c>
      <c r="N79" t="s">
        <v>419</v>
      </c>
      <c r="O79">
        <v>9145554562</v>
      </c>
      <c r="P79" t="s">
        <v>420</v>
      </c>
      <c r="R79" t="s">
        <v>421</v>
      </c>
      <c r="S79" t="s">
        <v>99</v>
      </c>
      <c r="T79">
        <v>24067</v>
      </c>
      <c r="U79" t="s">
        <v>100</v>
      </c>
      <c r="V79" t="s">
        <v>101</v>
      </c>
      <c r="W79" t="s">
        <v>175</v>
      </c>
      <c r="X79" t="s">
        <v>329</v>
      </c>
      <c r="Y79" t="s">
        <v>119</v>
      </c>
    </row>
    <row r="80" spans="1:25">
      <c r="A80">
        <v>10318</v>
      </c>
      <c r="B80">
        <v>45</v>
      </c>
      <c r="C80">
        <v>100</v>
      </c>
      <c r="D80">
        <v>4</v>
      </c>
      <c r="E80">
        <v>5566.5</v>
      </c>
      <c r="F80" s="4">
        <v>38028</v>
      </c>
      <c r="G80" t="s">
        <v>93</v>
      </c>
      <c r="H80">
        <v>4</v>
      </c>
      <c r="I80">
        <v>11</v>
      </c>
      <c r="J80">
        <v>2004</v>
      </c>
      <c r="K80" t="s">
        <v>94</v>
      </c>
      <c r="L80">
        <v>118</v>
      </c>
      <c r="M80" t="s">
        <v>401</v>
      </c>
      <c r="N80" t="s">
        <v>218</v>
      </c>
      <c r="O80">
        <v>2155551555</v>
      </c>
      <c r="P80" t="s">
        <v>219</v>
      </c>
      <c r="R80" t="s">
        <v>220</v>
      </c>
      <c r="S80" t="s">
        <v>221</v>
      </c>
      <c r="T80">
        <v>70267</v>
      </c>
      <c r="U80" t="s">
        <v>100</v>
      </c>
      <c r="V80" t="s">
        <v>101</v>
      </c>
      <c r="W80" t="s">
        <v>102</v>
      </c>
      <c r="X80" t="s">
        <v>222</v>
      </c>
      <c r="Y80" t="s">
        <v>119</v>
      </c>
    </row>
    <row r="81" spans="1:25">
      <c r="A81">
        <v>10329</v>
      </c>
      <c r="B81">
        <v>20</v>
      </c>
      <c r="C81">
        <v>100</v>
      </c>
      <c r="D81">
        <v>2</v>
      </c>
      <c r="E81">
        <v>3176</v>
      </c>
      <c r="F81" t="s">
        <v>223</v>
      </c>
      <c r="G81" t="s">
        <v>93</v>
      </c>
      <c r="H81">
        <v>4</v>
      </c>
      <c r="I81">
        <v>11</v>
      </c>
      <c r="J81">
        <v>2004</v>
      </c>
      <c r="K81" t="s">
        <v>94</v>
      </c>
      <c r="L81">
        <v>118</v>
      </c>
      <c r="M81" t="s">
        <v>401</v>
      </c>
      <c r="N81" t="s">
        <v>96</v>
      </c>
      <c r="O81">
        <v>2125557818</v>
      </c>
      <c r="P81" t="s">
        <v>97</v>
      </c>
      <c r="R81" t="s">
        <v>98</v>
      </c>
      <c r="S81" t="s">
        <v>99</v>
      </c>
      <c r="T81">
        <v>10022</v>
      </c>
      <c r="U81" t="s">
        <v>100</v>
      </c>
      <c r="V81" t="s">
        <v>101</v>
      </c>
      <c r="W81" t="s">
        <v>102</v>
      </c>
      <c r="X81" t="s">
        <v>103</v>
      </c>
      <c r="Y81" t="s">
        <v>119</v>
      </c>
    </row>
    <row r="82" spans="1:25">
      <c r="A82">
        <v>10339</v>
      </c>
      <c r="B82">
        <v>40</v>
      </c>
      <c r="C82">
        <v>68.92</v>
      </c>
      <c r="D82">
        <v>4</v>
      </c>
      <c r="E82">
        <v>2756.8</v>
      </c>
      <c r="F82" t="s">
        <v>422</v>
      </c>
      <c r="G82" t="s">
        <v>93</v>
      </c>
      <c r="H82">
        <v>4</v>
      </c>
      <c r="I82">
        <v>11</v>
      </c>
      <c r="J82">
        <v>2004</v>
      </c>
      <c r="K82" t="s">
        <v>94</v>
      </c>
      <c r="L82">
        <v>118</v>
      </c>
      <c r="M82" t="s">
        <v>401</v>
      </c>
      <c r="N82" t="s">
        <v>338</v>
      </c>
      <c r="O82" t="s">
        <v>339</v>
      </c>
      <c r="P82" t="s">
        <v>340</v>
      </c>
      <c r="R82" t="s">
        <v>341</v>
      </c>
      <c r="S82" t="s">
        <v>342</v>
      </c>
      <c r="T82" t="s">
        <v>343</v>
      </c>
      <c r="U82" t="s">
        <v>288</v>
      </c>
      <c r="V82" t="s">
        <v>288</v>
      </c>
      <c r="W82" t="s">
        <v>344</v>
      </c>
      <c r="X82" t="s">
        <v>345</v>
      </c>
      <c r="Y82" t="s">
        <v>104</v>
      </c>
    </row>
    <row r="83" spans="1:25">
      <c r="A83">
        <v>10361</v>
      </c>
      <c r="B83">
        <v>26</v>
      </c>
      <c r="C83">
        <v>51.15</v>
      </c>
      <c r="D83">
        <v>8</v>
      </c>
      <c r="E83">
        <v>1329.9</v>
      </c>
      <c r="F83" t="s">
        <v>233</v>
      </c>
      <c r="G83" t="s">
        <v>93</v>
      </c>
      <c r="H83">
        <v>4</v>
      </c>
      <c r="I83">
        <v>12</v>
      </c>
      <c r="J83">
        <v>2004</v>
      </c>
      <c r="K83" t="s">
        <v>94</v>
      </c>
      <c r="L83">
        <v>118</v>
      </c>
      <c r="M83" t="s">
        <v>401</v>
      </c>
      <c r="N83" t="s">
        <v>234</v>
      </c>
      <c r="O83" t="s">
        <v>235</v>
      </c>
      <c r="P83" t="s">
        <v>236</v>
      </c>
      <c r="Q83" t="s">
        <v>237</v>
      </c>
      <c r="R83" t="s">
        <v>238</v>
      </c>
      <c r="S83" t="s">
        <v>239</v>
      </c>
      <c r="T83">
        <v>2067</v>
      </c>
      <c r="U83" t="s">
        <v>168</v>
      </c>
      <c r="V83" t="s">
        <v>169</v>
      </c>
      <c r="W83" t="s">
        <v>240</v>
      </c>
      <c r="X83" t="s">
        <v>241</v>
      </c>
      <c r="Y83" t="s">
        <v>104</v>
      </c>
    </row>
    <row r="84" spans="1:25">
      <c r="A84">
        <v>10374</v>
      </c>
      <c r="B84">
        <v>39</v>
      </c>
      <c r="C84">
        <v>100</v>
      </c>
      <c r="D84">
        <v>5</v>
      </c>
      <c r="E84">
        <v>5288.01</v>
      </c>
      <c r="F84" s="4">
        <v>38385</v>
      </c>
      <c r="G84" t="s">
        <v>93</v>
      </c>
      <c r="H84">
        <v>1</v>
      </c>
      <c r="I84">
        <v>2</v>
      </c>
      <c r="J84">
        <v>2005</v>
      </c>
      <c r="K84" t="s">
        <v>94</v>
      </c>
      <c r="L84">
        <v>118</v>
      </c>
      <c r="M84" t="s">
        <v>401</v>
      </c>
      <c r="N84" t="s">
        <v>296</v>
      </c>
      <c r="O84" t="s">
        <v>297</v>
      </c>
      <c r="P84" t="s">
        <v>298</v>
      </c>
      <c r="R84" t="s">
        <v>299</v>
      </c>
      <c r="S84" t="s">
        <v>300</v>
      </c>
      <c r="T84">
        <v>4101</v>
      </c>
      <c r="U84" t="s">
        <v>168</v>
      </c>
      <c r="V84" t="s">
        <v>169</v>
      </c>
      <c r="W84" t="s">
        <v>301</v>
      </c>
      <c r="X84" t="s">
        <v>302</v>
      </c>
      <c r="Y84" t="s">
        <v>119</v>
      </c>
    </row>
    <row r="85" spans="1:25">
      <c r="A85">
        <v>10388</v>
      </c>
      <c r="B85">
        <v>50</v>
      </c>
      <c r="C85">
        <v>44.51</v>
      </c>
      <c r="D85">
        <v>5</v>
      </c>
      <c r="E85">
        <v>2225.5</v>
      </c>
      <c r="F85" s="4">
        <v>38414</v>
      </c>
      <c r="G85" t="s">
        <v>93</v>
      </c>
      <c r="H85">
        <v>1</v>
      </c>
      <c r="I85">
        <v>3</v>
      </c>
      <c r="J85">
        <v>2005</v>
      </c>
      <c r="K85" t="s">
        <v>94</v>
      </c>
      <c r="L85">
        <v>118</v>
      </c>
      <c r="M85" t="s">
        <v>401</v>
      </c>
      <c r="N85" t="s">
        <v>242</v>
      </c>
      <c r="O85">
        <v>5085552555</v>
      </c>
      <c r="P85" t="s">
        <v>243</v>
      </c>
      <c r="R85" t="s">
        <v>244</v>
      </c>
      <c r="S85" t="s">
        <v>200</v>
      </c>
      <c r="T85">
        <v>50553</v>
      </c>
      <c r="U85" t="s">
        <v>100</v>
      </c>
      <c r="V85" t="s">
        <v>101</v>
      </c>
      <c r="W85" t="s">
        <v>245</v>
      </c>
      <c r="X85" t="s">
        <v>246</v>
      </c>
      <c r="Y85" t="s">
        <v>104</v>
      </c>
    </row>
    <row r="86" spans="1:25">
      <c r="A86">
        <v>10402</v>
      </c>
      <c r="B86">
        <v>45</v>
      </c>
      <c r="C86">
        <v>100</v>
      </c>
      <c r="D86">
        <v>1</v>
      </c>
      <c r="E86">
        <v>5833.8</v>
      </c>
      <c r="F86" s="4">
        <v>38537</v>
      </c>
      <c r="G86" t="s">
        <v>93</v>
      </c>
      <c r="H86">
        <v>2</v>
      </c>
      <c r="I86">
        <v>4</v>
      </c>
      <c r="J86">
        <v>2005</v>
      </c>
      <c r="K86" t="s">
        <v>94</v>
      </c>
      <c r="L86">
        <v>118</v>
      </c>
      <c r="M86" t="s">
        <v>401</v>
      </c>
      <c r="N86" t="s">
        <v>156</v>
      </c>
      <c r="O86" t="s">
        <v>157</v>
      </c>
      <c r="P86" t="s">
        <v>158</v>
      </c>
      <c r="R86" t="s">
        <v>116</v>
      </c>
      <c r="T86">
        <v>75016</v>
      </c>
      <c r="U86" t="s">
        <v>109</v>
      </c>
      <c r="V86" t="s">
        <v>110</v>
      </c>
      <c r="W86" t="s">
        <v>159</v>
      </c>
      <c r="X86" t="s">
        <v>160</v>
      </c>
      <c r="Y86" t="s">
        <v>119</v>
      </c>
    </row>
    <row r="87" spans="1:25">
      <c r="A87">
        <v>10417</v>
      </c>
      <c r="B87">
        <v>45</v>
      </c>
      <c r="C87">
        <v>100</v>
      </c>
      <c r="D87">
        <v>5</v>
      </c>
      <c r="E87">
        <v>5887.35</v>
      </c>
      <c r="F87" t="s">
        <v>255</v>
      </c>
      <c r="G87" t="s">
        <v>256</v>
      </c>
      <c r="H87">
        <v>2</v>
      </c>
      <c r="I87">
        <v>5</v>
      </c>
      <c r="J87">
        <v>2005</v>
      </c>
      <c r="K87" t="s">
        <v>94</v>
      </c>
      <c r="L87">
        <v>118</v>
      </c>
      <c r="M87" t="s">
        <v>401</v>
      </c>
      <c r="N87" t="s">
        <v>257</v>
      </c>
      <c r="O87" t="s">
        <v>258</v>
      </c>
      <c r="P87" t="s">
        <v>259</v>
      </c>
      <c r="R87" t="s">
        <v>260</v>
      </c>
      <c r="T87">
        <v>28034</v>
      </c>
      <c r="U87" t="s">
        <v>261</v>
      </c>
      <c r="V87" t="s">
        <v>110</v>
      </c>
      <c r="W87" t="s">
        <v>262</v>
      </c>
      <c r="X87" t="s">
        <v>263</v>
      </c>
      <c r="Y87" t="s">
        <v>119</v>
      </c>
    </row>
    <row r="88" spans="1:25">
      <c r="A88">
        <v>10107</v>
      </c>
      <c r="B88">
        <v>27</v>
      </c>
      <c r="C88">
        <v>100</v>
      </c>
      <c r="D88">
        <v>4</v>
      </c>
      <c r="E88">
        <v>6065.55</v>
      </c>
      <c r="F88" t="s">
        <v>92</v>
      </c>
      <c r="G88" t="s">
        <v>93</v>
      </c>
      <c r="H88">
        <v>1</v>
      </c>
      <c r="I88">
        <v>2</v>
      </c>
      <c r="J88">
        <v>2003</v>
      </c>
      <c r="K88" t="s">
        <v>94</v>
      </c>
      <c r="L88">
        <v>193</v>
      </c>
      <c r="M88" t="s">
        <v>423</v>
      </c>
      <c r="N88" t="s">
        <v>96</v>
      </c>
      <c r="O88">
        <v>2125557818</v>
      </c>
      <c r="P88" t="s">
        <v>97</v>
      </c>
      <c r="R88" t="s">
        <v>98</v>
      </c>
      <c r="S88" t="s">
        <v>99</v>
      </c>
      <c r="T88">
        <v>10022</v>
      </c>
      <c r="U88" t="s">
        <v>100</v>
      </c>
      <c r="V88" t="s">
        <v>101</v>
      </c>
      <c r="W88" t="s">
        <v>102</v>
      </c>
      <c r="X88" t="s">
        <v>103</v>
      </c>
      <c r="Y88" t="s">
        <v>119</v>
      </c>
    </row>
    <row r="89" spans="1:25">
      <c r="A89">
        <v>10120</v>
      </c>
      <c r="B89">
        <v>46</v>
      </c>
      <c r="C89">
        <v>100</v>
      </c>
      <c r="D89">
        <v>2</v>
      </c>
      <c r="E89">
        <v>9264.86</v>
      </c>
      <c r="F89" t="s">
        <v>402</v>
      </c>
      <c r="G89" t="s">
        <v>93</v>
      </c>
      <c r="H89">
        <v>2</v>
      </c>
      <c r="I89">
        <v>4</v>
      </c>
      <c r="J89">
        <v>2003</v>
      </c>
      <c r="K89" t="s">
        <v>94</v>
      </c>
      <c r="L89">
        <v>193</v>
      </c>
      <c r="M89" t="s">
        <v>423</v>
      </c>
      <c r="N89" t="s">
        <v>162</v>
      </c>
      <c r="O89" t="s">
        <v>163</v>
      </c>
      <c r="P89" t="s">
        <v>164</v>
      </c>
      <c r="Q89" t="s">
        <v>165</v>
      </c>
      <c r="R89" t="s">
        <v>166</v>
      </c>
      <c r="S89" t="s">
        <v>167</v>
      </c>
      <c r="T89">
        <v>3004</v>
      </c>
      <c r="U89" t="s">
        <v>168</v>
      </c>
      <c r="V89" t="s">
        <v>169</v>
      </c>
      <c r="W89" t="s">
        <v>170</v>
      </c>
      <c r="X89" t="s">
        <v>171</v>
      </c>
      <c r="Y89" t="s">
        <v>232</v>
      </c>
    </row>
    <row r="90" spans="1:25">
      <c r="A90">
        <v>10134</v>
      </c>
      <c r="B90">
        <v>31</v>
      </c>
      <c r="C90">
        <v>100</v>
      </c>
      <c r="D90">
        <v>4</v>
      </c>
      <c r="E90">
        <v>7023.98</v>
      </c>
      <c r="F90" s="4">
        <v>37628</v>
      </c>
      <c r="G90" t="s">
        <v>93</v>
      </c>
      <c r="H90">
        <v>3</v>
      </c>
      <c r="I90">
        <v>7</v>
      </c>
      <c r="J90">
        <v>2003</v>
      </c>
      <c r="K90" t="s">
        <v>94</v>
      </c>
      <c r="L90">
        <v>193</v>
      </c>
      <c r="M90" t="s">
        <v>423</v>
      </c>
      <c r="N90" t="s">
        <v>113</v>
      </c>
      <c r="O90" t="s">
        <v>114</v>
      </c>
      <c r="P90" t="s">
        <v>115</v>
      </c>
      <c r="R90" t="s">
        <v>116</v>
      </c>
      <c r="T90">
        <v>75508</v>
      </c>
      <c r="U90" t="s">
        <v>109</v>
      </c>
      <c r="V90" t="s">
        <v>110</v>
      </c>
      <c r="W90" t="s">
        <v>117</v>
      </c>
      <c r="X90" t="s">
        <v>118</v>
      </c>
      <c r="Y90" t="s">
        <v>232</v>
      </c>
    </row>
    <row r="91" spans="1:25">
      <c r="A91">
        <v>10145</v>
      </c>
      <c r="B91">
        <v>33</v>
      </c>
      <c r="C91">
        <v>100</v>
      </c>
      <c r="D91">
        <v>8</v>
      </c>
      <c r="E91">
        <v>5176.38</v>
      </c>
      <c r="F91" t="s">
        <v>120</v>
      </c>
      <c r="G91" t="s">
        <v>93</v>
      </c>
      <c r="H91">
        <v>3</v>
      </c>
      <c r="I91">
        <v>8</v>
      </c>
      <c r="J91">
        <v>2003</v>
      </c>
      <c r="K91" t="s">
        <v>94</v>
      </c>
      <c r="L91">
        <v>193</v>
      </c>
      <c r="M91" t="s">
        <v>423</v>
      </c>
      <c r="N91" t="s">
        <v>121</v>
      </c>
      <c r="O91">
        <v>6265557265</v>
      </c>
      <c r="P91" t="s">
        <v>122</v>
      </c>
      <c r="R91" t="s">
        <v>123</v>
      </c>
      <c r="S91" t="s">
        <v>124</v>
      </c>
      <c r="T91">
        <v>90003</v>
      </c>
      <c r="U91" t="s">
        <v>100</v>
      </c>
      <c r="V91" t="s">
        <v>101</v>
      </c>
      <c r="W91" t="s">
        <v>125</v>
      </c>
      <c r="X91" t="s">
        <v>126</v>
      </c>
      <c r="Y91" t="s">
        <v>119</v>
      </c>
    </row>
    <row r="92" spans="1:25">
      <c r="A92">
        <v>10159</v>
      </c>
      <c r="B92">
        <v>22</v>
      </c>
      <c r="C92">
        <v>100</v>
      </c>
      <c r="D92">
        <v>16</v>
      </c>
      <c r="E92">
        <v>4132.7</v>
      </c>
      <c r="F92" s="4">
        <v>37904</v>
      </c>
      <c r="G92" t="s">
        <v>93</v>
      </c>
      <c r="H92">
        <v>4</v>
      </c>
      <c r="I92">
        <v>10</v>
      </c>
      <c r="J92">
        <v>2003</v>
      </c>
      <c r="K92" t="s">
        <v>94</v>
      </c>
      <c r="L92">
        <v>193</v>
      </c>
      <c r="M92" t="s">
        <v>423</v>
      </c>
      <c r="N92" t="s">
        <v>127</v>
      </c>
      <c r="O92">
        <v>6505551386</v>
      </c>
      <c r="P92" t="s">
        <v>128</v>
      </c>
      <c r="R92" t="s">
        <v>129</v>
      </c>
      <c r="S92" t="s">
        <v>124</v>
      </c>
      <c r="U92" t="s">
        <v>100</v>
      </c>
      <c r="V92" t="s">
        <v>101</v>
      </c>
      <c r="W92" t="s">
        <v>130</v>
      </c>
      <c r="X92" t="s">
        <v>126</v>
      </c>
      <c r="Y92" t="s">
        <v>119</v>
      </c>
    </row>
    <row r="93" spans="1:25">
      <c r="A93">
        <v>10168</v>
      </c>
      <c r="B93">
        <v>20</v>
      </c>
      <c r="C93">
        <v>100</v>
      </c>
      <c r="D93">
        <v>3</v>
      </c>
      <c r="E93">
        <v>4183</v>
      </c>
      <c r="F93" t="s">
        <v>131</v>
      </c>
      <c r="G93" t="s">
        <v>93</v>
      </c>
      <c r="H93">
        <v>4</v>
      </c>
      <c r="I93">
        <v>10</v>
      </c>
      <c r="J93">
        <v>2003</v>
      </c>
      <c r="K93" t="s">
        <v>94</v>
      </c>
      <c r="L93">
        <v>193</v>
      </c>
      <c r="M93" t="s">
        <v>423</v>
      </c>
      <c r="N93" t="s">
        <v>132</v>
      </c>
      <c r="O93">
        <v>6505556809</v>
      </c>
      <c r="P93" t="s">
        <v>133</v>
      </c>
      <c r="R93" t="s">
        <v>134</v>
      </c>
      <c r="S93" t="s">
        <v>124</v>
      </c>
      <c r="T93">
        <v>94217</v>
      </c>
      <c r="U93" t="s">
        <v>100</v>
      </c>
      <c r="V93" t="s">
        <v>101</v>
      </c>
      <c r="W93" t="s">
        <v>135</v>
      </c>
      <c r="X93" t="s">
        <v>136</v>
      </c>
      <c r="Y93" t="s">
        <v>119</v>
      </c>
    </row>
    <row r="94" spans="1:25">
      <c r="A94">
        <v>10180</v>
      </c>
      <c r="B94">
        <v>41</v>
      </c>
      <c r="C94">
        <v>100</v>
      </c>
      <c r="D94">
        <v>11</v>
      </c>
      <c r="E94">
        <v>8892.9</v>
      </c>
      <c r="F94" s="4">
        <v>37936</v>
      </c>
      <c r="G94" t="s">
        <v>93</v>
      </c>
      <c r="H94">
        <v>4</v>
      </c>
      <c r="I94">
        <v>11</v>
      </c>
      <c r="J94">
        <v>2003</v>
      </c>
      <c r="K94" t="s">
        <v>94</v>
      </c>
      <c r="L94">
        <v>193</v>
      </c>
      <c r="M94" t="s">
        <v>423</v>
      </c>
      <c r="N94" t="s">
        <v>137</v>
      </c>
      <c r="O94" t="s">
        <v>138</v>
      </c>
      <c r="P94" t="s">
        <v>139</v>
      </c>
      <c r="R94" t="s">
        <v>140</v>
      </c>
      <c r="T94">
        <v>59000</v>
      </c>
      <c r="U94" t="s">
        <v>109</v>
      </c>
      <c r="V94" t="s">
        <v>110</v>
      </c>
      <c r="W94" t="s">
        <v>141</v>
      </c>
      <c r="X94" t="s">
        <v>142</v>
      </c>
      <c r="Y94" t="s">
        <v>232</v>
      </c>
    </row>
    <row r="95" spans="1:25">
      <c r="A95">
        <v>10188</v>
      </c>
      <c r="B95">
        <v>45</v>
      </c>
      <c r="C95">
        <v>100</v>
      </c>
      <c r="D95">
        <v>3</v>
      </c>
      <c r="E95">
        <v>8714.7000000000007</v>
      </c>
      <c r="F95" t="s">
        <v>143</v>
      </c>
      <c r="G95" t="s">
        <v>93</v>
      </c>
      <c r="H95">
        <v>4</v>
      </c>
      <c r="I95">
        <v>11</v>
      </c>
      <c r="J95">
        <v>2003</v>
      </c>
      <c r="K95" t="s">
        <v>94</v>
      </c>
      <c r="L95">
        <v>193</v>
      </c>
      <c r="M95" t="s">
        <v>423</v>
      </c>
      <c r="N95" t="s">
        <v>144</v>
      </c>
      <c r="O95" t="s">
        <v>145</v>
      </c>
      <c r="P95" t="s">
        <v>146</v>
      </c>
      <c r="R95" t="s">
        <v>147</v>
      </c>
      <c r="T95" t="s">
        <v>148</v>
      </c>
      <c r="U95" t="s">
        <v>149</v>
      </c>
      <c r="V95" t="s">
        <v>110</v>
      </c>
      <c r="W95" t="s">
        <v>150</v>
      </c>
      <c r="X95" t="s">
        <v>151</v>
      </c>
      <c r="Y95" t="s">
        <v>232</v>
      </c>
    </row>
    <row r="96" spans="1:25">
      <c r="A96">
        <v>10201</v>
      </c>
      <c r="B96">
        <v>49</v>
      </c>
      <c r="C96">
        <v>100</v>
      </c>
      <c r="D96">
        <v>4</v>
      </c>
      <c r="E96">
        <v>8065.89</v>
      </c>
      <c r="F96" s="4">
        <v>37633</v>
      </c>
      <c r="G96" t="s">
        <v>93</v>
      </c>
      <c r="H96">
        <v>4</v>
      </c>
      <c r="I96">
        <v>12</v>
      </c>
      <c r="J96">
        <v>2003</v>
      </c>
      <c r="K96" t="s">
        <v>94</v>
      </c>
      <c r="L96">
        <v>193</v>
      </c>
      <c r="M96" t="s">
        <v>423</v>
      </c>
      <c r="N96" t="s">
        <v>152</v>
      </c>
      <c r="O96">
        <v>6505555787</v>
      </c>
      <c r="P96" t="s">
        <v>153</v>
      </c>
      <c r="R96" t="s">
        <v>129</v>
      </c>
      <c r="S96" t="s">
        <v>124</v>
      </c>
      <c r="U96" t="s">
        <v>100</v>
      </c>
      <c r="V96" t="s">
        <v>101</v>
      </c>
      <c r="W96" t="s">
        <v>154</v>
      </c>
      <c r="X96" t="s">
        <v>126</v>
      </c>
      <c r="Y96" t="s">
        <v>232</v>
      </c>
    </row>
    <row r="97" spans="1:25">
      <c r="A97">
        <v>10210</v>
      </c>
      <c r="B97">
        <v>34</v>
      </c>
      <c r="C97">
        <v>100</v>
      </c>
      <c r="D97">
        <v>1</v>
      </c>
      <c r="E97">
        <v>6123.4</v>
      </c>
      <c r="F97" s="4">
        <v>38322</v>
      </c>
      <c r="G97" t="s">
        <v>93</v>
      </c>
      <c r="H97">
        <v>1</v>
      </c>
      <c r="I97">
        <v>1</v>
      </c>
      <c r="J97">
        <v>2004</v>
      </c>
      <c r="K97" t="s">
        <v>94</v>
      </c>
      <c r="L97">
        <v>193</v>
      </c>
      <c r="M97" t="s">
        <v>423</v>
      </c>
      <c r="N97" t="s">
        <v>403</v>
      </c>
      <c r="O97" t="s">
        <v>404</v>
      </c>
      <c r="P97" t="s">
        <v>405</v>
      </c>
      <c r="R97" t="s">
        <v>406</v>
      </c>
      <c r="S97" t="s">
        <v>406</v>
      </c>
      <c r="T97" t="s">
        <v>407</v>
      </c>
      <c r="U97" t="s">
        <v>288</v>
      </c>
      <c r="V97" t="s">
        <v>288</v>
      </c>
      <c r="W97" t="s">
        <v>408</v>
      </c>
      <c r="X97" t="s">
        <v>409</v>
      </c>
      <c r="Y97" t="s">
        <v>119</v>
      </c>
    </row>
    <row r="98" spans="1:25">
      <c r="A98">
        <v>10223</v>
      </c>
      <c r="B98">
        <v>49</v>
      </c>
      <c r="C98">
        <v>100</v>
      </c>
      <c r="D98">
        <v>3</v>
      </c>
      <c r="E98">
        <v>9774.0300000000007</v>
      </c>
      <c r="F98" t="s">
        <v>161</v>
      </c>
      <c r="G98" t="s">
        <v>93</v>
      </c>
      <c r="H98">
        <v>1</v>
      </c>
      <c r="I98">
        <v>2</v>
      </c>
      <c r="J98">
        <v>2004</v>
      </c>
      <c r="K98" t="s">
        <v>94</v>
      </c>
      <c r="L98">
        <v>193</v>
      </c>
      <c r="M98" t="s">
        <v>423</v>
      </c>
      <c r="N98" t="s">
        <v>162</v>
      </c>
      <c r="O98" t="s">
        <v>163</v>
      </c>
      <c r="P98" t="s">
        <v>164</v>
      </c>
      <c r="Q98" t="s">
        <v>165</v>
      </c>
      <c r="R98" t="s">
        <v>166</v>
      </c>
      <c r="S98" t="s">
        <v>167</v>
      </c>
      <c r="T98">
        <v>3004</v>
      </c>
      <c r="U98" t="s">
        <v>168</v>
      </c>
      <c r="V98" t="s">
        <v>169</v>
      </c>
      <c r="W98" t="s">
        <v>170</v>
      </c>
      <c r="X98" t="s">
        <v>171</v>
      </c>
      <c r="Y98" t="s">
        <v>232</v>
      </c>
    </row>
    <row r="99" spans="1:25">
      <c r="A99">
        <v>10237</v>
      </c>
      <c r="B99">
        <v>39</v>
      </c>
      <c r="C99">
        <v>100</v>
      </c>
      <c r="D99">
        <v>9</v>
      </c>
      <c r="E99">
        <v>7023.9</v>
      </c>
      <c r="F99" s="4">
        <v>38111</v>
      </c>
      <c r="G99" t="s">
        <v>93</v>
      </c>
      <c r="H99">
        <v>2</v>
      </c>
      <c r="I99">
        <v>4</v>
      </c>
      <c r="J99">
        <v>2004</v>
      </c>
      <c r="K99" t="s">
        <v>94</v>
      </c>
      <c r="L99">
        <v>193</v>
      </c>
      <c r="M99" t="s">
        <v>423</v>
      </c>
      <c r="N99" t="s">
        <v>172</v>
      </c>
      <c r="O99">
        <v>2125551500</v>
      </c>
      <c r="P99" t="s">
        <v>173</v>
      </c>
      <c r="Q99" t="s">
        <v>174</v>
      </c>
      <c r="R99" t="s">
        <v>98</v>
      </c>
      <c r="S99" t="s">
        <v>99</v>
      </c>
      <c r="T99">
        <v>10022</v>
      </c>
      <c r="U99" t="s">
        <v>100</v>
      </c>
      <c r="V99" t="s">
        <v>101</v>
      </c>
      <c r="W99" t="s">
        <v>175</v>
      </c>
      <c r="X99" t="s">
        <v>176</v>
      </c>
      <c r="Y99" t="s">
        <v>232</v>
      </c>
    </row>
    <row r="100" spans="1:25">
      <c r="A100">
        <v>10251</v>
      </c>
      <c r="B100">
        <v>43</v>
      </c>
      <c r="C100">
        <v>100</v>
      </c>
      <c r="D100">
        <v>4</v>
      </c>
      <c r="E100">
        <v>7078.23</v>
      </c>
      <c r="F100" t="s">
        <v>177</v>
      </c>
      <c r="G100" t="s">
        <v>93</v>
      </c>
      <c r="H100">
        <v>2</v>
      </c>
      <c r="I100">
        <v>5</v>
      </c>
      <c r="J100">
        <v>2004</v>
      </c>
      <c r="K100" t="s">
        <v>94</v>
      </c>
      <c r="L100">
        <v>193</v>
      </c>
      <c r="M100" t="s">
        <v>423</v>
      </c>
      <c r="N100" t="s">
        <v>178</v>
      </c>
      <c r="O100">
        <v>2015559350</v>
      </c>
      <c r="P100" t="s">
        <v>179</v>
      </c>
      <c r="R100" t="s">
        <v>180</v>
      </c>
      <c r="S100" t="s">
        <v>181</v>
      </c>
      <c r="T100">
        <v>94019</v>
      </c>
      <c r="U100" t="s">
        <v>100</v>
      </c>
      <c r="V100" t="s">
        <v>101</v>
      </c>
      <c r="W100" t="s">
        <v>130</v>
      </c>
      <c r="X100" t="s">
        <v>182</v>
      </c>
      <c r="Y100" t="s">
        <v>232</v>
      </c>
    </row>
    <row r="101" spans="1:25">
      <c r="A101">
        <v>10263</v>
      </c>
      <c r="B101">
        <v>41</v>
      </c>
      <c r="C101">
        <v>100</v>
      </c>
      <c r="D101">
        <v>4</v>
      </c>
      <c r="E101">
        <v>8336.94</v>
      </c>
      <c r="F101" t="s">
        <v>183</v>
      </c>
      <c r="G101" t="s">
        <v>93</v>
      </c>
      <c r="H101">
        <v>2</v>
      </c>
      <c r="I101">
        <v>6</v>
      </c>
      <c r="J101">
        <v>2004</v>
      </c>
      <c r="K101" t="s">
        <v>94</v>
      </c>
      <c r="L101">
        <v>193</v>
      </c>
      <c r="M101" t="s">
        <v>423</v>
      </c>
      <c r="N101" t="s">
        <v>184</v>
      </c>
      <c r="O101">
        <v>2035552570</v>
      </c>
      <c r="P101" t="s">
        <v>185</v>
      </c>
      <c r="R101" t="s">
        <v>186</v>
      </c>
      <c r="S101" t="s">
        <v>187</v>
      </c>
      <c r="T101">
        <v>97562</v>
      </c>
      <c r="U101" t="s">
        <v>100</v>
      </c>
      <c r="V101" t="s">
        <v>101</v>
      </c>
      <c r="W101" t="s">
        <v>188</v>
      </c>
      <c r="X101" t="s">
        <v>126</v>
      </c>
      <c r="Y101" t="s">
        <v>232</v>
      </c>
    </row>
    <row r="102" spans="1:25">
      <c r="A102">
        <v>10275</v>
      </c>
      <c r="B102">
        <v>36</v>
      </c>
      <c r="C102">
        <v>100</v>
      </c>
      <c r="D102">
        <v>3</v>
      </c>
      <c r="E102">
        <v>6901.92</v>
      </c>
      <c r="F102" t="s">
        <v>189</v>
      </c>
      <c r="G102" t="s">
        <v>93</v>
      </c>
      <c r="H102">
        <v>3</v>
      </c>
      <c r="I102">
        <v>7</v>
      </c>
      <c r="J102">
        <v>2004</v>
      </c>
      <c r="K102" t="s">
        <v>94</v>
      </c>
      <c r="L102">
        <v>193</v>
      </c>
      <c r="M102" t="s">
        <v>423</v>
      </c>
      <c r="N102" t="s">
        <v>190</v>
      </c>
      <c r="O102" t="s">
        <v>191</v>
      </c>
      <c r="P102" t="s">
        <v>192</v>
      </c>
      <c r="R102" t="s">
        <v>193</v>
      </c>
      <c r="T102">
        <v>44000</v>
      </c>
      <c r="U102" t="s">
        <v>109</v>
      </c>
      <c r="V102" t="s">
        <v>110</v>
      </c>
      <c r="W102" t="s">
        <v>194</v>
      </c>
      <c r="X102" t="s">
        <v>195</v>
      </c>
      <c r="Y102" t="s">
        <v>119</v>
      </c>
    </row>
    <row r="103" spans="1:25">
      <c r="A103">
        <v>10285</v>
      </c>
      <c r="B103">
        <v>27</v>
      </c>
      <c r="C103">
        <v>100</v>
      </c>
      <c r="D103">
        <v>8</v>
      </c>
      <c r="E103">
        <v>5438.07</v>
      </c>
      <c r="F103" t="s">
        <v>196</v>
      </c>
      <c r="G103" t="s">
        <v>93</v>
      </c>
      <c r="H103">
        <v>3</v>
      </c>
      <c r="I103">
        <v>8</v>
      </c>
      <c r="J103">
        <v>2004</v>
      </c>
      <c r="K103" t="s">
        <v>94</v>
      </c>
      <c r="L103">
        <v>193</v>
      </c>
      <c r="M103" t="s">
        <v>423</v>
      </c>
      <c r="N103" t="s">
        <v>197</v>
      </c>
      <c r="O103">
        <v>6175558555</v>
      </c>
      <c r="P103" t="s">
        <v>198</v>
      </c>
      <c r="R103" t="s">
        <v>199</v>
      </c>
      <c r="S103" t="s">
        <v>200</v>
      </c>
      <c r="T103">
        <v>51247</v>
      </c>
      <c r="U103" t="s">
        <v>100</v>
      </c>
      <c r="V103" t="s">
        <v>101</v>
      </c>
      <c r="W103" t="s">
        <v>201</v>
      </c>
      <c r="X103" t="s">
        <v>202</v>
      </c>
      <c r="Y103" t="s">
        <v>119</v>
      </c>
    </row>
    <row r="104" spans="1:25">
      <c r="A104">
        <v>10299</v>
      </c>
      <c r="B104">
        <v>29</v>
      </c>
      <c r="C104">
        <v>100</v>
      </c>
      <c r="D104">
        <v>11</v>
      </c>
      <c r="E104">
        <v>6683.34</v>
      </c>
      <c r="F104" t="s">
        <v>203</v>
      </c>
      <c r="G104" t="s">
        <v>93</v>
      </c>
      <c r="H104">
        <v>3</v>
      </c>
      <c r="I104">
        <v>9</v>
      </c>
      <c r="J104">
        <v>2004</v>
      </c>
      <c r="K104" t="s">
        <v>94</v>
      </c>
      <c r="L104">
        <v>193</v>
      </c>
      <c r="M104" t="s">
        <v>423</v>
      </c>
      <c r="N104" t="s">
        <v>204</v>
      </c>
      <c r="O104" t="s">
        <v>205</v>
      </c>
      <c r="P104" t="s">
        <v>206</v>
      </c>
      <c r="R104" t="s">
        <v>207</v>
      </c>
      <c r="T104">
        <v>21240</v>
      </c>
      <c r="U104" t="s">
        <v>208</v>
      </c>
      <c r="V104" t="s">
        <v>110</v>
      </c>
      <c r="W104" t="s">
        <v>209</v>
      </c>
      <c r="X104" t="s">
        <v>210</v>
      </c>
      <c r="Y104" t="s">
        <v>119</v>
      </c>
    </row>
    <row r="105" spans="1:25">
      <c r="A105">
        <v>10308</v>
      </c>
      <c r="B105">
        <v>20</v>
      </c>
      <c r="C105">
        <v>100</v>
      </c>
      <c r="D105">
        <v>1</v>
      </c>
      <c r="E105">
        <v>4570.3999999999996</v>
      </c>
      <c r="F105" t="s">
        <v>211</v>
      </c>
      <c r="G105" t="s">
        <v>93</v>
      </c>
      <c r="H105">
        <v>4</v>
      </c>
      <c r="I105">
        <v>10</v>
      </c>
      <c r="J105">
        <v>2004</v>
      </c>
      <c r="K105" t="s">
        <v>94</v>
      </c>
      <c r="L105">
        <v>193</v>
      </c>
      <c r="M105" t="s">
        <v>423</v>
      </c>
      <c r="N105" t="s">
        <v>419</v>
      </c>
      <c r="O105">
        <v>9145554562</v>
      </c>
      <c r="P105" t="s">
        <v>420</v>
      </c>
      <c r="R105" t="s">
        <v>421</v>
      </c>
      <c r="S105" t="s">
        <v>99</v>
      </c>
      <c r="T105">
        <v>24067</v>
      </c>
      <c r="U105" t="s">
        <v>100</v>
      </c>
      <c r="V105" t="s">
        <v>101</v>
      </c>
      <c r="W105" t="s">
        <v>175</v>
      </c>
      <c r="X105" t="s">
        <v>329</v>
      </c>
      <c r="Y105" t="s">
        <v>119</v>
      </c>
    </row>
    <row r="106" spans="1:25">
      <c r="A106">
        <v>10318</v>
      </c>
      <c r="B106">
        <v>37</v>
      </c>
      <c r="C106">
        <v>100</v>
      </c>
      <c r="D106">
        <v>3</v>
      </c>
      <c r="E106">
        <v>7667.14</v>
      </c>
      <c r="F106" s="4">
        <v>38028</v>
      </c>
      <c r="G106" t="s">
        <v>93</v>
      </c>
      <c r="H106">
        <v>4</v>
      </c>
      <c r="I106">
        <v>11</v>
      </c>
      <c r="J106">
        <v>2004</v>
      </c>
      <c r="K106" t="s">
        <v>94</v>
      </c>
      <c r="L106">
        <v>193</v>
      </c>
      <c r="M106" t="s">
        <v>423</v>
      </c>
      <c r="N106" t="s">
        <v>218</v>
      </c>
      <c r="O106">
        <v>2155551555</v>
      </c>
      <c r="P106" t="s">
        <v>219</v>
      </c>
      <c r="R106" t="s">
        <v>220</v>
      </c>
      <c r="S106" t="s">
        <v>221</v>
      </c>
      <c r="T106">
        <v>70267</v>
      </c>
      <c r="U106" t="s">
        <v>100</v>
      </c>
      <c r="V106" t="s">
        <v>101</v>
      </c>
      <c r="W106" t="s">
        <v>102</v>
      </c>
      <c r="X106" t="s">
        <v>222</v>
      </c>
      <c r="Y106" t="s">
        <v>232</v>
      </c>
    </row>
    <row r="107" spans="1:25">
      <c r="A107">
        <v>10329</v>
      </c>
      <c r="B107">
        <v>26</v>
      </c>
      <c r="C107">
        <v>100</v>
      </c>
      <c r="D107">
        <v>3</v>
      </c>
      <c r="E107">
        <v>5868.2</v>
      </c>
      <c r="F107" t="s">
        <v>223</v>
      </c>
      <c r="G107" t="s">
        <v>93</v>
      </c>
      <c r="H107">
        <v>4</v>
      </c>
      <c r="I107">
        <v>11</v>
      </c>
      <c r="J107">
        <v>2004</v>
      </c>
      <c r="K107" t="s">
        <v>94</v>
      </c>
      <c r="L107">
        <v>193</v>
      </c>
      <c r="M107" t="s">
        <v>423</v>
      </c>
      <c r="N107" t="s">
        <v>96</v>
      </c>
      <c r="O107">
        <v>2125557818</v>
      </c>
      <c r="P107" t="s">
        <v>97</v>
      </c>
      <c r="R107" t="s">
        <v>98</v>
      </c>
      <c r="S107" t="s">
        <v>99</v>
      </c>
      <c r="T107">
        <v>10022</v>
      </c>
      <c r="U107" t="s">
        <v>100</v>
      </c>
      <c r="V107" t="s">
        <v>101</v>
      </c>
      <c r="W107" t="s">
        <v>102</v>
      </c>
      <c r="X107" t="s">
        <v>103</v>
      </c>
      <c r="Y107" t="s">
        <v>119</v>
      </c>
    </row>
    <row r="108" spans="1:25">
      <c r="A108">
        <v>10339</v>
      </c>
      <c r="B108">
        <v>39</v>
      </c>
      <c r="C108">
        <v>76.67</v>
      </c>
      <c r="D108">
        <v>3</v>
      </c>
      <c r="E108">
        <v>2990.13</v>
      </c>
      <c r="F108" t="s">
        <v>422</v>
      </c>
      <c r="G108" t="s">
        <v>93</v>
      </c>
      <c r="H108">
        <v>4</v>
      </c>
      <c r="I108">
        <v>11</v>
      </c>
      <c r="J108">
        <v>2004</v>
      </c>
      <c r="K108" t="s">
        <v>94</v>
      </c>
      <c r="L108">
        <v>193</v>
      </c>
      <c r="M108" t="s">
        <v>423</v>
      </c>
      <c r="N108" t="s">
        <v>338</v>
      </c>
      <c r="O108" t="s">
        <v>339</v>
      </c>
      <c r="P108" t="s">
        <v>340</v>
      </c>
      <c r="R108" t="s">
        <v>341</v>
      </c>
      <c r="S108" t="s">
        <v>342</v>
      </c>
      <c r="T108" t="s">
        <v>343</v>
      </c>
      <c r="U108" t="s">
        <v>288</v>
      </c>
      <c r="V108" t="s">
        <v>288</v>
      </c>
      <c r="W108" t="s">
        <v>344</v>
      </c>
      <c r="X108" t="s">
        <v>345</v>
      </c>
      <c r="Y108" t="s">
        <v>104</v>
      </c>
    </row>
    <row r="109" spans="1:25">
      <c r="A109">
        <v>10362</v>
      </c>
      <c r="B109">
        <v>22</v>
      </c>
      <c r="C109">
        <v>100</v>
      </c>
      <c r="D109">
        <v>4</v>
      </c>
      <c r="E109">
        <v>3664.1</v>
      </c>
      <c r="F109" s="4">
        <v>38473</v>
      </c>
      <c r="G109" t="s">
        <v>93</v>
      </c>
      <c r="H109">
        <v>1</v>
      </c>
      <c r="I109">
        <v>1</v>
      </c>
      <c r="J109">
        <v>2005</v>
      </c>
      <c r="K109" t="s">
        <v>94</v>
      </c>
      <c r="L109">
        <v>193</v>
      </c>
      <c r="M109" t="s">
        <v>423</v>
      </c>
      <c r="N109" t="s">
        <v>132</v>
      </c>
      <c r="O109">
        <v>6505556809</v>
      </c>
      <c r="P109" t="s">
        <v>133</v>
      </c>
      <c r="R109" t="s">
        <v>134</v>
      </c>
      <c r="S109" t="s">
        <v>124</v>
      </c>
      <c r="T109">
        <v>94217</v>
      </c>
      <c r="U109" t="s">
        <v>100</v>
      </c>
      <c r="V109" t="s">
        <v>101</v>
      </c>
      <c r="W109" t="s">
        <v>135</v>
      </c>
      <c r="X109" t="s">
        <v>136</v>
      </c>
      <c r="Y109" t="s">
        <v>119</v>
      </c>
    </row>
    <row r="110" spans="1:25">
      <c r="A110">
        <v>10374</v>
      </c>
      <c r="B110">
        <v>22</v>
      </c>
      <c r="C110">
        <v>100</v>
      </c>
      <c r="D110">
        <v>1</v>
      </c>
      <c r="E110">
        <v>3834.38</v>
      </c>
      <c r="F110" s="4">
        <v>38385</v>
      </c>
      <c r="G110" t="s">
        <v>93</v>
      </c>
      <c r="H110">
        <v>1</v>
      </c>
      <c r="I110">
        <v>2</v>
      </c>
      <c r="J110">
        <v>2005</v>
      </c>
      <c r="K110" t="s">
        <v>94</v>
      </c>
      <c r="L110">
        <v>193</v>
      </c>
      <c r="M110" t="s">
        <v>423</v>
      </c>
      <c r="N110" t="s">
        <v>296</v>
      </c>
      <c r="O110" t="s">
        <v>297</v>
      </c>
      <c r="P110" t="s">
        <v>298</v>
      </c>
      <c r="R110" t="s">
        <v>299</v>
      </c>
      <c r="S110" t="s">
        <v>300</v>
      </c>
      <c r="T110">
        <v>4101</v>
      </c>
      <c r="U110" t="s">
        <v>168</v>
      </c>
      <c r="V110" t="s">
        <v>169</v>
      </c>
      <c r="W110" t="s">
        <v>301</v>
      </c>
      <c r="X110" t="s">
        <v>302</v>
      </c>
      <c r="Y110" t="s">
        <v>119</v>
      </c>
    </row>
    <row r="111" spans="1:25">
      <c r="A111">
        <v>10388</v>
      </c>
      <c r="B111">
        <v>21</v>
      </c>
      <c r="C111">
        <v>86.77</v>
      </c>
      <c r="D111">
        <v>7</v>
      </c>
      <c r="E111">
        <v>1822.17</v>
      </c>
      <c r="F111" s="4">
        <v>38414</v>
      </c>
      <c r="G111" t="s">
        <v>93</v>
      </c>
      <c r="H111">
        <v>1</v>
      </c>
      <c r="I111">
        <v>3</v>
      </c>
      <c r="J111">
        <v>2005</v>
      </c>
      <c r="K111" t="s">
        <v>94</v>
      </c>
      <c r="L111">
        <v>193</v>
      </c>
      <c r="M111" t="s">
        <v>423</v>
      </c>
      <c r="N111" t="s">
        <v>242</v>
      </c>
      <c r="O111">
        <v>5085552555</v>
      </c>
      <c r="P111" t="s">
        <v>243</v>
      </c>
      <c r="R111" t="s">
        <v>244</v>
      </c>
      <c r="S111" t="s">
        <v>200</v>
      </c>
      <c r="T111">
        <v>50553</v>
      </c>
      <c r="U111" t="s">
        <v>100</v>
      </c>
      <c r="V111" t="s">
        <v>101</v>
      </c>
      <c r="W111" t="s">
        <v>245</v>
      </c>
      <c r="X111" t="s">
        <v>246</v>
      </c>
      <c r="Y111" t="s">
        <v>104</v>
      </c>
    </row>
    <row r="112" spans="1:25">
      <c r="A112">
        <v>10403</v>
      </c>
      <c r="B112">
        <v>66</v>
      </c>
      <c r="C112">
        <v>100</v>
      </c>
      <c r="D112">
        <v>9</v>
      </c>
      <c r="E112">
        <v>11886.6</v>
      </c>
      <c r="F112" s="4">
        <v>38568</v>
      </c>
      <c r="G112" t="s">
        <v>93</v>
      </c>
      <c r="H112">
        <v>2</v>
      </c>
      <c r="I112">
        <v>4</v>
      </c>
      <c r="J112">
        <v>2005</v>
      </c>
      <c r="K112" t="s">
        <v>94</v>
      </c>
      <c r="L112">
        <v>193</v>
      </c>
      <c r="M112" t="s">
        <v>423</v>
      </c>
      <c r="N112" t="s">
        <v>247</v>
      </c>
      <c r="O112" t="s">
        <v>248</v>
      </c>
      <c r="P112" t="s">
        <v>249</v>
      </c>
      <c r="R112" t="s">
        <v>250</v>
      </c>
      <c r="T112" t="s">
        <v>251</v>
      </c>
      <c r="U112" t="s">
        <v>252</v>
      </c>
      <c r="V112" t="s">
        <v>110</v>
      </c>
      <c r="W112" t="s">
        <v>253</v>
      </c>
      <c r="X112" t="s">
        <v>254</v>
      </c>
      <c r="Y112" t="s">
        <v>232</v>
      </c>
    </row>
    <row r="113" spans="1:25">
      <c r="A113">
        <v>10417</v>
      </c>
      <c r="B113">
        <v>56</v>
      </c>
      <c r="C113">
        <v>100</v>
      </c>
      <c r="D113">
        <v>4</v>
      </c>
      <c r="E113">
        <v>9218.16</v>
      </c>
      <c r="F113" t="s">
        <v>255</v>
      </c>
      <c r="G113" t="s">
        <v>256</v>
      </c>
      <c r="H113">
        <v>2</v>
      </c>
      <c r="I113">
        <v>5</v>
      </c>
      <c r="J113">
        <v>2005</v>
      </c>
      <c r="K113" t="s">
        <v>94</v>
      </c>
      <c r="L113">
        <v>193</v>
      </c>
      <c r="M113" t="s">
        <v>423</v>
      </c>
      <c r="N113" t="s">
        <v>257</v>
      </c>
      <c r="O113" t="s">
        <v>258</v>
      </c>
      <c r="P113" t="s">
        <v>259</v>
      </c>
      <c r="R113" t="s">
        <v>260</v>
      </c>
      <c r="T113">
        <v>28034</v>
      </c>
      <c r="U113" t="s">
        <v>261</v>
      </c>
      <c r="V113" t="s">
        <v>110</v>
      </c>
      <c r="W113" t="s">
        <v>262</v>
      </c>
      <c r="X113" t="s">
        <v>263</v>
      </c>
      <c r="Y113" t="s">
        <v>232</v>
      </c>
    </row>
    <row r="114" spans="1:25">
      <c r="A114">
        <v>10105</v>
      </c>
      <c r="B114">
        <v>50</v>
      </c>
      <c r="C114">
        <v>100</v>
      </c>
      <c r="D114">
        <v>2</v>
      </c>
      <c r="E114">
        <v>7208</v>
      </c>
      <c r="F114" s="4">
        <v>37927</v>
      </c>
      <c r="G114" t="s">
        <v>93</v>
      </c>
      <c r="H114">
        <v>1</v>
      </c>
      <c r="I114">
        <v>2</v>
      </c>
      <c r="J114">
        <v>2003</v>
      </c>
      <c r="K114" t="s">
        <v>265</v>
      </c>
      <c r="L114">
        <v>136</v>
      </c>
      <c r="M114" t="s">
        <v>424</v>
      </c>
      <c r="N114" t="s">
        <v>425</v>
      </c>
      <c r="O114" t="s">
        <v>426</v>
      </c>
      <c r="P114" t="s">
        <v>427</v>
      </c>
      <c r="R114" t="s">
        <v>428</v>
      </c>
      <c r="T114">
        <v>1734</v>
      </c>
      <c r="U114" t="s">
        <v>429</v>
      </c>
      <c r="V114" t="s">
        <v>110</v>
      </c>
      <c r="W114" t="s">
        <v>430</v>
      </c>
      <c r="X114" t="s">
        <v>431</v>
      </c>
      <c r="Y114" t="s">
        <v>232</v>
      </c>
    </row>
    <row r="115" spans="1:25">
      <c r="A115">
        <v>10119</v>
      </c>
      <c r="B115">
        <v>46</v>
      </c>
      <c r="C115">
        <v>100</v>
      </c>
      <c r="D115">
        <v>11</v>
      </c>
      <c r="E115">
        <v>5004.8</v>
      </c>
      <c r="F115" t="s">
        <v>432</v>
      </c>
      <c r="G115" t="s">
        <v>93</v>
      </c>
      <c r="H115">
        <v>2</v>
      </c>
      <c r="I115">
        <v>4</v>
      </c>
      <c r="J115">
        <v>2003</v>
      </c>
      <c r="K115" t="s">
        <v>265</v>
      </c>
      <c r="L115">
        <v>136</v>
      </c>
      <c r="M115" t="s">
        <v>424</v>
      </c>
      <c r="N115" t="s">
        <v>225</v>
      </c>
      <c r="O115" t="s">
        <v>226</v>
      </c>
      <c r="P115" t="s">
        <v>227</v>
      </c>
      <c r="R115" t="s">
        <v>228</v>
      </c>
      <c r="T115">
        <v>5020</v>
      </c>
      <c r="U115" t="s">
        <v>229</v>
      </c>
      <c r="V115" t="s">
        <v>110</v>
      </c>
      <c r="W115" t="s">
        <v>230</v>
      </c>
      <c r="X115" t="s">
        <v>231</v>
      </c>
      <c r="Y115" t="s">
        <v>119</v>
      </c>
    </row>
    <row r="116" spans="1:25">
      <c r="A116">
        <v>10129</v>
      </c>
      <c r="B116">
        <v>33</v>
      </c>
      <c r="C116">
        <v>100</v>
      </c>
      <c r="D116">
        <v>2</v>
      </c>
      <c r="E116">
        <v>4398.24</v>
      </c>
      <c r="F116" s="4">
        <v>37961</v>
      </c>
      <c r="G116" t="s">
        <v>93</v>
      </c>
      <c r="H116">
        <v>2</v>
      </c>
      <c r="I116">
        <v>6</v>
      </c>
      <c r="J116">
        <v>2003</v>
      </c>
      <c r="K116" t="s">
        <v>265</v>
      </c>
      <c r="L116">
        <v>136</v>
      </c>
      <c r="M116" t="s">
        <v>424</v>
      </c>
      <c r="N116" t="s">
        <v>433</v>
      </c>
      <c r="O116" t="s">
        <v>434</v>
      </c>
      <c r="P116" t="s">
        <v>435</v>
      </c>
      <c r="R116" t="s">
        <v>436</v>
      </c>
      <c r="T116" t="s">
        <v>437</v>
      </c>
      <c r="U116" t="s">
        <v>252</v>
      </c>
      <c r="V116" t="s">
        <v>110</v>
      </c>
      <c r="W116" t="s">
        <v>130</v>
      </c>
      <c r="X116" t="s">
        <v>438</v>
      </c>
      <c r="Y116" t="s">
        <v>119</v>
      </c>
    </row>
    <row r="117" spans="1:25">
      <c r="A117">
        <v>10143</v>
      </c>
      <c r="B117">
        <v>49</v>
      </c>
      <c r="C117">
        <v>100</v>
      </c>
      <c r="D117">
        <v>15</v>
      </c>
      <c r="E117">
        <v>5597.76</v>
      </c>
      <c r="F117" s="4">
        <v>37902</v>
      </c>
      <c r="G117" t="s">
        <v>93</v>
      </c>
      <c r="H117">
        <v>3</v>
      </c>
      <c r="I117">
        <v>8</v>
      </c>
      <c r="J117">
        <v>2003</v>
      </c>
      <c r="K117" t="s">
        <v>265</v>
      </c>
      <c r="L117">
        <v>136</v>
      </c>
      <c r="M117" t="s">
        <v>424</v>
      </c>
      <c r="N117" t="s">
        <v>439</v>
      </c>
      <c r="O117">
        <v>5085559555</v>
      </c>
      <c r="P117" t="s">
        <v>440</v>
      </c>
      <c r="R117" t="s">
        <v>244</v>
      </c>
      <c r="S117" t="s">
        <v>200</v>
      </c>
      <c r="T117">
        <v>50553</v>
      </c>
      <c r="U117" t="s">
        <v>100</v>
      </c>
      <c r="V117" t="s">
        <v>101</v>
      </c>
      <c r="W117" t="s">
        <v>441</v>
      </c>
      <c r="X117" t="s">
        <v>442</v>
      </c>
      <c r="Y117" t="s">
        <v>119</v>
      </c>
    </row>
    <row r="118" spans="1:25">
      <c r="A118">
        <v>10155</v>
      </c>
      <c r="B118">
        <v>32</v>
      </c>
      <c r="C118">
        <v>100</v>
      </c>
      <c r="D118">
        <v>13</v>
      </c>
      <c r="E118">
        <v>4526.08</v>
      </c>
      <c r="F118" s="4">
        <v>37782</v>
      </c>
      <c r="G118" t="s">
        <v>93</v>
      </c>
      <c r="H118">
        <v>4</v>
      </c>
      <c r="I118">
        <v>10</v>
      </c>
      <c r="J118">
        <v>2003</v>
      </c>
      <c r="K118" t="s">
        <v>265</v>
      </c>
      <c r="L118">
        <v>136</v>
      </c>
      <c r="M118" t="s">
        <v>424</v>
      </c>
      <c r="N118" t="s">
        <v>204</v>
      </c>
      <c r="O118" t="s">
        <v>205</v>
      </c>
      <c r="P118" t="s">
        <v>206</v>
      </c>
      <c r="R118" t="s">
        <v>207</v>
      </c>
      <c r="T118">
        <v>21240</v>
      </c>
      <c r="U118" t="s">
        <v>208</v>
      </c>
      <c r="V118" t="s">
        <v>110</v>
      </c>
      <c r="W118" t="s">
        <v>209</v>
      </c>
      <c r="X118" t="s">
        <v>210</v>
      </c>
      <c r="Y118" t="s">
        <v>119</v>
      </c>
    </row>
    <row r="119" spans="1:25">
      <c r="A119">
        <v>10167</v>
      </c>
      <c r="B119">
        <v>44</v>
      </c>
      <c r="C119">
        <v>100</v>
      </c>
      <c r="D119">
        <v>9</v>
      </c>
      <c r="E119">
        <v>5924.16</v>
      </c>
      <c r="F119" t="s">
        <v>443</v>
      </c>
      <c r="G119" t="s">
        <v>444</v>
      </c>
      <c r="H119">
        <v>4</v>
      </c>
      <c r="I119">
        <v>10</v>
      </c>
      <c r="J119">
        <v>2003</v>
      </c>
      <c r="K119" t="s">
        <v>265</v>
      </c>
      <c r="L119">
        <v>136</v>
      </c>
      <c r="M119" t="s">
        <v>424</v>
      </c>
      <c r="N119" t="s">
        <v>355</v>
      </c>
      <c r="O119" t="s">
        <v>356</v>
      </c>
      <c r="P119" t="s">
        <v>357</v>
      </c>
      <c r="R119" t="s">
        <v>358</v>
      </c>
      <c r="T119" t="s">
        <v>359</v>
      </c>
      <c r="U119" t="s">
        <v>273</v>
      </c>
      <c r="V119" t="s">
        <v>110</v>
      </c>
      <c r="W119" t="s">
        <v>360</v>
      </c>
      <c r="X119" t="s">
        <v>295</v>
      </c>
      <c r="Y119" t="s">
        <v>119</v>
      </c>
    </row>
    <row r="120" spans="1:25">
      <c r="A120">
        <v>10178</v>
      </c>
      <c r="B120">
        <v>24</v>
      </c>
      <c r="C120">
        <v>100</v>
      </c>
      <c r="D120">
        <v>12</v>
      </c>
      <c r="E120">
        <v>3492.48</v>
      </c>
      <c r="F120" s="4">
        <v>37844</v>
      </c>
      <c r="G120" t="s">
        <v>93</v>
      </c>
      <c r="H120">
        <v>4</v>
      </c>
      <c r="I120">
        <v>11</v>
      </c>
      <c r="J120">
        <v>2003</v>
      </c>
      <c r="K120" t="s">
        <v>265</v>
      </c>
      <c r="L120">
        <v>136</v>
      </c>
      <c r="M120" t="s">
        <v>424</v>
      </c>
      <c r="N120" t="s">
        <v>445</v>
      </c>
      <c r="O120" t="s">
        <v>446</v>
      </c>
      <c r="P120" t="s">
        <v>447</v>
      </c>
      <c r="R120" t="s">
        <v>448</v>
      </c>
      <c r="T120">
        <v>31000</v>
      </c>
      <c r="U120" t="s">
        <v>109</v>
      </c>
      <c r="V120" t="s">
        <v>110</v>
      </c>
      <c r="W120" t="s">
        <v>449</v>
      </c>
      <c r="X120" t="s">
        <v>450</v>
      </c>
      <c r="Y120" t="s">
        <v>119</v>
      </c>
    </row>
    <row r="121" spans="1:25">
      <c r="A121">
        <v>10186</v>
      </c>
      <c r="B121">
        <v>26</v>
      </c>
      <c r="C121">
        <v>100</v>
      </c>
      <c r="D121">
        <v>9</v>
      </c>
      <c r="E121">
        <v>3854.24</v>
      </c>
      <c r="F121" t="s">
        <v>451</v>
      </c>
      <c r="G121" t="s">
        <v>93</v>
      </c>
      <c r="H121">
        <v>4</v>
      </c>
      <c r="I121">
        <v>11</v>
      </c>
      <c r="J121">
        <v>2003</v>
      </c>
      <c r="K121" t="s">
        <v>265</v>
      </c>
      <c r="L121">
        <v>136</v>
      </c>
      <c r="M121" t="s">
        <v>424</v>
      </c>
      <c r="N121" t="s">
        <v>452</v>
      </c>
      <c r="O121" t="s">
        <v>453</v>
      </c>
      <c r="P121" t="s">
        <v>454</v>
      </c>
      <c r="R121" t="s">
        <v>436</v>
      </c>
      <c r="T121" t="s">
        <v>455</v>
      </c>
      <c r="U121" t="s">
        <v>252</v>
      </c>
      <c r="V121" t="s">
        <v>110</v>
      </c>
      <c r="W121" t="s">
        <v>456</v>
      </c>
      <c r="X121" t="s">
        <v>457</v>
      </c>
      <c r="Y121" t="s">
        <v>119</v>
      </c>
    </row>
    <row r="122" spans="1:25">
      <c r="A122">
        <v>10197</v>
      </c>
      <c r="B122">
        <v>45</v>
      </c>
      <c r="C122">
        <v>100</v>
      </c>
      <c r="D122">
        <v>6</v>
      </c>
      <c r="E122">
        <v>5324.4</v>
      </c>
      <c r="F122" t="s">
        <v>458</v>
      </c>
      <c r="G122" t="s">
        <v>93</v>
      </c>
      <c r="H122">
        <v>4</v>
      </c>
      <c r="I122">
        <v>11</v>
      </c>
      <c r="J122">
        <v>2003</v>
      </c>
      <c r="K122" t="s">
        <v>265</v>
      </c>
      <c r="L122">
        <v>136</v>
      </c>
      <c r="M122" t="s">
        <v>424</v>
      </c>
      <c r="N122" t="s">
        <v>459</v>
      </c>
      <c r="O122" t="s">
        <v>460</v>
      </c>
      <c r="P122" t="s">
        <v>461</v>
      </c>
      <c r="R122" t="s">
        <v>462</v>
      </c>
      <c r="T122">
        <v>8022</v>
      </c>
      <c r="U122" t="s">
        <v>261</v>
      </c>
      <c r="V122" t="s">
        <v>110</v>
      </c>
      <c r="W122" t="s">
        <v>463</v>
      </c>
      <c r="X122" t="s">
        <v>464</v>
      </c>
      <c r="Y122" t="s">
        <v>119</v>
      </c>
    </row>
    <row r="123" spans="1:25">
      <c r="A123">
        <v>10209</v>
      </c>
      <c r="B123">
        <v>39</v>
      </c>
      <c r="C123">
        <v>100</v>
      </c>
      <c r="D123">
        <v>8</v>
      </c>
      <c r="E123">
        <v>5197.92</v>
      </c>
      <c r="F123" s="4">
        <v>38231</v>
      </c>
      <c r="G123" t="s">
        <v>93</v>
      </c>
      <c r="H123">
        <v>1</v>
      </c>
      <c r="I123">
        <v>1</v>
      </c>
      <c r="J123">
        <v>2004</v>
      </c>
      <c r="K123" t="s">
        <v>265</v>
      </c>
      <c r="L123">
        <v>136</v>
      </c>
      <c r="M123" t="s">
        <v>424</v>
      </c>
      <c r="N123" t="s">
        <v>465</v>
      </c>
      <c r="O123">
        <v>2155554369</v>
      </c>
      <c r="P123" t="s">
        <v>466</v>
      </c>
      <c r="R123" t="s">
        <v>467</v>
      </c>
      <c r="S123" t="s">
        <v>124</v>
      </c>
      <c r="U123" t="s">
        <v>100</v>
      </c>
      <c r="V123" t="s">
        <v>101</v>
      </c>
      <c r="W123" t="s">
        <v>468</v>
      </c>
      <c r="X123" t="s">
        <v>176</v>
      </c>
      <c r="Y123" t="s">
        <v>119</v>
      </c>
    </row>
    <row r="124" spans="1:25">
      <c r="A124">
        <v>10222</v>
      </c>
      <c r="B124">
        <v>49</v>
      </c>
      <c r="C124">
        <v>100</v>
      </c>
      <c r="D124">
        <v>12</v>
      </c>
      <c r="E124">
        <v>5997.6</v>
      </c>
      <c r="F124" t="s">
        <v>469</v>
      </c>
      <c r="G124" t="s">
        <v>93</v>
      </c>
      <c r="H124">
        <v>1</v>
      </c>
      <c r="I124">
        <v>2</v>
      </c>
      <c r="J124">
        <v>2004</v>
      </c>
      <c r="K124" t="s">
        <v>265</v>
      </c>
      <c r="L124">
        <v>136</v>
      </c>
      <c r="M124" t="s">
        <v>424</v>
      </c>
      <c r="N124" t="s">
        <v>470</v>
      </c>
      <c r="O124">
        <v>7605558146</v>
      </c>
      <c r="P124" t="s">
        <v>471</v>
      </c>
      <c r="R124" t="s">
        <v>472</v>
      </c>
      <c r="S124" t="s">
        <v>124</v>
      </c>
      <c r="T124">
        <v>91217</v>
      </c>
      <c r="U124" t="s">
        <v>100</v>
      </c>
      <c r="V124" t="s">
        <v>101</v>
      </c>
      <c r="W124" t="s">
        <v>6</v>
      </c>
      <c r="X124" t="s">
        <v>371</v>
      </c>
      <c r="Y124" t="s">
        <v>119</v>
      </c>
    </row>
    <row r="125" spans="1:25">
      <c r="A125">
        <v>10248</v>
      </c>
      <c r="B125">
        <v>20</v>
      </c>
      <c r="C125">
        <v>100</v>
      </c>
      <c r="D125">
        <v>3</v>
      </c>
      <c r="E125">
        <v>2910.4</v>
      </c>
      <c r="F125" s="4">
        <v>38173</v>
      </c>
      <c r="G125" t="s">
        <v>444</v>
      </c>
      <c r="H125">
        <v>2</v>
      </c>
      <c r="I125">
        <v>5</v>
      </c>
      <c r="J125">
        <v>2004</v>
      </c>
      <c r="K125" t="s">
        <v>265</v>
      </c>
      <c r="L125">
        <v>136</v>
      </c>
      <c r="M125" t="s">
        <v>424</v>
      </c>
      <c r="N125" t="s">
        <v>96</v>
      </c>
      <c r="O125">
        <v>2125557818</v>
      </c>
      <c r="P125" t="s">
        <v>97</v>
      </c>
      <c r="R125" t="s">
        <v>98</v>
      </c>
      <c r="S125" t="s">
        <v>99</v>
      </c>
      <c r="T125">
        <v>10022</v>
      </c>
      <c r="U125" t="s">
        <v>100</v>
      </c>
      <c r="V125" t="s">
        <v>101</v>
      </c>
      <c r="W125" t="s">
        <v>102</v>
      </c>
      <c r="X125" t="s">
        <v>103</v>
      </c>
      <c r="Y125" t="s">
        <v>104</v>
      </c>
    </row>
    <row r="126" spans="1:25">
      <c r="A126">
        <v>10261</v>
      </c>
      <c r="B126">
        <v>27</v>
      </c>
      <c r="C126">
        <v>100</v>
      </c>
      <c r="D126">
        <v>1</v>
      </c>
      <c r="E126">
        <v>3378.24</v>
      </c>
      <c r="F126" t="s">
        <v>473</v>
      </c>
      <c r="G126" t="s">
        <v>93</v>
      </c>
      <c r="H126">
        <v>2</v>
      </c>
      <c r="I126">
        <v>6</v>
      </c>
      <c r="J126">
        <v>2004</v>
      </c>
      <c r="K126" t="s">
        <v>265</v>
      </c>
      <c r="L126">
        <v>136</v>
      </c>
      <c r="M126" t="s">
        <v>424</v>
      </c>
      <c r="N126" t="s">
        <v>391</v>
      </c>
      <c r="O126" t="s">
        <v>392</v>
      </c>
      <c r="P126" t="s">
        <v>393</v>
      </c>
      <c r="R126" t="s">
        <v>394</v>
      </c>
      <c r="S126" t="s">
        <v>395</v>
      </c>
      <c r="T126" t="s">
        <v>396</v>
      </c>
      <c r="U126" t="s">
        <v>322</v>
      </c>
      <c r="V126" t="s">
        <v>101</v>
      </c>
      <c r="W126" t="s">
        <v>397</v>
      </c>
      <c r="X126" t="s">
        <v>398</v>
      </c>
      <c r="Y126" t="s">
        <v>119</v>
      </c>
    </row>
    <row r="127" spans="1:25">
      <c r="A127">
        <v>10273</v>
      </c>
      <c r="B127">
        <v>30</v>
      </c>
      <c r="C127">
        <v>100</v>
      </c>
      <c r="D127">
        <v>4</v>
      </c>
      <c r="E127">
        <v>3508.8</v>
      </c>
      <c r="F127" t="s">
        <v>474</v>
      </c>
      <c r="G127" t="s">
        <v>93</v>
      </c>
      <c r="H127">
        <v>3</v>
      </c>
      <c r="I127">
        <v>7</v>
      </c>
      <c r="J127">
        <v>2004</v>
      </c>
      <c r="K127" t="s">
        <v>265</v>
      </c>
      <c r="L127">
        <v>136</v>
      </c>
      <c r="M127" t="s">
        <v>424</v>
      </c>
      <c r="N127" t="s">
        <v>475</v>
      </c>
      <c r="O127" t="s">
        <v>476</v>
      </c>
      <c r="P127" t="s">
        <v>477</v>
      </c>
      <c r="R127" t="s">
        <v>478</v>
      </c>
      <c r="T127" t="s">
        <v>479</v>
      </c>
      <c r="U127" t="s">
        <v>480</v>
      </c>
      <c r="V127" t="s">
        <v>110</v>
      </c>
      <c r="W127" t="s">
        <v>481</v>
      </c>
      <c r="X127" t="s">
        <v>482</v>
      </c>
      <c r="Y127" t="s">
        <v>119</v>
      </c>
    </row>
    <row r="128" spans="1:25">
      <c r="A128">
        <v>10283</v>
      </c>
      <c r="B128">
        <v>25</v>
      </c>
      <c r="C128">
        <v>100</v>
      </c>
      <c r="D128">
        <v>6</v>
      </c>
      <c r="E128">
        <v>2992</v>
      </c>
      <c r="F128" t="s">
        <v>483</v>
      </c>
      <c r="G128" t="s">
        <v>93</v>
      </c>
      <c r="H128">
        <v>3</v>
      </c>
      <c r="I128">
        <v>8</v>
      </c>
      <c r="J128">
        <v>2004</v>
      </c>
      <c r="K128" t="s">
        <v>265</v>
      </c>
      <c r="L128">
        <v>136</v>
      </c>
      <c r="M128" t="s">
        <v>424</v>
      </c>
      <c r="N128" t="s">
        <v>484</v>
      </c>
      <c r="O128" t="s">
        <v>485</v>
      </c>
      <c r="P128" t="s">
        <v>486</v>
      </c>
      <c r="R128" t="s">
        <v>487</v>
      </c>
      <c r="S128" t="s">
        <v>320</v>
      </c>
      <c r="T128" t="s">
        <v>488</v>
      </c>
      <c r="U128" t="s">
        <v>322</v>
      </c>
      <c r="V128" t="s">
        <v>101</v>
      </c>
      <c r="W128" t="s">
        <v>489</v>
      </c>
      <c r="X128" t="s">
        <v>254</v>
      </c>
      <c r="Y128" t="s">
        <v>104</v>
      </c>
    </row>
    <row r="129" spans="1:25">
      <c r="A129">
        <v>10295</v>
      </c>
      <c r="B129">
        <v>24</v>
      </c>
      <c r="C129">
        <v>100</v>
      </c>
      <c r="D129">
        <v>1</v>
      </c>
      <c r="E129">
        <v>3427.2</v>
      </c>
      <c r="F129" s="4">
        <v>38269</v>
      </c>
      <c r="G129" t="s">
        <v>93</v>
      </c>
      <c r="H129">
        <v>3</v>
      </c>
      <c r="I129">
        <v>9</v>
      </c>
      <c r="J129">
        <v>2004</v>
      </c>
      <c r="K129" t="s">
        <v>265</v>
      </c>
      <c r="L129">
        <v>136</v>
      </c>
      <c r="M129" t="s">
        <v>424</v>
      </c>
      <c r="N129" t="s">
        <v>490</v>
      </c>
      <c r="O129">
        <v>6175559555</v>
      </c>
      <c r="P129" t="s">
        <v>491</v>
      </c>
      <c r="R129" t="s">
        <v>492</v>
      </c>
      <c r="S129" t="s">
        <v>200</v>
      </c>
      <c r="T129">
        <v>51003</v>
      </c>
      <c r="U129" t="s">
        <v>100</v>
      </c>
      <c r="V129" t="s">
        <v>101</v>
      </c>
      <c r="W129" t="s">
        <v>493</v>
      </c>
      <c r="X129" t="s">
        <v>136</v>
      </c>
      <c r="Y129" t="s">
        <v>119</v>
      </c>
    </row>
    <row r="130" spans="1:25">
      <c r="A130">
        <v>10307</v>
      </c>
      <c r="B130">
        <v>22</v>
      </c>
      <c r="C130">
        <v>100</v>
      </c>
      <c r="D130">
        <v>9</v>
      </c>
      <c r="E130">
        <v>2692.8</v>
      </c>
      <c r="F130" t="s">
        <v>494</v>
      </c>
      <c r="G130" t="s">
        <v>93</v>
      </c>
      <c r="H130">
        <v>4</v>
      </c>
      <c r="I130">
        <v>10</v>
      </c>
      <c r="J130">
        <v>2004</v>
      </c>
      <c r="K130" t="s">
        <v>265</v>
      </c>
      <c r="L130">
        <v>136</v>
      </c>
      <c r="M130" t="s">
        <v>424</v>
      </c>
      <c r="N130" t="s">
        <v>304</v>
      </c>
      <c r="O130">
        <v>2155554695</v>
      </c>
      <c r="P130" t="s">
        <v>305</v>
      </c>
      <c r="R130" t="s">
        <v>306</v>
      </c>
      <c r="S130" t="s">
        <v>221</v>
      </c>
      <c r="T130">
        <v>71270</v>
      </c>
      <c r="U130" t="s">
        <v>100</v>
      </c>
      <c r="V130" t="s">
        <v>101</v>
      </c>
      <c r="W130" t="s">
        <v>307</v>
      </c>
      <c r="X130" t="s">
        <v>308</v>
      </c>
      <c r="Y130" t="s">
        <v>104</v>
      </c>
    </row>
    <row r="131" spans="1:25">
      <c r="A131">
        <v>10316</v>
      </c>
      <c r="B131">
        <v>33</v>
      </c>
      <c r="C131">
        <v>100</v>
      </c>
      <c r="D131">
        <v>17</v>
      </c>
      <c r="E131">
        <v>4128.96</v>
      </c>
      <c r="F131" s="4">
        <v>37997</v>
      </c>
      <c r="G131" t="s">
        <v>93</v>
      </c>
      <c r="H131">
        <v>4</v>
      </c>
      <c r="I131">
        <v>11</v>
      </c>
      <c r="J131">
        <v>2004</v>
      </c>
      <c r="K131" t="s">
        <v>265</v>
      </c>
      <c r="L131">
        <v>136</v>
      </c>
      <c r="M131" t="s">
        <v>424</v>
      </c>
      <c r="N131" t="s">
        <v>495</v>
      </c>
      <c r="O131" t="s">
        <v>496</v>
      </c>
      <c r="P131" t="s">
        <v>497</v>
      </c>
      <c r="R131" t="s">
        <v>498</v>
      </c>
      <c r="S131" t="s">
        <v>499</v>
      </c>
      <c r="T131" t="s">
        <v>500</v>
      </c>
      <c r="U131" t="s">
        <v>252</v>
      </c>
      <c r="V131" t="s">
        <v>110</v>
      </c>
      <c r="W131" t="s">
        <v>501</v>
      </c>
      <c r="X131" t="s">
        <v>502</v>
      </c>
      <c r="Y131" t="s">
        <v>119</v>
      </c>
    </row>
    <row r="132" spans="1:25">
      <c r="A132">
        <v>10325</v>
      </c>
      <c r="B132">
        <v>47</v>
      </c>
      <c r="C132">
        <v>64.930000000000007</v>
      </c>
      <c r="D132">
        <v>6</v>
      </c>
      <c r="E132">
        <v>3051.71</v>
      </c>
      <c r="F132" s="4">
        <v>38118</v>
      </c>
      <c r="G132" t="s">
        <v>93</v>
      </c>
      <c r="H132">
        <v>4</v>
      </c>
      <c r="I132">
        <v>11</v>
      </c>
      <c r="J132">
        <v>2004</v>
      </c>
      <c r="K132" t="s">
        <v>265</v>
      </c>
      <c r="L132">
        <v>136</v>
      </c>
      <c r="M132" t="s">
        <v>424</v>
      </c>
      <c r="N132" t="s">
        <v>212</v>
      </c>
      <c r="O132" t="s">
        <v>213</v>
      </c>
      <c r="P132" t="s">
        <v>214</v>
      </c>
      <c r="R132" t="s">
        <v>215</v>
      </c>
      <c r="T132">
        <v>4110</v>
      </c>
      <c r="U132" t="s">
        <v>149</v>
      </c>
      <c r="V132" t="s">
        <v>110</v>
      </c>
      <c r="W132" t="s">
        <v>216</v>
      </c>
      <c r="X132" t="s">
        <v>217</v>
      </c>
      <c r="Y132" t="s">
        <v>119</v>
      </c>
    </row>
    <row r="133" spans="1:25">
      <c r="A133">
        <v>10337</v>
      </c>
      <c r="B133">
        <v>25</v>
      </c>
      <c r="C133">
        <v>48.05</v>
      </c>
      <c r="D133">
        <v>8</v>
      </c>
      <c r="E133">
        <v>1201.25</v>
      </c>
      <c r="F133" t="s">
        <v>503</v>
      </c>
      <c r="G133" t="s">
        <v>93</v>
      </c>
      <c r="H133">
        <v>4</v>
      </c>
      <c r="I133">
        <v>11</v>
      </c>
      <c r="J133">
        <v>2004</v>
      </c>
      <c r="K133" t="s">
        <v>265</v>
      </c>
      <c r="L133">
        <v>136</v>
      </c>
      <c r="M133" t="s">
        <v>424</v>
      </c>
      <c r="N133" t="s">
        <v>292</v>
      </c>
      <c r="O133">
        <v>2125558493</v>
      </c>
      <c r="P133" t="s">
        <v>293</v>
      </c>
      <c r="Q133" t="s">
        <v>294</v>
      </c>
      <c r="R133" t="s">
        <v>98</v>
      </c>
      <c r="S133" t="s">
        <v>99</v>
      </c>
      <c r="T133">
        <v>10022</v>
      </c>
      <c r="U133" t="s">
        <v>100</v>
      </c>
      <c r="V133" t="s">
        <v>101</v>
      </c>
      <c r="W133" t="s">
        <v>201</v>
      </c>
      <c r="X133" t="s">
        <v>295</v>
      </c>
      <c r="Y133" t="s">
        <v>104</v>
      </c>
    </row>
    <row r="134" spans="1:25">
      <c r="A134">
        <v>10350</v>
      </c>
      <c r="B134">
        <v>26</v>
      </c>
      <c r="C134">
        <v>75.47</v>
      </c>
      <c r="D134">
        <v>5</v>
      </c>
      <c r="E134">
        <v>1962.22</v>
      </c>
      <c r="F134" s="4">
        <v>38029</v>
      </c>
      <c r="G134" t="s">
        <v>93</v>
      </c>
      <c r="H134">
        <v>4</v>
      </c>
      <c r="I134">
        <v>12</v>
      </c>
      <c r="J134">
        <v>2004</v>
      </c>
      <c r="K134" t="s">
        <v>265</v>
      </c>
      <c r="L134">
        <v>136</v>
      </c>
      <c r="M134" t="s">
        <v>424</v>
      </c>
      <c r="N134" t="s">
        <v>257</v>
      </c>
      <c r="O134" t="s">
        <v>258</v>
      </c>
      <c r="P134" t="s">
        <v>259</v>
      </c>
      <c r="R134" t="s">
        <v>260</v>
      </c>
      <c r="T134">
        <v>28034</v>
      </c>
      <c r="U134" t="s">
        <v>261</v>
      </c>
      <c r="V134" t="s">
        <v>110</v>
      </c>
      <c r="W134" t="s">
        <v>262</v>
      </c>
      <c r="X134" t="s">
        <v>263</v>
      </c>
      <c r="Y134" t="s">
        <v>104</v>
      </c>
    </row>
    <row r="135" spans="1:25">
      <c r="A135">
        <v>10359</v>
      </c>
      <c r="B135">
        <v>48</v>
      </c>
      <c r="C135">
        <v>54.68</v>
      </c>
      <c r="D135">
        <v>6</v>
      </c>
      <c r="E135">
        <v>2624.64</v>
      </c>
      <c r="F135" t="s">
        <v>504</v>
      </c>
      <c r="G135" t="s">
        <v>93</v>
      </c>
      <c r="H135">
        <v>4</v>
      </c>
      <c r="I135">
        <v>12</v>
      </c>
      <c r="J135">
        <v>2004</v>
      </c>
      <c r="K135" t="s">
        <v>265</v>
      </c>
      <c r="L135">
        <v>136</v>
      </c>
      <c r="M135" t="s">
        <v>424</v>
      </c>
      <c r="N135" t="s">
        <v>105</v>
      </c>
      <c r="O135" t="s">
        <v>106</v>
      </c>
      <c r="P135" t="s">
        <v>107</v>
      </c>
      <c r="R135" t="s">
        <v>108</v>
      </c>
      <c r="T135">
        <v>51100</v>
      </c>
      <c r="U135" t="s">
        <v>109</v>
      </c>
      <c r="V135" t="s">
        <v>110</v>
      </c>
      <c r="W135" t="s">
        <v>111</v>
      </c>
      <c r="X135" t="s">
        <v>112</v>
      </c>
      <c r="Y135" t="s">
        <v>104</v>
      </c>
    </row>
    <row r="136" spans="1:25">
      <c r="A136">
        <v>10373</v>
      </c>
      <c r="B136">
        <v>39</v>
      </c>
      <c r="C136">
        <v>100</v>
      </c>
      <c r="D136">
        <v>3</v>
      </c>
      <c r="E136">
        <v>4046.25</v>
      </c>
      <c r="F136" t="s">
        <v>505</v>
      </c>
      <c r="G136" t="s">
        <v>93</v>
      </c>
      <c r="H136">
        <v>1</v>
      </c>
      <c r="I136">
        <v>1</v>
      </c>
      <c r="J136">
        <v>2005</v>
      </c>
      <c r="K136" t="s">
        <v>265</v>
      </c>
      <c r="L136">
        <v>136</v>
      </c>
      <c r="M136" t="s">
        <v>424</v>
      </c>
      <c r="N136" t="s">
        <v>506</v>
      </c>
      <c r="O136" t="s">
        <v>507</v>
      </c>
      <c r="P136" t="s">
        <v>508</v>
      </c>
      <c r="R136" t="s">
        <v>509</v>
      </c>
      <c r="T136">
        <v>90110</v>
      </c>
      <c r="U136" t="s">
        <v>208</v>
      </c>
      <c r="V136" t="s">
        <v>110</v>
      </c>
      <c r="W136" t="s">
        <v>510</v>
      </c>
      <c r="X136" t="s">
        <v>511</v>
      </c>
      <c r="Y136" t="s">
        <v>119</v>
      </c>
    </row>
    <row r="137" spans="1:25">
      <c r="A137">
        <v>10384</v>
      </c>
      <c r="B137">
        <v>34</v>
      </c>
      <c r="C137">
        <v>100</v>
      </c>
      <c r="D137">
        <v>4</v>
      </c>
      <c r="E137">
        <v>4846.7</v>
      </c>
      <c r="F137" t="s">
        <v>512</v>
      </c>
      <c r="G137" t="s">
        <v>93</v>
      </c>
      <c r="H137">
        <v>1</v>
      </c>
      <c r="I137">
        <v>2</v>
      </c>
      <c r="J137">
        <v>2005</v>
      </c>
      <c r="K137" t="s">
        <v>265</v>
      </c>
      <c r="L137">
        <v>136</v>
      </c>
      <c r="M137" t="s">
        <v>424</v>
      </c>
      <c r="N137" t="s">
        <v>127</v>
      </c>
      <c r="O137">
        <v>6505551386</v>
      </c>
      <c r="P137" t="s">
        <v>128</v>
      </c>
      <c r="R137" t="s">
        <v>129</v>
      </c>
      <c r="S137" t="s">
        <v>124</v>
      </c>
      <c r="U137" t="s">
        <v>100</v>
      </c>
      <c r="V137" t="s">
        <v>101</v>
      </c>
      <c r="W137" t="s">
        <v>130</v>
      </c>
      <c r="X137" t="s">
        <v>126</v>
      </c>
      <c r="Y137" t="s">
        <v>119</v>
      </c>
    </row>
    <row r="138" spans="1:25">
      <c r="A138">
        <v>10395</v>
      </c>
      <c r="B138">
        <v>32</v>
      </c>
      <c r="C138">
        <v>100</v>
      </c>
      <c r="D138">
        <v>2</v>
      </c>
      <c r="E138">
        <v>3370.56</v>
      </c>
      <c r="F138" t="s">
        <v>513</v>
      </c>
      <c r="G138" t="s">
        <v>93</v>
      </c>
      <c r="H138">
        <v>1</v>
      </c>
      <c r="I138">
        <v>3</v>
      </c>
      <c r="J138">
        <v>2005</v>
      </c>
      <c r="K138" t="s">
        <v>265</v>
      </c>
      <c r="L138">
        <v>136</v>
      </c>
      <c r="M138" t="s">
        <v>424</v>
      </c>
      <c r="N138" t="s">
        <v>113</v>
      </c>
      <c r="O138" t="s">
        <v>114</v>
      </c>
      <c r="P138" t="s">
        <v>115</v>
      </c>
      <c r="R138" t="s">
        <v>116</v>
      </c>
      <c r="T138">
        <v>75508</v>
      </c>
      <c r="U138" t="s">
        <v>109</v>
      </c>
      <c r="V138" t="s">
        <v>110</v>
      </c>
      <c r="W138" t="s">
        <v>117</v>
      </c>
      <c r="X138" t="s">
        <v>118</v>
      </c>
      <c r="Y138" t="s">
        <v>119</v>
      </c>
    </row>
    <row r="139" spans="1:25">
      <c r="A139">
        <v>10400</v>
      </c>
      <c r="B139">
        <v>64</v>
      </c>
      <c r="C139">
        <v>100</v>
      </c>
      <c r="D139">
        <v>9</v>
      </c>
      <c r="E139">
        <v>9661.44</v>
      </c>
      <c r="F139" s="4">
        <v>38356</v>
      </c>
      <c r="G139" t="s">
        <v>93</v>
      </c>
      <c r="H139">
        <v>2</v>
      </c>
      <c r="I139">
        <v>4</v>
      </c>
      <c r="J139">
        <v>2005</v>
      </c>
      <c r="K139" t="s">
        <v>265</v>
      </c>
      <c r="L139">
        <v>136</v>
      </c>
      <c r="M139" t="s">
        <v>424</v>
      </c>
      <c r="N139" t="s">
        <v>514</v>
      </c>
      <c r="O139">
        <v>4085553659</v>
      </c>
      <c r="P139" t="s">
        <v>515</v>
      </c>
      <c r="R139" t="s">
        <v>516</v>
      </c>
      <c r="S139" t="s">
        <v>124</v>
      </c>
      <c r="T139">
        <v>94217</v>
      </c>
      <c r="U139" t="s">
        <v>100</v>
      </c>
      <c r="V139" t="s">
        <v>101</v>
      </c>
      <c r="W139" t="s">
        <v>175</v>
      </c>
      <c r="X139" t="s">
        <v>517</v>
      </c>
      <c r="Y139" t="s">
        <v>232</v>
      </c>
    </row>
    <row r="140" spans="1:25">
      <c r="A140">
        <v>10414</v>
      </c>
      <c r="B140">
        <v>19</v>
      </c>
      <c r="C140">
        <v>100</v>
      </c>
      <c r="D140">
        <v>3</v>
      </c>
      <c r="E140">
        <v>2764.88</v>
      </c>
      <c r="F140" s="4">
        <v>38508</v>
      </c>
      <c r="G140" t="s">
        <v>518</v>
      </c>
      <c r="H140">
        <v>2</v>
      </c>
      <c r="I140">
        <v>5</v>
      </c>
      <c r="J140">
        <v>2005</v>
      </c>
      <c r="K140" t="s">
        <v>265</v>
      </c>
      <c r="L140">
        <v>136</v>
      </c>
      <c r="M140" t="s">
        <v>424</v>
      </c>
      <c r="N140" t="s">
        <v>490</v>
      </c>
      <c r="O140">
        <v>6175559555</v>
      </c>
      <c r="P140" t="s">
        <v>491</v>
      </c>
      <c r="R140" t="s">
        <v>492</v>
      </c>
      <c r="S140" t="s">
        <v>200</v>
      </c>
      <c r="T140">
        <v>51003</v>
      </c>
      <c r="U140" t="s">
        <v>100</v>
      </c>
      <c r="V140" t="s">
        <v>101</v>
      </c>
      <c r="W140" t="s">
        <v>493</v>
      </c>
      <c r="X140" t="s">
        <v>136</v>
      </c>
      <c r="Y140" t="s">
        <v>104</v>
      </c>
    </row>
    <row r="141" spans="1:25">
      <c r="A141">
        <v>10103</v>
      </c>
      <c r="B141">
        <v>42</v>
      </c>
      <c r="C141">
        <v>100</v>
      </c>
      <c r="D141">
        <v>4</v>
      </c>
      <c r="E141">
        <v>5398.26</v>
      </c>
      <c r="F141" t="s">
        <v>264</v>
      </c>
      <c r="G141" t="s">
        <v>93</v>
      </c>
      <c r="H141">
        <v>1</v>
      </c>
      <c r="I141">
        <v>1</v>
      </c>
      <c r="J141">
        <v>2003</v>
      </c>
      <c r="K141" t="s">
        <v>265</v>
      </c>
      <c r="L141">
        <v>147</v>
      </c>
      <c r="M141" t="s">
        <v>519</v>
      </c>
      <c r="N141" t="s">
        <v>212</v>
      </c>
      <c r="O141" t="s">
        <v>213</v>
      </c>
      <c r="P141" t="s">
        <v>214</v>
      </c>
      <c r="R141" t="s">
        <v>215</v>
      </c>
      <c r="T141">
        <v>4110</v>
      </c>
      <c r="U141" t="s">
        <v>149</v>
      </c>
      <c r="V141" t="s">
        <v>110</v>
      </c>
      <c r="W141" t="s">
        <v>216</v>
      </c>
      <c r="X141" t="s">
        <v>217</v>
      </c>
      <c r="Y141" t="s">
        <v>119</v>
      </c>
    </row>
    <row r="142" spans="1:25">
      <c r="A142">
        <v>10114</v>
      </c>
      <c r="B142">
        <v>31</v>
      </c>
      <c r="C142">
        <v>100</v>
      </c>
      <c r="D142">
        <v>8</v>
      </c>
      <c r="E142">
        <v>4305.28</v>
      </c>
      <c r="F142" s="4">
        <v>37625</v>
      </c>
      <c r="G142" t="s">
        <v>93</v>
      </c>
      <c r="H142">
        <v>2</v>
      </c>
      <c r="I142">
        <v>4</v>
      </c>
      <c r="J142">
        <v>2003</v>
      </c>
      <c r="K142" t="s">
        <v>265</v>
      </c>
      <c r="L142">
        <v>147</v>
      </c>
      <c r="M142" t="s">
        <v>519</v>
      </c>
      <c r="N142" t="s">
        <v>520</v>
      </c>
      <c r="O142" t="s">
        <v>521</v>
      </c>
      <c r="P142" t="s">
        <v>522</v>
      </c>
      <c r="R142" t="s">
        <v>116</v>
      </c>
      <c r="T142">
        <v>75012</v>
      </c>
      <c r="U142" t="s">
        <v>109</v>
      </c>
      <c r="V142" t="s">
        <v>110</v>
      </c>
      <c r="W142" t="s">
        <v>523</v>
      </c>
      <c r="X142" t="s">
        <v>524</v>
      </c>
      <c r="Y142" t="s">
        <v>119</v>
      </c>
    </row>
    <row r="143" spans="1:25">
      <c r="A143">
        <v>10126</v>
      </c>
      <c r="B143">
        <v>22</v>
      </c>
      <c r="C143">
        <v>100</v>
      </c>
      <c r="D143">
        <v>4</v>
      </c>
      <c r="E143">
        <v>3347.74</v>
      </c>
      <c r="F143" t="s">
        <v>276</v>
      </c>
      <c r="G143" t="s">
        <v>93</v>
      </c>
      <c r="H143">
        <v>2</v>
      </c>
      <c r="I143">
        <v>5</v>
      </c>
      <c r="J143">
        <v>2003</v>
      </c>
      <c r="K143" t="s">
        <v>265</v>
      </c>
      <c r="L143">
        <v>147</v>
      </c>
      <c r="M143" t="s">
        <v>519</v>
      </c>
      <c r="N143" t="s">
        <v>277</v>
      </c>
      <c r="O143" t="s">
        <v>278</v>
      </c>
      <c r="P143" t="s">
        <v>279</v>
      </c>
      <c r="R143" t="s">
        <v>260</v>
      </c>
      <c r="T143">
        <v>28023</v>
      </c>
      <c r="U143" t="s">
        <v>261</v>
      </c>
      <c r="V143" t="s">
        <v>110</v>
      </c>
      <c r="W143" t="s">
        <v>280</v>
      </c>
      <c r="X143" t="s">
        <v>281</v>
      </c>
      <c r="Y143" t="s">
        <v>119</v>
      </c>
    </row>
    <row r="144" spans="1:25">
      <c r="A144">
        <v>10140</v>
      </c>
      <c r="B144">
        <v>26</v>
      </c>
      <c r="C144">
        <v>100</v>
      </c>
      <c r="D144">
        <v>4</v>
      </c>
      <c r="E144">
        <v>3188.12</v>
      </c>
      <c r="F144" t="s">
        <v>282</v>
      </c>
      <c r="G144" t="s">
        <v>93</v>
      </c>
      <c r="H144">
        <v>3</v>
      </c>
      <c r="I144">
        <v>7</v>
      </c>
      <c r="J144">
        <v>2003</v>
      </c>
      <c r="K144" t="s">
        <v>265</v>
      </c>
      <c r="L144">
        <v>147</v>
      </c>
      <c r="M144" t="s">
        <v>519</v>
      </c>
      <c r="N144" t="s">
        <v>132</v>
      </c>
      <c r="O144">
        <v>6505556809</v>
      </c>
      <c r="P144" t="s">
        <v>133</v>
      </c>
      <c r="R144" t="s">
        <v>134</v>
      </c>
      <c r="S144" t="s">
        <v>124</v>
      </c>
      <c r="T144">
        <v>94217</v>
      </c>
      <c r="U144" t="s">
        <v>100</v>
      </c>
      <c r="V144" t="s">
        <v>101</v>
      </c>
      <c r="W144" t="s">
        <v>135</v>
      </c>
      <c r="X144" t="s">
        <v>136</v>
      </c>
      <c r="Y144" t="s">
        <v>119</v>
      </c>
    </row>
    <row r="145" spans="1:25">
      <c r="A145">
        <v>10150</v>
      </c>
      <c r="B145">
        <v>20</v>
      </c>
      <c r="C145">
        <v>100</v>
      </c>
      <c r="D145">
        <v>1</v>
      </c>
      <c r="E145">
        <v>3191.2</v>
      </c>
      <c r="F145" t="s">
        <v>283</v>
      </c>
      <c r="G145" t="s">
        <v>93</v>
      </c>
      <c r="H145">
        <v>3</v>
      </c>
      <c r="I145">
        <v>9</v>
      </c>
      <c r="J145">
        <v>2003</v>
      </c>
      <c r="K145" t="s">
        <v>265</v>
      </c>
      <c r="L145">
        <v>147</v>
      </c>
      <c r="M145" t="s">
        <v>519</v>
      </c>
      <c r="N145" t="s">
        <v>284</v>
      </c>
      <c r="O145" t="s">
        <v>285</v>
      </c>
      <c r="P145" t="s">
        <v>286</v>
      </c>
      <c r="R145" t="s">
        <v>287</v>
      </c>
      <c r="T145">
        <v>79903</v>
      </c>
      <c r="U145" t="s">
        <v>287</v>
      </c>
      <c r="V145" t="s">
        <v>288</v>
      </c>
      <c r="W145" t="s">
        <v>289</v>
      </c>
      <c r="X145" t="s">
        <v>290</v>
      </c>
      <c r="Y145" t="s">
        <v>119</v>
      </c>
    </row>
    <row r="146" spans="1:25">
      <c r="A146">
        <v>10164</v>
      </c>
      <c r="B146">
        <v>21</v>
      </c>
      <c r="C146">
        <v>100</v>
      </c>
      <c r="D146">
        <v>2</v>
      </c>
      <c r="E146">
        <v>3536.82</v>
      </c>
      <c r="F146" t="s">
        <v>525</v>
      </c>
      <c r="G146" t="s">
        <v>526</v>
      </c>
      <c r="H146">
        <v>4</v>
      </c>
      <c r="I146">
        <v>10</v>
      </c>
      <c r="J146">
        <v>2003</v>
      </c>
      <c r="K146" t="s">
        <v>265</v>
      </c>
      <c r="L146">
        <v>147</v>
      </c>
      <c r="M146" t="s">
        <v>519</v>
      </c>
      <c r="N146" t="s">
        <v>527</v>
      </c>
      <c r="O146" t="s">
        <v>528</v>
      </c>
      <c r="P146" t="s">
        <v>529</v>
      </c>
      <c r="R146" t="s">
        <v>530</v>
      </c>
      <c r="T146">
        <v>8010</v>
      </c>
      <c r="U146" t="s">
        <v>229</v>
      </c>
      <c r="V146" t="s">
        <v>110</v>
      </c>
      <c r="W146" t="s">
        <v>531</v>
      </c>
      <c r="X146" t="s">
        <v>532</v>
      </c>
      <c r="Y146" t="s">
        <v>119</v>
      </c>
    </row>
    <row r="147" spans="1:25">
      <c r="A147">
        <v>10175</v>
      </c>
      <c r="B147">
        <v>33</v>
      </c>
      <c r="C147">
        <v>100</v>
      </c>
      <c r="D147">
        <v>9</v>
      </c>
      <c r="E147">
        <v>5362.83</v>
      </c>
      <c r="F147" s="4">
        <v>37783</v>
      </c>
      <c r="G147" t="s">
        <v>93</v>
      </c>
      <c r="H147">
        <v>4</v>
      </c>
      <c r="I147">
        <v>11</v>
      </c>
      <c r="J147">
        <v>2003</v>
      </c>
      <c r="K147" t="s">
        <v>265</v>
      </c>
      <c r="L147">
        <v>147</v>
      </c>
      <c r="M147" t="s">
        <v>519</v>
      </c>
      <c r="N147" t="s">
        <v>433</v>
      </c>
      <c r="O147" t="s">
        <v>434</v>
      </c>
      <c r="P147" t="s">
        <v>435</v>
      </c>
      <c r="R147" t="s">
        <v>436</v>
      </c>
      <c r="T147" t="s">
        <v>437</v>
      </c>
      <c r="U147" t="s">
        <v>252</v>
      </c>
      <c r="V147" t="s">
        <v>110</v>
      </c>
      <c r="W147" t="s">
        <v>130</v>
      </c>
      <c r="X147" t="s">
        <v>438</v>
      </c>
      <c r="Y147" t="s">
        <v>119</v>
      </c>
    </row>
    <row r="148" spans="1:25">
      <c r="A148">
        <v>10183</v>
      </c>
      <c r="B148">
        <v>28</v>
      </c>
      <c r="C148">
        <v>100</v>
      </c>
      <c r="D148">
        <v>1</v>
      </c>
      <c r="E148">
        <v>3433.36</v>
      </c>
      <c r="F148" t="s">
        <v>303</v>
      </c>
      <c r="G148" t="s">
        <v>93</v>
      </c>
      <c r="H148">
        <v>4</v>
      </c>
      <c r="I148">
        <v>11</v>
      </c>
      <c r="J148">
        <v>2003</v>
      </c>
      <c r="K148" t="s">
        <v>265</v>
      </c>
      <c r="L148">
        <v>147</v>
      </c>
      <c r="M148" t="s">
        <v>519</v>
      </c>
      <c r="N148" t="s">
        <v>304</v>
      </c>
      <c r="O148">
        <v>2155554695</v>
      </c>
      <c r="P148" t="s">
        <v>305</v>
      </c>
      <c r="R148" t="s">
        <v>306</v>
      </c>
      <c r="S148" t="s">
        <v>221</v>
      </c>
      <c r="T148">
        <v>71270</v>
      </c>
      <c r="U148" t="s">
        <v>100</v>
      </c>
      <c r="V148" t="s">
        <v>101</v>
      </c>
      <c r="W148" t="s">
        <v>307</v>
      </c>
      <c r="X148" t="s">
        <v>308</v>
      </c>
      <c r="Y148" t="s">
        <v>119</v>
      </c>
    </row>
    <row r="149" spans="1:25">
      <c r="A149">
        <v>10194</v>
      </c>
      <c r="B149">
        <v>26</v>
      </c>
      <c r="C149">
        <v>100</v>
      </c>
      <c r="D149">
        <v>4</v>
      </c>
      <c r="E149">
        <v>4263.74</v>
      </c>
      <c r="F149" t="s">
        <v>309</v>
      </c>
      <c r="G149" t="s">
        <v>93</v>
      </c>
      <c r="H149">
        <v>4</v>
      </c>
      <c r="I149">
        <v>11</v>
      </c>
      <c r="J149">
        <v>2003</v>
      </c>
      <c r="K149" t="s">
        <v>265</v>
      </c>
      <c r="L149">
        <v>147</v>
      </c>
      <c r="M149" t="s">
        <v>519</v>
      </c>
      <c r="N149" t="s">
        <v>310</v>
      </c>
      <c r="O149" t="s">
        <v>311</v>
      </c>
      <c r="P149" t="s">
        <v>312</v>
      </c>
      <c r="R149" t="s">
        <v>313</v>
      </c>
      <c r="T149">
        <v>69004</v>
      </c>
      <c r="U149" t="s">
        <v>109</v>
      </c>
      <c r="V149" t="s">
        <v>110</v>
      </c>
      <c r="W149" t="s">
        <v>314</v>
      </c>
      <c r="X149" t="s">
        <v>315</v>
      </c>
      <c r="Y149" t="s">
        <v>119</v>
      </c>
    </row>
    <row r="150" spans="1:25">
      <c r="A150">
        <v>10207</v>
      </c>
      <c r="B150">
        <v>31</v>
      </c>
      <c r="C150">
        <v>100</v>
      </c>
      <c r="D150">
        <v>15</v>
      </c>
      <c r="E150">
        <v>4076.19</v>
      </c>
      <c r="F150" s="4">
        <v>37876</v>
      </c>
      <c r="G150" t="s">
        <v>93</v>
      </c>
      <c r="H150">
        <v>4</v>
      </c>
      <c r="I150">
        <v>12</v>
      </c>
      <c r="J150">
        <v>2003</v>
      </c>
      <c r="K150" t="s">
        <v>265</v>
      </c>
      <c r="L150">
        <v>147</v>
      </c>
      <c r="M150" t="s">
        <v>519</v>
      </c>
      <c r="N150" t="s">
        <v>533</v>
      </c>
      <c r="O150">
        <v>6175552555</v>
      </c>
      <c r="P150" t="s">
        <v>534</v>
      </c>
      <c r="R150" t="s">
        <v>492</v>
      </c>
      <c r="S150" t="s">
        <v>200</v>
      </c>
      <c r="T150">
        <v>51003</v>
      </c>
      <c r="U150" t="s">
        <v>100</v>
      </c>
      <c r="V150" t="s">
        <v>101</v>
      </c>
      <c r="W150" t="s">
        <v>535</v>
      </c>
      <c r="X150" t="s">
        <v>371</v>
      </c>
      <c r="Y150" t="s">
        <v>119</v>
      </c>
    </row>
    <row r="151" spans="1:25">
      <c r="A151">
        <v>10217</v>
      </c>
      <c r="B151">
        <v>48</v>
      </c>
      <c r="C151">
        <v>100</v>
      </c>
      <c r="D151">
        <v>4</v>
      </c>
      <c r="E151">
        <v>7020.48</v>
      </c>
      <c r="F151" s="4">
        <v>38079</v>
      </c>
      <c r="G151" t="s">
        <v>93</v>
      </c>
      <c r="H151">
        <v>1</v>
      </c>
      <c r="I151">
        <v>2</v>
      </c>
      <c r="J151">
        <v>2004</v>
      </c>
      <c r="K151" t="s">
        <v>265</v>
      </c>
      <c r="L151">
        <v>147</v>
      </c>
      <c r="M151" t="s">
        <v>519</v>
      </c>
      <c r="N151" t="s">
        <v>536</v>
      </c>
      <c r="O151" t="s">
        <v>537</v>
      </c>
      <c r="P151" t="s">
        <v>538</v>
      </c>
      <c r="Q151" t="s">
        <v>539</v>
      </c>
      <c r="R151" t="s">
        <v>287</v>
      </c>
      <c r="T151">
        <v>69045</v>
      </c>
      <c r="U151" t="s">
        <v>287</v>
      </c>
      <c r="V151" t="s">
        <v>169</v>
      </c>
      <c r="W151" t="s">
        <v>540</v>
      </c>
      <c r="X151" t="s">
        <v>541</v>
      </c>
      <c r="Y151" t="s">
        <v>232</v>
      </c>
    </row>
    <row r="152" spans="1:25">
      <c r="A152">
        <v>10229</v>
      </c>
      <c r="B152">
        <v>50</v>
      </c>
      <c r="C152">
        <v>100</v>
      </c>
      <c r="D152">
        <v>9</v>
      </c>
      <c r="E152">
        <v>6426.5</v>
      </c>
      <c r="F152" s="4">
        <v>38294</v>
      </c>
      <c r="G152" t="s">
        <v>93</v>
      </c>
      <c r="H152">
        <v>1</v>
      </c>
      <c r="I152">
        <v>3</v>
      </c>
      <c r="J152">
        <v>2004</v>
      </c>
      <c r="K152" t="s">
        <v>265</v>
      </c>
      <c r="L152">
        <v>147</v>
      </c>
      <c r="M152" t="s">
        <v>519</v>
      </c>
      <c r="N152" t="s">
        <v>367</v>
      </c>
      <c r="O152">
        <v>4155551450</v>
      </c>
      <c r="P152" t="s">
        <v>368</v>
      </c>
      <c r="R152" t="s">
        <v>369</v>
      </c>
      <c r="S152" t="s">
        <v>124</v>
      </c>
      <c r="T152">
        <v>97562</v>
      </c>
      <c r="U152" t="s">
        <v>100</v>
      </c>
      <c r="V152" t="s">
        <v>101</v>
      </c>
      <c r="W152" t="s">
        <v>370</v>
      </c>
      <c r="X152" t="s">
        <v>371</v>
      </c>
      <c r="Y152" t="s">
        <v>119</v>
      </c>
    </row>
    <row r="153" spans="1:25">
      <c r="A153">
        <v>10245</v>
      </c>
      <c r="B153">
        <v>28</v>
      </c>
      <c r="C153">
        <v>100</v>
      </c>
      <c r="D153">
        <v>2</v>
      </c>
      <c r="E153">
        <v>4591.72</v>
      </c>
      <c r="F153" s="4">
        <v>38082</v>
      </c>
      <c r="G153" t="s">
        <v>93</v>
      </c>
      <c r="H153">
        <v>2</v>
      </c>
      <c r="I153">
        <v>5</v>
      </c>
      <c r="J153">
        <v>2004</v>
      </c>
      <c r="K153" t="s">
        <v>265</v>
      </c>
      <c r="L153">
        <v>147</v>
      </c>
      <c r="M153" t="s">
        <v>519</v>
      </c>
      <c r="N153" t="s">
        <v>333</v>
      </c>
      <c r="O153">
        <v>2035559545</v>
      </c>
      <c r="P153" t="s">
        <v>334</v>
      </c>
      <c r="R153" t="s">
        <v>335</v>
      </c>
      <c r="S153" t="s">
        <v>187</v>
      </c>
      <c r="T153">
        <v>97823</v>
      </c>
      <c r="U153" t="s">
        <v>100</v>
      </c>
      <c r="V153" t="s">
        <v>101</v>
      </c>
      <c r="W153" t="s">
        <v>154</v>
      </c>
      <c r="X153" t="s">
        <v>336</v>
      </c>
      <c r="Y153" t="s">
        <v>119</v>
      </c>
    </row>
    <row r="154" spans="1:25">
      <c r="A154">
        <v>10259</v>
      </c>
      <c r="B154">
        <v>26</v>
      </c>
      <c r="C154">
        <v>100</v>
      </c>
      <c r="D154">
        <v>12</v>
      </c>
      <c r="E154">
        <v>4033.38</v>
      </c>
      <c r="F154" t="s">
        <v>337</v>
      </c>
      <c r="G154" t="s">
        <v>93</v>
      </c>
      <c r="H154">
        <v>2</v>
      </c>
      <c r="I154">
        <v>6</v>
      </c>
      <c r="J154">
        <v>2004</v>
      </c>
      <c r="K154" t="s">
        <v>265</v>
      </c>
      <c r="L154">
        <v>147</v>
      </c>
      <c r="M154" t="s">
        <v>519</v>
      </c>
      <c r="N154" t="s">
        <v>536</v>
      </c>
      <c r="O154" t="s">
        <v>537</v>
      </c>
      <c r="P154" t="s">
        <v>538</v>
      </c>
      <c r="Q154" t="s">
        <v>539</v>
      </c>
      <c r="R154" t="s">
        <v>287</v>
      </c>
      <c r="T154">
        <v>69045</v>
      </c>
      <c r="U154" t="s">
        <v>287</v>
      </c>
      <c r="V154" t="s">
        <v>169</v>
      </c>
      <c r="W154" t="s">
        <v>540</v>
      </c>
      <c r="X154" t="s">
        <v>541</v>
      </c>
      <c r="Y154" t="s">
        <v>119</v>
      </c>
    </row>
    <row r="155" spans="1:25">
      <c r="A155">
        <v>10270</v>
      </c>
      <c r="B155">
        <v>32</v>
      </c>
      <c r="C155">
        <v>100</v>
      </c>
      <c r="D155">
        <v>2</v>
      </c>
      <c r="E155">
        <v>4302.08</v>
      </c>
      <c r="F155" t="s">
        <v>346</v>
      </c>
      <c r="G155" t="s">
        <v>93</v>
      </c>
      <c r="H155">
        <v>3</v>
      </c>
      <c r="I155">
        <v>7</v>
      </c>
      <c r="J155">
        <v>2004</v>
      </c>
      <c r="K155" t="s">
        <v>265</v>
      </c>
      <c r="L155">
        <v>147</v>
      </c>
      <c r="M155" t="s">
        <v>519</v>
      </c>
      <c r="N155" t="s">
        <v>234</v>
      </c>
      <c r="O155" t="s">
        <v>235</v>
      </c>
      <c r="P155" t="s">
        <v>236</v>
      </c>
      <c r="Q155" t="s">
        <v>237</v>
      </c>
      <c r="R155" t="s">
        <v>238</v>
      </c>
      <c r="S155" t="s">
        <v>239</v>
      </c>
      <c r="T155">
        <v>2067</v>
      </c>
      <c r="U155" t="s">
        <v>168</v>
      </c>
      <c r="V155" t="s">
        <v>169</v>
      </c>
      <c r="W155" t="s">
        <v>240</v>
      </c>
      <c r="X155" t="s">
        <v>241</v>
      </c>
      <c r="Y155" t="s">
        <v>119</v>
      </c>
    </row>
    <row r="156" spans="1:25">
      <c r="A156">
        <v>10281</v>
      </c>
      <c r="B156">
        <v>44</v>
      </c>
      <c r="C156">
        <v>100</v>
      </c>
      <c r="D156">
        <v>9</v>
      </c>
      <c r="E156">
        <v>7020.64</v>
      </c>
      <c r="F156" t="s">
        <v>542</v>
      </c>
      <c r="G156" t="s">
        <v>93</v>
      </c>
      <c r="H156">
        <v>3</v>
      </c>
      <c r="I156">
        <v>8</v>
      </c>
      <c r="J156">
        <v>2004</v>
      </c>
      <c r="K156" t="s">
        <v>265</v>
      </c>
      <c r="L156">
        <v>147</v>
      </c>
      <c r="M156" t="s">
        <v>519</v>
      </c>
      <c r="N156" t="s">
        <v>218</v>
      </c>
      <c r="O156">
        <v>2155551555</v>
      </c>
      <c r="P156" t="s">
        <v>219</v>
      </c>
      <c r="R156" t="s">
        <v>220</v>
      </c>
      <c r="S156" t="s">
        <v>221</v>
      </c>
      <c r="T156">
        <v>70267</v>
      </c>
      <c r="U156" t="s">
        <v>100</v>
      </c>
      <c r="V156" t="s">
        <v>101</v>
      </c>
      <c r="W156" t="s">
        <v>102</v>
      </c>
      <c r="X156" t="s">
        <v>222</v>
      </c>
      <c r="Y156" t="s">
        <v>232</v>
      </c>
    </row>
    <row r="157" spans="1:25">
      <c r="A157">
        <v>10291</v>
      </c>
      <c r="B157">
        <v>30</v>
      </c>
      <c r="C157">
        <v>100</v>
      </c>
      <c r="D157">
        <v>4</v>
      </c>
      <c r="E157">
        <v>3855.9</v>
      </c>
      <c r="F157" s="4">
        <v>38208</v>
      </c>
      <c r="G157" t="s">
        <v>93</v>
      </c>
      <c r="H157">
        <v>3</v>
      </c>
      <c r="I157">
        <v>9</v>
      </c>
      <c r="J157">
        <v>2004</v>
      </c>
      <c r="K157" t="s">
        <v>265</v>
      </c>
      <c r="L157">
        <v>147</v>
      </c>
      <c r="M157" t="s">
        <v>519</v>
      </c>
      <c r="N157" t="s">
        <v>355</v>
      </c>
      <c r="O157" t="s">
        <v>356</v>
      </c>
      <c r="P157" t="s">
        <v>357</v>
      </c>
      <c r="R157" t="s">
        <v>358</v>
      </c>
      <c r="T157" t="s">
        <v>359</v>
      </c>
      <c r="U157" t="s">
        <v>273</v>
      </c>
      <c r="V157" t="s">
        <v>110</v>
      </c>
      <c r="W157" t="s">
        <v>360</v>
      </c>
      <c r="X157" t="s">
        <v>295</v>
      </c>
      <c r="Y157" t="s">
        <v>119</v>
      </c>
    </row>
    <row r="158" spans="1:25">
      <c r="A158">
        <v>10305</v>
      </c>
      <c r="B158">
        <v>38</v>
      </c>
      <c r="C158">
        <v>100</v>
      </c>
      <c r="D158">
        <v>13</v>
      </c>
      <c r="E158">
        <v>6680.78</v>
      </c>
      <c r="F158" t="s">
        <v>543</v>
      </c>
      <c r="G158" t="s">
        <v>93</v>
      </c>
      <c r="H158">
        <v>4</v>
      </c>
      <c r="I158">
        <v>10</v>
      </c>
      <c r="J158">
        <v>2004</v>
      </c>
      <c r="K158" t="s">
        <v>265</v>
      </c>
      <c r="L158">
        <v>147</v>
      </c>
      <c r="M158" t="s">
        <v>519</v>
      </c>
      <c r="N158" t="s">
        <v>197</v>
      </c>
      <c r="O158">
        <v>6175558555</v>
      </c>
      <c r="P158" t="s">
        <v>198</v>
      </c>
      <c r="R158" t="s">
        <v>199</v>
      </c>
      <c r="S158" t="s">
        <v>200</v>
      </c>
      <c r="T158">
        <v>51247</v>
      </c>
      <c r="U158" t="s">
        <v>100</v>
      </c>
      <c r="V158" t="s">
        <v>101</v>
      </c>
      <c r="W158" t="s">
        <v>201</v>
      </c>
      <c r="X158" t="s">
        <v>202</v>
      </c>
      <c r="Y158" t="s">
        <v>119</v>
      </c>
    </row>
    <row r="159" spans="1:25">
      <c r="A159">
        <v>10313</v>
      </c>
      <c r="B159">
        <v>40</v>
      </c>
      <c r="C159">
        <v>100</v>
      </c>
      <c r="D159">
        <v>7</v>
      </c>
      <c r="E159">
        <v>6678</v>
      </c>
      <c r="F159" t="s">
        <v>544</v>
      </c>
      <c r="G159" t="s">
        <v>93</v>
      </c>
      <c r="H159">
        <v>4</v>
      </c>
      <c r="I159">
        <v>10</v>
      </c>
      <c r="J159">
        <v>2004</v>
      </c>
      <c r="K159" t="s">
        <v>265</v>
      </c>
      <c r="L159">
        <v>147</v>
      </c>
      <c r="M159" t="s">
        <v>519</v>
      </c>
      <c r="N159" t="s">
        <v>316</v>
      </c>
      <c r="O159" t="s">
        <v>317</v>
      </c>
      <c r="P159" t="s">
        <v>318</v>
      </c>
      <c r="R159" t="s">
        <v>319</v>
      </c>
      <c r="S159" t="s">
        <v>320</v>
      </c>
      <c r="T159" t="s">
        <v>321</v>
      </c>
      <c r="U159" t="s">
        <v>322</v>
      </c>
      <c r="V159" t="s">
        <v>101</v>
      </c>
      <c r="W159" t="s">
        <v>323</v>
      </c>
      <c r="X159" t="s">
        <v>324</v>
      </c>
      <c r="Y159" t="s">
        <v>119</v>
      </c>
    </row>
    <row r="160" spans="1:25">
      <c r="A160">
        <v>10322</v>
      </c>
      <c r="B160">
        <v>46</v>
      </c>
      <c r="C160">
        <v>61.99</v>
      </c>
      <c r="D160">
        <v>8</v>
      </c>
      <c r="E160">
        <v>2851.54</v>
      </c>
      <c r="F160" s="4">
        <v>38088</v>
      </c>
      <c r="G160" t="s">
        <v>93</v>
      </c>
      <c r="H160">
        <v>4</v>
      </c>
      <c r="I160">
        <v>11</v>
      </c>
      <c r="J160">
        <v>2004</v>
      </c>
      <c r="K160" t="s">
        <v>265</v>
      </c>
      <c r="L160">
        <v>147</v>
      </c>
      <c r="M160" t="s">
        <v>519</v>
      </c>
      <c r="N160" t="s">
        <v>372</v>
      </c>
      <c r="O160">
        <v>6035558647</v>
      </c>
      <c r="P160" t="s">
        <v>373</v>
      </c>
      <c r="R160" t="s">
        <v>374</v>
      </c>
      <c r="S160" t="s">
        <v>375</v>
      </c>
      <c r="T160">
        <v>62005</v>
      </c>
      <c r="U160" t="s">
        <v>100</v>
      </c>
      <c r="V160" t="s">
        <v>101</v>
      </c>
      <c r="W160" t="s">
        <v>125</v>
      </c>
      <c r="X160" t="s">
        <v>371</v>
      </c>
      <c r="Y160" t="s">
        <v>104</v>
      </c>
    </row>
    <row r="161" spans="1:25">
      <c r="A161">
        <v>10334</v>
      </c>
      <c r="B161">
        <v>26</v>
      </c>
      <c r="C161">
        <v>100</v>
      </c>
      <c r="D161">
        <v>2</v>
      </c>
      <c r="E161">
        <v>3188.12</v>
      </c>
      <c r="F161" t="s">
        <v>545</v>
      </c>
      <c r="G161" t="s">
        <v>518</v>
      </c>
      <c r="H161">
        <v>4</v>
      </c>
      <c r="I161">
        <v>11</v>
      </c>
      <c r="J161">
        <v>2004</v>
      </c>
      <c r="K161" t="s">
        <v>265</v>
      </c>
      <c r="L161">
        <v>147</v>
      </c>
      <c r="M161" t="s">
        <v>519</v>
      </c>
      <c r="N161" t="s">
        <v>268</v>
      </c>
      <c r="O161" t="s">
        <v>269</v>
      </c>
      <c r="P161" t="s">
        <v>270</v>
      </c>
      <c r="R161" t="s">
        <v>271</v>
      </c>
      <c r="T161" t="s">
        <v>272</v>
      </c>
      <c r="U161" t="s">
        <v>273</v>
      </c>
      <c r="V161" t="s">
        <v>110</v>
      </c>
      <c r="W161" t="s">
        <v>274</v>
      </c>
      <c r="X161" t="s">
        <v>275</v>
      </c>
      <c r="Y161" t="s">
        <v>119</v>
      </c>
    </row>
    <row r="162" spans="1:25">
      <c r="A162">
        <v>10347</v>
      </c>
      <c r="B162">
        <v>27</v>
      </c>
      <c r="C162">
        <v>100</v>
      </c>
      <c r="D162">
        <v>2</v>
      </c>
      <c r="E162">
        <v>4428</v>
      </c>
      <c r="F162" t="s">
        <v>377</v>
      </c>
      <c r="G162" t="s">
        <v>93</v>
      </c>
      <c r="H162">
        <v>4</v>
      </c>
      <c r="I162">
        <v>11</v>
      </c>
      <c r="J162">
        <v>2004</v>
      </c>
      <c r="K162" t="s">
        <v>265</v>
      </c>
      <c r="L162">
        <v>147</v>
      </c>
      <c r="M162" t="s">
        <v>519</v>
      </c>
      <c r="N162" t="s">
        <v>162</v>
      </c>
      <c r="O162" t="s">
        <v>163</v>
      </c>
      <c r="P162" t="s">
        <v>164</v>
      </c>
      <c r="Q162" t="s">
        <v>165</v>
      </c>
      <c r="R162" t="s">
        <v>166</v>
      </c>
      <c r="S162" t="s">
        <v>167</v>
      </c>
      <c r="T162">
        <v>3004</v>
      </c>
      <c r="U162" t="s">
        <v>168</v>
      </c>
      <c r="V162" t="s">
        <v>169</v>
      </c>
      <c r="W162" t="s">
        <v>170</v>
      </c>
      <c r="X162" t="s">
        <v>171</v>
      </c>
      <c r="Y162" t="s">
        <v>119</v>
      </c>
    </row>
    <row r="163" spans="1:25">
      <c r="A163">
        <v>10357</v>
      </c>
      <c r="B163">
        <v>43</v>
      </c>
      <c r="C163">
        <v>100</v>
      </c>
      <c r="D163">
        <v>9</v>
      </c>
      <c r="E163">
        <v>5780.92</v>
      </c>
      <c r="F163" s="4">
        <v>38272</v>
      </c>
      <c r="G163" t="s">
        <v>93</v>
      </c>
      <c r="H163">
        <v>4</v>
      </c>
      <c r="I163">
        <v>12</v>
      </c>
      <c r="J163">
        <v>2004</v>
      </c>
      <c r="K163" t="s">
        <v>265</v>
      </c>
      <c r="L163">
        <v>147</v>
      </c>
      <c r="M163" t="s">
        <v>519</v>
      </c>
      <c r="N163" t="s">
        <v>367</v>
      </c>
      <c r="O163">
        <v>4155551450</v>
      </c>
      <c r="P163" t="s">
        <v>368</v>
      </c>
      <c r="R163" t="s">
        <v>369</v>
      </c>
      <c r="S163" t="s">
        <v>124</v>
      </c>
      <c r="T163">
        <v>97562</v>
      </c>
      <c r="U163" t="s">
        <v>100</v>
      </c>
      <c r="V163" t="s">
        <v>101</v>
      </c>
      <c r="W163" t="s">
        <v>370</v>
      </c>
      <c r="X163" t="s">
        <v>371</v>
      </c>
      <c r="Y163" t="s">
        <v>119</v>
      </c>
    </row>
    <row r="164" spans="1:25">
      <c r="A164">
        <v>10370</v>
      </c>
      <c r="B164">
        <v>35</v>
      </c>
      <c r="C164">
        <v>65.63</v>
      </c>
      <c r="D164">
        <v>4</v>
      </c>
      <c r="E164">
        <v>2297.0500000000002</v>
      </c>
      <c r="F164" t="s">
        <v>378</v>
      </c>
      <c r="G164" t="s">
        <v>93</v>
      </c>
      <c r="H164">
        <v>1</v>
      </c>
      <c r="I164">
        <v>1</v>
      </c>
      <c r="J164">
        <v>2005</v>
      </c>
      <c r="K164" t="s">
        <v>265</v>
      </c>
      <c r="L164">
        <v>147</v>
      </c>
      <c r="M164" t="s">
        <v>519</v>
      </c>
      <c r="N164" t="s">
        <v>384</v>
      </c>
      <c r="O164" t="s">
        <v>385</v>
      </c>
      <c r="P164" t="s">
        <v>386</v>
      </c>
      <c r="Q164" t="s">
        <v>387</v>
      </c>
      <c r="R164" t="s">
        <v>388</v>
      </c>
      <c r="S164" t="s">
        <v>239</v>
      </c>
      <c r="T164">
        <v>2060</v>
      </c>
      <c r="U164" t="s">
        <v>168</v>
      </c>
      <c r="V164" t="s">
        <v>169</v>
      </c>
      <c r="W164" t="s">
        <v>389</v>
      </c>
      <c r="X164" t="s">
        <v>390</v>
      </c>
      <c r="Y164" t="s">
        <v>104</v>
      </c>
    </row>
    <row r="165" spans="1:25">
      <c r="A165">
        <v>10381</v>
      </c>
      <c r="B165">
        <v>37</v>
      </c>
      <c r="C165">
        <v>100</v>
      </c>
      <c r="D165">
        <v>6</v>
      </c>
      <c r="E165">
        <v>6231.54</v>
      </c>
      <c r="F165" t="s">
        <v>383</v>
      </c>
      <c r="G165" t="s">
        <v>93</v>
      </c>
      <c r="H165">
        <v>1</v>
      </c>
      <c r="I165">
        <v>2</v>
      </c>
      <c r="J165">
        <v>2005</v>
      </c>
      <c r="K165" t="s">
        <v>265</v>
      </c>
      <c r="L165">
        <v>147</v>
      </c>
      <c r="M165" t="s">
        <v>519</v>
      </c>
      <c r="N165" t="s">
        <v>127</v>
      </c>
      <c r="O165">
        <v>6505551386</v>
      </c>
      <c r="P165" t="s">
        <v>128</v>
      </c>
      <c r="R165" t="s">
        <v>129</v>
      </c>
      <c r="S165" t="s">
        <v>124</v>
      </c>
      <c r="U165" t="s">
        <v>100</v>
      </c>
      <c r="V165" t="s">
        <v>101</v>
      </c>
      <c r="W165" t="s">
        <v>130</v>
      </c>
      <c r="X165" t="s">
        <v>126</v>
      </c>
      <c r="Y165" t="s">
        <v>119</v>
      </c>
    </row>
    <row r="166" spans="1:25">
      <c r="A166">
        <v>10391</v>
      </c>
      <c r="B166">
        <v>37</v>
      </c>
      <c r="C166">
        <v>46.9</v>
      </c>
      <c r="D166">
        <v>7</v>
      </c>
      <c r="E166">
        <v>1735.3</v>
      </c>
      <c r="F166" s="4">
        <v>38598</v>
      </c>
      <c r="G166" t="s">
        <v>93</v>
      </c>
      <c r="H166">
        <v>1</v>
      </c>
      <c r="I166">
        <v>3</v>
      </c>
      <c r="J166">
        <v>2005</v>
      </c>
      <c r="K166" t="s">
        <v>265</v>
      </c>
      <c r="L166">
        <v>147</v>
      </c>
      <c r="M166" t="s">
        <v>519</v>
      </c>
      <c r="N166" t="s">
        <v>384</v>
      </c>
      <c r="O166" t="s">
        <v>385</v>
      </c>
      <c r="P166" t="s">
        <v>386</v>
      </c>
      <c r="Q166" t="s">
        <v>387</v>
      </c>
      <c r="R166" t="s">
        <v>388</v>
      </c>
      <c r="S166" t="s">
        <v>239</v>
      </c>
      <c r="T166">
        <v>2060</v>
      </c>
      <c r="U166" t="s">
        <v>168</v>
      </c>
      <c r="V166" t="s">
        <v>169</v>
      </c>
      <c r="W166" t="s">
        <v>389</v>
      </c>
      <c r="X166" t="s">
        <v>390</v>
      </c>
      <c r="Y166" t="s">
        <v>104</v>
      </c>
    </row>
    <row r="167" spans="1:25">
      <c r="A167">
        <v>10411</v>
      </c>
      <c r="B167">
        <v>27</v>
      </c>
      <c r="C167">
        <v>100</v>
      </c>
      <c r="D167">
        <v>2</v>
      </c>
      <c r="E167">
        <v>4427.7299999999996</v>
      </c>
      <c r="F167" s="4">
        <v>38357</v>
      </c>
      <c r="G167" t="s">
        <v>93</v>
      </c>
      <c r="H167">
        <v>2</v>
      </c>
      <c r="I167">
        <v>5</v>
      </c>
      <c r="J167">
        <v>2005</v>
      </c>
      <c r="K167" t="s">
        <v>265</v>
      </c>
      <c r="L167">
        <v>147</v>
      </c>
      <c r="M167" t="s">
        <v>519</v>
      </c>
      <c r="N167" t="s">
        <v>391</v>
      </c>
      <c r="O167" t="s">
        <v>392</v>
      </c>
      <c r="P167" t="s">
        <v>393</v>
      </c>
      <c r="R167" t="s">
        <v>394</v>
      </c>
      <c r="S167" t="s">
        <v>395</v>
      </c>
      <c r="T167" t="s">
        <v>396</v>
      </c>
      <c r="U167" t="s">
        <v>322</v>
      </c>
      <c r="V167" t="s">
        <v>101</v>
      </c>
      <c r="W167" t="s">
        <v>397</v>
      </c>
      <c r="X167" t="s">
        <v>398</v>
      </c>
      <c r="Y167" t="s">
        <v>119</v>
      </c>
    </row>
    <row r="168" spans="1:25">
      <c r="A168">
        <v>10425</v>
      </c>
      <c r="B168">
        <v>38</v>
      </c>
      <c r="C168">
        <v>100</v>
      </c>
      <c r="D168">
        <v>12</v>
      </c>
      <c r="E168">
        <v>5894.94</v>
      </c>
      <c r="F168" t="s">
        <v>399</v>
      </c>
      <c r="G168" t="s">
        <v>400</v>
      </c>
      <c r="H168">
        <v>2</v>
      </c>
      <c r="I168">
        <v>5</v>
      </c>
      <c r="J168">
        <v>2005</v>
      </c>
      <c r="K168" t="s">
        <v>265</v>
      </c>
      <c r="L168">
        <v>147</v>
      </c>
      <c r="M168" t="s">
        <v>519</v>
      </c>
      <c r="N168" t="s">
        <v>190</v>
      </c>
      <c r="O168" t="s">
        <v>191</v>
      </c>
      <c r="P168" t="s">
        <v>192</v>
      </c>
      <c r="R168" t="s">
        <v>193</v>
      </c>
      <c r="T168">
        <v>44000</v>
      </c>
      <c r="U168" t="s">
        <v>109</v>
      </c>
      <c r="V168" t="s">
        <v>110</v>
      </c>
      <c r="W168" t="s">
        <v>194</v>
      </c>
      <c r="X168" t="s">
        <v>195</v>
      </c>
      <c r="Y168" t="s">
        <v>119</v>
      </c>
    </row>
    <row r="169" spans="1:25">
      <c r="A169">
        <v>10108</v>
      </c>
      <c r="B169">
        <v>33</v>
      </c>
      <c r="C169">
        <v>100</v>
      </c>
      <c r="D169">
        <v>6</v>
      </c>
      <c r="E169">
        <v>5265.15</v>
      </c>
      <c r="F169" s="4">
        <v>37683</v>
      </c>
      <c r="G169" t="s">
        <v>93</v>
      </c>
      <c r="H169">
        <v>1</v>
      </c>
      <c r="I169">
        <v>3</v>
      </c>
      <c r="J169">
        <v>2003</v>
      </c>
      <c r="K169" t="s">
        <v>265</v>
      </c>
      <c r="L169">
        <v>194</v>
      </c>
      <c r="M169" t="s">
        <v>546</v>
      </c>
      <c r="N169" t="s">
        <v>547</v>
      </c>
      <c r="O169" t="s">
        <v>548</v>
      </c>
      <c r="P169" t="s">
        <v>549</v>
      </c>
      <c r="R169" t="s">
        <v>550</v>
      </c>
      <c r="T169" t="s">
        <v>551</v>
      </c>
      <c r="U169" t="s">
        <v>552</v>
      </c>
      <c r="V169" t="s">
        <v>288</v>
      </c>
      <c r="W169" t="s">
        <v>553</v>
      </c>
      <c r="X169" t="s">
        <v>554</v>
      </c>
      <c r="Y169" t="s">
        <v>119</v>
      </c>
    </row>
    <row r="170" spans="1:25">
      <c r="A170">
        <v>10122</v>
      </c>
      <c r="B170">
        <v>42</v>
      </c>
      <c r="C170">
        <v>100</v>
      </c>
      <c r="D170">
        <v>10</v>
      </c>
      <c r="E170">
        <v>7599.9</v>
      </c>
      <c r="F170" s="4">
        <v>37838</v>
      </c>
      <c r="G170" t="s">
        <v>93</v>
      </c>
      <c r="H170">
        <v>2</v>
      </c>
      <c r="I170">
        <v>5</v>
      </c>
      <c r="J170">
        <v>2003</v>
      </c>
      <c r="K170" t="s">
        <v>265</v>
      </c>
      <c r="L170">
        <v>194</v>
      </c>
      <c r="M170" t="s">
        <v>546</v>
      </c>
      <c r="N170" t="s">
        <v>555</v>
      </c>
      <c r="O170" t="s">
        <v>556</v>
      </c>
      <c r="P170" t="s">
        <v>557</v>
      </c>
      <c r="R170" t="s">
        <v>558</v>
      </c>
      <c r="T170">
        <v>13008</v>
      </c>
      <c r="U170" t="s">
        <v>109</v>
      </c>
      <c r="V170" t="s">
        <v>110</v>
      </c>
      <c r="W170" t="s">
        <v>559</v>
      </c>
      <c r="X170" t="s">
        <v>560</v>
      </c>
      <c r="Y170" t="s">
        <v>232</v>
      </c>
    </row>
    <row r="171" spans="1:25">
      <c r="A171">
        <v>10135</v>
      </c>
      <c r="B171">
        <v>42</v>
      </c>
      <c r="C171">
        <v>100</v>
      </c>
      <c r="D171">
        <v>7</v>
      </c>
      <c r="E171">
        <v>8008.56</v>
      </c>
      <c r="F171" s="4">
        <v>37659</v>
      </c>
      <c r="G171" t="s">
        <v>93</v>
      </c>
      <c r="H171">
        <v>3</v>
      </c>
      <c r="I171">
        <v>7</v>
      </c>
      <c r="J171">
        <v>2003</v>
      </c>
      <c r="K171" t="s">
        <v>265</v>
      </c>
      <c r="L171">
        <v>194</v>
      </c>
      <c r="M171" t="s">
        <v>546</v>
      </c>
      <c r="N171" t="s">
        <v>367</v>
      </c>
      <c r="O171">
        <v>4155551450</v>
      </c>
      <c r="P171" t="s">
        <v>368</v>
      </c>
      <c r="R171" t="s">
        <v>369</v>
      </c>
      <c r="S171" t="s">
        <v>124</v>
      </c>
      <c r="T171">
        <v>97562</v>
      </c>
      <c r="U171" t="s">
        <v>100</v>
      </c>
      <c r="V171" t="s">
        <v>101</v>
      </c>
      <c r="W171" t="s">
        <v>370</v>
      </c>
      <c r="X171" t="s">
        <v>371</v>
      </c>
      <c r="Y171" t="s">
        <v>232</v>
      </c>
    </row>
    <row r="172" spans="1:25">
      <c r="A172">
        <v>10147</v>
      </c>
      <c r="B172">
        <v>48</v>
      </c>
      <c r="C172">
        <v>100</v>
      </c>
      <c r="D172">
        <v>7</v>
      </c>
      <c r="E172">
        <v>9245.76</v>
      </c>
      <c r="F172" s="4">
        <v>37750</v>
      </c>
      <c r="G172" t="s">
        <v>93</v>
      </c>
      <c r="H172">
        <v>3</v>
      </c>
      <c r="I172">
        <v>9</v>
      </c>
      <c r="J172">
        <v>2003</v>
      </c>
      <c r="K172" t="s">
        <v>265</v>
      </c>
      <c r="L172">
        <v>194</v>
      </c>
      <c r="M172" t="s">
        <v>546</v>
      </c>
      <c r="N172" t="s">
        <v>379</v>
      </c>
      <c r="O172">
        <v>6175558555</v>
      </c>
      <c r="P172" t="s">
        <v>380</v>
      </c>
      <c r="R172" t="s">
        <v>381</v>
      </c>
      <c r="S172" t="s">
        <v>200</v>
      </c>
      <c r="T172">
        <v>58339</v>
      </c>
      <c r="U172" t="s">
        <v>100</v>
      </c>
      <c r="V172" t="s">
        <v>101</v>
      </c>
      <c r="W172" t="s">
        <v>370</v>
      </c>
      <c r="X172" t="s">
        <v>382</v>
      </c>
      <c r="Y172" t="s">
        <v>232</v>
      </c>
    </row>
    <row r="173" spans="1:25">
      <c r="A173">
        <v>10159</v>
      </c>
      <c r="B173">
        <v>41</v>
      </c>
      <c r="C173">
        <v>100</v>
      </c>
      <c r="D173">
        <v>2</v>
      </c>
      <c r="E173">
        <v>8296.35</v>
      </c>
      <c r="F173" s="4">
        <v>37904</v>
      </c>
      <c r="G173" t="s">
        <v>93</v>
      </c>
      <c r="H173">
        <v>4</v>
      </c>
      <c r="I173">
        <v>10</v>
      </c>
      <c r="J173">
        <v>2003</v>
      </c>
      <c r="K173" t="s">
        <v>265</v>
      </c>
      <c r="L173">
        <v>194</v>
      </c>
      <c r="M173" t="s">
        <v>546</v>
      </c>
      <c r="N173" t="s">
        <v>127</v>
      </c>
      <c r="O173">
        <v>6505551386</v>
      </c>
      <c r="P173" t="s">
        <v>128</v>
      </c>
      <c r="R173" t="s">
        <v>129</v>
      </c>
      <c r="S173" t="s">
        <v>124</v>
      </c>
      <c r="U173" t="s">
        <v>100</v>
      </c>
      <c r="V173" t="s">
        <v>101</v>
      </c>
      <c r="W173" t="s">
        <v>130</v>
      </c>
      <c r="X173" t="s">
        <v>126</v>
      </c>
      <c r="Y173" t="s">
        <v>232</v>
      </c>
    </row>
    <row r="174" spans="1:25">
      <c r="A174">
        <v>10169</v>
      </c>
      <c r="B174">
        <v>30</v>
      </c>
      <c r="C174">
        <v>100</v>
      </c>
      <c r="D174">
        <v>2</v>
      </c>
      <c r="E174">
        <v>5019.8999999999996</v>
      </c>
      <c r="F174" s="4">
        <v>37722</v>
      </c>
      <c r="G174" t="s">
        <v>93</v>
      </c>
      <c r="H174">
        <v>4</v>
      </c>
      <c r="I174">
        <v>11</v>
      </c>
      <c r="J174">
        <v>2003</v>
      </c>
      <c r="K174" t="s">
        <v>265</v>
      </c>
      <c r="L174">
        <v>194</v>
      </c>
      <c r="M174" t="s">
        <v>546</v>
      </c>
      <c r="N174" t="s">
        <v>384</v>
      </c>
      <c r="O174" t="s">
        <v>385</v>
      </c>
      <c r="P174" t="s">
        <v>386</v>
      </c>
      <c r="Q174" t="s">
        <v>387</v>
      </c>
      <c r="R174" t="s">
        <v>388</v>
      </c>
      <c r="S174" t="s">
        <v>239</v>
      </c>
      <c r="T174">
        <v>2060</v>
      </c>
      <c r="U174" t="s">
        <v>168</v>
      </c>
      <c r="V174" t="s">
        <v>169</v>
      </c>
      <c r="W174" t="s">
        <v>389</v>
      </c>
      <c r="X174" t="s">
        <v>390</v>
      </c>
      <c r="Y174" t="s">
        <v>119</v>
      </c>
    </row>
    <row r="175" spans="1:25">
      <c r="A175">
        <v>10181</v>
      </c>
      <c r="B175">
        <v>27</v>
      </c>
      <c r="C175">
        <v>100</v>
      </c>
      <c r="D175">
        <v>14</v>
      </c>
      <c r="E175">
        <v>5411.07</v>
      </c>
      <c r="F175" s="4">
        <v>37966</v>
      </c>
      <c r="G175" t="s">
        <v>93</v>
      </c>
      <c r="H175">
        <v>4</v>
      </c>
      <c r="I175">
        <v>11</v>
      </c>
      <c r="J175">
        <v>2003</v>
      </c>
      <c r="K175" t="s">
        <v>265</v>
      </c>
      <c r="L175">
        <v>194</v>
      </c>
      <c r="M175" t="s">
        <v>546</v>
      </c>
      <c r="N175" t="s">
        <v>144</v>
      </c>
      <c r="O175" t="s">
        <v>145</v>
      </c>
      <c r="P175" t="s">
        <v>146</v>
      </c>
      <c r="R175" t="s">
        <v>147</v>
      </c>
      <c r="T175" t="s">
        <v>148</v>
      </c>
      <c r="U175" t="s">
        <v>149</v>
      </c>
      <c r="V175" t="s">
        <v>110</v>
      </c>
      <c r="W175" t="s">
        <v>150</v>
      </c>
      <c r="X175" t="s">
        <v>151</v>
      </c>
      <c r="Y175" t="s">
        <v>119</v>
      </c>
    </row>
    <row r="176" spans="1:25">
      <c r="A176">
        <v>10191</v>
      </c>
      <c r="B176">
        <v>21</v>
      </c>
      <c r="C176">
        <v>100</v>
      </c>
      <c r="D176">
        <v>3</v>
      </c>
      <c r="E176">
        <v>3840.9</v>
      </c>
      <c r="F176" t="s">
        <v>561</v>
      </c>
      <c r="G176" t="s">
        <v>93</v>
      </c>
      <c r="H176">
        <v>4</v>
      </c>
      <c r="I176">
        <v>11</v>
      </c>
      <c r="J176">
        <v>2003</v>
      </c>
      <c r="K176" t="s">
        <v>265</v>
      </c>
      <c r="L176">
        <v>194</v>
      </c>
      <c r="M176" t="s">
        <v>546</v>
      </c>
      <c r="N176" t="s">
        <v>562</v>
      </c>
      <c r="O176" t="s">
        <v>563</v>
      </c>
      <c r="P176" t="s">
        <v>564</v>
      </c>
      <c r="R176" t="s">
        <v>565</v>
      </c>
      <c r="T176">
        <v>50739</v>
      </c>
      <c r="U176" t="s">
        <v>566</v>
      </c>
      <c r="V176" t="s">
        <v>110</v>
      </c>
      <c r="W176" t="s">
        <v>567</v>
      </c>
      <c r="X176" t="s">
        <v>568</v>
      </c>
      <c r="Y176" t="s">
        <v>119</v>
      </c>
    </row>
    <row r="177" spans="1:25">
      <c r="A177">
        <v>10203</v>
      </c>
      <c r="B177">
        <v>20</v>
      </c>
      <c r="C177">
        <v>100</v>
      </c>
      <c r="D177">
        <v>8</v>
      </c>
      <c r="E177">
        <v>3930.4</v>
      </c>
      <c r="F177" s="4">
        <v>37664</v>
      </c>
      <c r="G177" t="s">
        <v>93</v>
      </c>
      <c r="H177">
        <v>4</v>
      </c>
      <c r="I177">
        <v>12</v>
      </c>
      <c r="J177">
        <v>2003</v>
      </c>
      <c r="K177" t="s">
        <v>265</v>
      </c>
      <c r="L177">
        <v>194</v>
      </c>
      <c r="M177" t="s">
        <v>546</v>
      </c>
      <c r="N177" t="s">
        <v>257</v>
      </c>
      <c r="O177" t="s">
        <v>258</v>
      </c>
      <c r="P177" t="s">
        <v>259</v>
      </c>
      <c r="R177" t="s">
        <v>260</v>
      </c>
      <c r="T177">
        <v>28034</v>
      </c>
      <c r="U177" t="s">
        <v>261</v>
      </c>
      <c r="V177" t="s">
        <v>110</v>
      </c>
      <c r="W177" t="s">
        <v>262</v>
      </c>
      <c r="X177" t="s">
        <v>263</v>
      </c>
      <c r="Y177" t="s">
        <v>119</v>
      </c>
    </row>
    <row r="178" spans="1:25">
      <c r="A178">
        <v>10211</v>
      </c>
      <c r="B178">
        <v>41</v>
      </c>
      <c r="C178">
        <v>100</v>
      </c>
      <c r="D178">
        <v>2</v>
      </c>
      <c r="E178">
        <v>7498.9</v>
      </c>
      <c r="F178" t="s">
        <v>155</v>
      </c>
      <c r="G178" t="s">
        <v>93</v>
      </c>
      <c r="H178">
        <v>1</v>
      </c>
      <c r="I178">
        <v>1</v>
      </c>
      <c r="J178">
        <v>2004</v>
      </c>
      <c r="K178" t="s">
        <v>265</v>
      </c>
      <c r="L178">
        <v>194</v>
      </c>
      <c r="M178" t="s">
        <v>546</v>
      </c>
      <c r="N178" t="s">
        <v>156</v>
      </c>
      <c r="O178" t="s">
        <v>157</v>
      </c>
      <c r="P178" t="s">
        <v>158</v>
      </c>
      <c r="R178" t="s">
        <v>116</v>
      </c>
      <c r="T178">
        <v>75016</v>
      </c>
      <c r="U178" t="s">
        <v>109</v>
      </c>
      <c r="V178" t="s">
        <v>110</v>
      </c>
      <c r="W178" t="s">
        <v>159</v>
      </c>
      <c r="X178" t="s">
        <v>160</v>
      </c>
      <c r="Y178" t="s">
        <v>232</v>
      </c>
    </row>
    <row r="179" spans="1:25">
      <c r="A179">
        <v>10225</v>
      </c>
      <c r="B179">
        <v>27</v>
      </c>
      <c r="C179">
        <v>100</v>
      </c>
      <c r="D179">
        <v>9</v>
      </c>
      <c r="E179">
        <v>4517.91</v>
      </c>
      <c r="F179" t="s">
        <v>569</v>
      </c>
      <c r="G179" t="s">
        <v>93</v>
      </c>
      <c r="H179">
        <v>1</v>
      </c>
      <c r="I179">
        <v>2</v>
      </c>
      <c r="J179">
        <v>2004</v>
      </c>
      <c r="K179" t="s">
        <v>265</v>
      </c>
      <c r="L179">
        <v>194</v>
      </c>
      <c r="M179" t="s">
        <v>546</v>
      </c>
      <c r="N179" t="s">
        <v>570</v>
      </c>
      <c r="O179" t="s">
        <v>571</v>
      </c>
      <c r="P179" t="s">
        <v>572</v>
      </c>
      <c r="R179" t="s">
        <v>573</v>
      </c>
      <c r="T179">
        <v>1203</v>
      </c>
      <c r="U179" t="s">
        <v>574</v>
      </c>
      <c r="V179" t="s">
        <v>110</v>
      </c>
      <c r="W179" t="s">
        <v>575</v>
      </c>
      <c r="X179" t="s">
        <v>176</v>
      </c>
      <c r="Y179" t="s">
        <v>119</v>
      </c>
    </row>
    <row r="180" spans="1:25">
      <c r="A180">
        <v>10238</v>
      </c>
      <c r="B180">
        <v>28</v>
      </c>
      <c r="C180">
        <v>100</v>
      </c>
      <c r="D180">
        <v>3</v>
      </c>
      <c r="E180">
        <v>5774.72</v>
      </c>
      <c r="F180" s="4">
        <v>38234</v>
      </c>
      <c r="G180" t="s">
        <v>93</v>
      </c>
      <c r="H180">
        <v>2</v>
      </c>
      <c r="I180">
        <v>4</v>
      </c>
      <c r="J180">
        <v>2004</v>
      </c>
      <c r="K180" t="s">
        <v>265</v>
      </c>
      <c r="L180">
        <v>194</v>
      </c>
      <c r="M180" t="s">
        <v>546</v>
      </c>
      <c r="N180" t="s">
        <v>425</v>
      </c>
      <c r="O180" t="s">
        <v>426</v>
      </c>
      <c r="P180" t="s">
        <v>427</v>
      </c>
      <c r="R180" t="s">
        <v>428</v>
      </c>
      <c r="T180">
        <v>1734</v>
      </c>
      <c r="U180" t="s">
        <v>429</v>
      </c>
      <c r="V180" t="s">
        <v>110</v>
      </c>
      <c r="W180" t="s">
        <v>430</v>
      </c>
      <c r="X180" t="s">
        <v>431</v>
      </c>
      <c r="Y180" t="s">
        <v>119</v>
      </c>
    </row>
    <row r="181" spans="1:25">
      <c r="A181">
        <v>10253</v>
      </c>
      <c r="B181">
        <v>24</v>
      </c>
      <c r="C181">
        <v>100</v>
      </c>
      <c r="D181">
        <v>13</v>
      </c>
      <c r="E181">
        <v>3922.56</v>
      </c>
      <c r="F181" s="4">
        <v>37992</v>
      </c>
      <c r="G181" t="s">
        <v>444</v>
      </c>
      <c r="H181">
        <v>2</v>
      </c>
      <c r="I181">
        <v>6</v>
      </c>
      <c r="J181">
        <v>2004</v>
      </c>
      <c r="K181" t="s">
        <v>265</v>
      </c>
      <c r="L181">
        <v>194</v>
      </c>
      <c r="M181" t="s">
        <v>546</v>
      </c>
      <c r="N181" t="s">
        <v>247</v>
      </c>
      <c r="O181" t="s">
        <v>248</v>
      </c>
      <c r="P181" t="s">
        <v>249</v>
      </c>
      <c r="R181" t="s">
        <v>250</v>
      </c>
      <c r="T181" t="s">
        <v>251</v>
      </c>
      <c r="U181" t="s">
        <v>252</v>
      </c>
      <c r="V181" t="s">
        <v>110</v>
      </c>
      <c r="W181" t="s">
        <v>253</v>
      </c>
      <c r="X181" t="s">
        <v>254</v>
      </c>
      <c r="Y181" t="s">
        <v>119</v>
      </c>
    </row>
    <row r="182" spans="1:25">
      <c r="A182">
        <v>10266</v>
      </c>
      <c r="B182">
        <v>44</v>
      </c>
      <c r="C182">
        <v>100</v>
      </c>
      <c r="D182">
        <v>14</v>
      </c>
      <c r="E182">
        <v>9160.36</v>
      </c>
      <c r="F182" s="4">
        <v>38145</v>
      </c>
      <c r="G182" t="s">
        <v>93</v>
      </c>
      <c r="H182">
        <v>3</v>
      </c>
      <c r="I182">
        <v>7</v>
      </c>
      <c r="J182">
        <v>2004</v>
      </c>
      <c r="K182" t="s">
        <v>265</v>
      </c>
      <c r="L182">
        <v>194</v>
      </c>
      <c r="M182" t="s">
        <v>546</v>
      </c>
      <c r="N182" t="s">
        <v>576</v>
      </c>
      <c r="O182" t="s">
        <v>577</v>
      </c>
      <c r="P182" t="s">
        <v>578</v>
      </c>
      <c r="R182" t="s">
        <v>579</v>
      </c>
      <c r="T182">
        <v>42100</v>
      </c>
      <c r="U182" t="s">
        <v>352</v>
      </c>
      <c r="V182" t="s">
        <v>110</v>
      </c>
      <c r="W182" t="s">
        <v>580</v>
      </c>
      <c r="X182" t="s">
        <v>581</v>
      </c>
      <c r="Y182" t="s">
        <v>232</v>
      </c>
    </row>
    <row r="183" spans="1:25">
      <c r="A183">
        <v>10276</v>
      </c>
      <c r="B183">
        <v>50</v>
      </c>
      <c r="C183">
        <v>100</v>
      </c>
      <c r="D183">
        <v>3</v>
      </c>
      <c r="E183">
        <v>9631</v>
      </c>
      <c r="F183" s="4">
        <v>38025</v>
      </c>
      <c r="G183" t="s">
        <v>93</v>
      </c>
      <c r="H183">
        <v>3</v>
      </c>
      <c r="I183">
        <v>8</v>
      </c>
      <c r="J183">
        <v>2004</v>
      </c>
      <c r="K183" t="s">
        <v>265</v>
      </c>
      <c r="L183">
        <v>194</v>
      </c>
      <c r="M183" t="s">
        <v>546</v>
      </c>
      <c r="N183" t="s">
        <v>582</v>
      </c>
      <c r="O183">
        <v>6175557555</v>
      </c>
      <c r="P183" t="s">
        <v>583</v>
      </c>
      <c r="R183" t="s">
        <v>381</v>
      </c>
      <c r="S183" t="s">
        <v>200</v>
      </c>
      <c r="T183">
        <v>58339</v>
      </c>
      <c r="U183" t="s">
        <v>100</v>
      </c>
      <c r="V183" t="s">
        <v>101</v>
      </c>
      <c r="W183" t="s">
        <v>584</v>
      </c>
      <c r="X183" t="s">
        <v>585</v>
      </c>
      <c r="Y183" t="s">
        <v>232</v>
      </c>
    </row>
    <row r="184" spans="1:25">
      <c r="A184">
        <v>10287</v>
      </c>
      <c r="B184">
        <v>21</v>
      </c>
      <c r="C184">
        <v>100</v>
      </c>
      <c r="D184">
        <v>12</v>
      </c>
      <c r="E184">
        <v>3432.24</v>
      </c>
      <c r="F184" t="s">
        <v>586</v>
      </c>
      <c r="G184" t="s">
        <v>93</v>
      </c>
      <c r="H184">
        <v>3</v>
      </c>
      <c r="I184">
        <v>8</v>
      </c>
      <c r="J184">
        <v>2004</v>
      </c>
      <c r="K184" t="s">
        <v>265</v>
      </c>
      <c r="L184">
        <v>194</v>
      </c>
      <c r="M184" t="s">
        <v>546</v>
      </c>
      <c r="N184" t="s">
        <v>570</v>
      </c>
      <c r="O184" t="s">
        <v>571</v>
      </c>
      <c r="P184" t="s">
        <v>572</v>
      </c>
      <c r="R184" t="s">
        <v>573</v>
      </c>
      <c r="T184">
        <v>1203</v>
      </c>
      <c r="U184" t="s">
        <v>574</v>
      </c>
      <c r="V184" t="s">
        <v>110</v>
      </c>
      <c r="W184" t="s">
        <v>575</v>
      </c>
      <c r="X184" t="s">
        <v>176</v>
      </c>
      <c r="Y184" t="s">
        <v>119</v>
      </c>
    </row>
    <row r="185" spans="1:25">
      <c r="A185">
        <v>10300</v>
      </c>
      <c r="B185">
        <v>33</v>
      </c>
      <c r="C185">
        <v>100</v>
      </c>
      <c r="D185">
        <v>5</v>
      </c>
      <c r="E185">
        <v>5521.89</v>
      </c>
      <c r="F185" s="4">
        <v>37721</v>
      </c>
      <c r="G185" t="s">
        <v>93</v>
      </c>
      <c r="H185">
        <v>4</v>
      </c>
      <c r="I185">
        <v>10</v>
      </c>
      <c r="J185">
        <v>2003</v>
      </c>
      <c r="K185" t="s">
        <v>265</v>
      </c>
      <c r="L185">
        <v>194</v>
      </c>
      <c r="M185" t="s">
        <v>546</v>
      </c>
      <c r="N185" t="s">
        <v>587</v>
      </c>
      <c r="O185" t="s">
        <v>588</v>
      </c>
      <c r="P185" t="s">
        <v>589</v>
      </c>
      <c r="R185" t="s">
        <v>590</v>
      </c>
      <c r="T185">
        <v>60528</v>
      </c>
      <c r="U185" t="s">
        <v>566</v>
      </c>
      <c r="V185" t="s">
        <v>110</v>
      </c>
      <c r="W185" t="s">
        <v>591</v>
      </c>
      <c r="X185" t="s">
        <v>532</v>
      </c>
      <c r="Y185" t="s">
        <v>119</v>
      </c>
    </row>
    <row r="186" spans="1:25">
      <c r="A186">
        <v>10310</v>
      </c>
      <c r="B186">
        <v>33</v>
      </c>
      <c r="C186">
        <v>100</v>
      </c>
      <c r="D186">
        <v>10</v>
      </c>
      <c r="E186">
        <v>6934.62</v>
      </c>
      <c r="F186" t="s">
        <v>592</v>
      </c>
      <c r="G186" t="s">
        <v>93</v>
      </c>
      <c r="H186">
        <v>4</v>
      </c>
      <c r="I186">
        <v>10</v>
      </c>
      <c r="J186">
        <v>2004</v>
      </c>
      <c r="K186" t="s">
        <v>265</v>
      </c>
      <c r="L186">
        <v>194</v>
      </c>
      <c r="M186" t="s">
        <v>546</v>
      </c>
      <c r="N186" t="s">
        <v>562</v>
      </c>
      <c r="O186" t="s">
        <v>563</v>
      </c>
      <c r="P186" t="s">
        <v>564</v>
      </c>
      <c r="R186" t="s">
        <v>565</v>
      </c>
      <c r="T186">
        <v>50739</v>
      </c>
      <c r="U186" t="s">
        <v>566</v>
      </c>
      <c r="V186" t="s">
        <v>110</v>
      </c>
      <c r="W186" t="s">
        <v>567</v>
      </c>
      <c r="X186" t="s">
        <v>568</v>
      </c>
      <c r="Y186" t="s">
        <v>119</v>
      </c>
    </row>
    <row r="187" spans="1:25">
      <c r="A187">
        <v>10320</v>
      </c>
      <c r="B187">
        <v>31</v>
      </c>
      <c r="C187">
        <v>100</v>
      </c>
      <c r="D187">
        <v>3</v>
      </c>
      <c r="E187">
        <v>6876.11</v>
      </c>
      <c r="F187" s="4">
        <v>38057</v>
      </c>
      <c r="G187" t="s">
        <v>93</v>
      </c>
      <c r="H187">
        <v>4</v>
      </c>
      <c r="I187">
        <v>11</v>
      </c>
      <c r="J187">
        <v>2004</v>
      </c>
      <c r="K187" t="s">
        <v>265</v>
      </c>
      <c r="L187">
        <v>194</v>
      </c>
      <c r="M187" t="s">
        <v>546</v>
      </c>
      <c r="N187" t="s">
        <v>268</v>
      </c>
      <c r="O187" t="s">
        <v>269</v>
      </c>
      <c r="P187" t="s">
        <v>270</v>
      </c>
      <c r="R187" t="s">
        <v>271</v>
      </c>
      <c r="T187" t="s">
        <v>272</v>
      </c>
      <c r="U187" t="s">
        <v>273</v>
      </c>
      <c r="V187" t="s">
        <v>110</v>
      </c>
      <c r="W187" t="s">
        <v>274</v>
      </c>
      <c r="X187" t="s">
        <v>275</v>
      </c>
      <c r="Y187" t="s">
        <v>119</v>
      </c>
    </row>
    <row r="188" spans="1:25">
      <c r="A188">
        <v>10329</v>
      </c>
      <c r="B188">
        <v>41</v>
      </c>
      <c r="C188">
        <v>71.47</v>
      </c>
      <c r="D188">
        <v>5</v>
      </c>
      <c r="E188">
        <v>2930.27</v>
      </c>
      <c r="F188" t="s">
        <v>223</v>
      </c>
      <c r="G188" t="s">
        <v>93</v>
      </c>
      <c r="H188">
        <v>4</v>
      </c>
      <c r="I188">
        <v>11</v>
      </c>
      <c r="J188">
        <v>2004</v>
      </c>
      <c r="K188" t="s">
        <v>265</v>
      </c>
      <c r="L188">
        <v>194</v>
      </c>
      <c r="M188" t="s">
        <v>546</v>
      </c>
      <c r="N188" t="s">
        <v>96</v>
      </c>
      <c r="O188">
        <v>2125557818</v>
      </c>
      <c r="P188" t="s">
        <v>97</v>
      </c>
      <c r="R188" t="s">
        <v>98</v>
      </c>
      <c r="S188" t="s">
        <v>99</v>
      </c>
      <c r="T188">
        <v>10022</v>
      </c>
      <c r="U188" t="s">
        <v>100</v>
      </c>
      <c r="V188" t="s">
        <v>101</v>
      </c>
      <c r="W188" t="s">
        <v>102</v>
      </c>
      <c r="X188" t="s">
        <v>103</v>
      </c>
      <c r="Y188" t="s">
        <v>104</v>
      </c>
    </row>
    <row r="189" spans="1:25">
      <c r="A189">
        <v>10341</v>
      </c>
      <c r="B189">
        <v>45</v>
      </c>
      <c r="C189">
        <v>79.650000000000006</v>
      </c>
      <c r="D189">
        <v>2</v>
      </c>
      <c r="E189">
        <v>3584.25</v>
      </c>
      <c r="F189" t="s">
        <v>224</v>
      </c>
      <c r="G189" t="s">
        <v>93</v>
      </c>
      <c r="H189">
        <v>4</v>
      </c>
      <c r="I189">
        <v>11</v>
      </c>
      <c r="J189">
        <v>2004</v>
      </c>
      <c r="K189" t="s">
        <v>265</v>
      </c>
      <c r="L189">
        <v>194</v>
      </c>
      <c r="M189" t="s">
        <v>546</v>
      </c>
      <c r="N189" t="s">
        <v>225</v>
      </c>
      <c r="O189" t="s">
        <v>226</v>
      </c>
      <c r="P189" t="s">
        <v>227</v>
      </c>
      <c r="R189" t="s">
        <v>228</v>
      </c>
      <c r="T189">
        <v>5020</v>
      </c>
      <c r="U189" t="s">
        <v>229</v>
      </c>
      <c r="V189" t="s">
        <v>110</v>
      </c>
      <c r="W189" t="s">
        <v>230</v>
      </c>
      <c r="X189" t="s">
        <v>231</v>
      </c>
      <c r="Y189" t="s">
        <v>119</v>
      </c>
    </row>
    <row r="190" spans="1:25">
      <c r="A190">
        <v>10363</v>
      </c>
      <c r="B190">
        <v>33</v>
      </c>
      <c r="C190">
        <v>85.39</v>
      </c>
      <c r="D190">
        <v>3</v>
      </c>
      <c r="E190">
        <v>2817.87</v>
      </c>
      <c r="F190" s="4">
        <v>38504</v>
      </c>
      <c r="G190" t="s">
        <v>93</v>
      </c>
      <c r="H190">
        <v>1</v>
      </c>
      <c r="I190">
        <v>1</v>
      </c>
      <c r="J190">
        <v>2005</v>
      </c>
      <c r="K190" t="s">
        <v>265</v>
      </c>
      <c r="L190">
        <v>194</v>
      </c>
      <c r="M190" t="s">
        <v>546</v>
      </c>
      <c r="N190" t="s">
        <v>593</v>
      </c>
      <c r="O190" t="s">
        <v>594</v>
      </c>
      <c r="P190" t="s">
        <v>595</v>
      </c>
      <c r="R190" t="s">
        <v>596</v>
      </c>
      <c r="T190" t="s">
        <v>597</v>
      </c>
      <c r="U190" t="s">
        <v>208</v>
      </c>
      <c r="V190" t="s">
        <v>110</v>
      </c>
      <c r="W190" t="s">
        <v>598</v>
      </c>
      <c r="X190" t="s">
        <v>599</v>
      </c>
      <c r="Y190" t="s">
        <v>104</v>
      </c>
    </row>
    <row r="191" spans="1:25">
      <c r="A191">
        <v>10375</v>
      </c>
      <c r="B191">
        <v>45</v>
      </c>
      <c r="C191">
        <v>76</v>
      </c>
      <c r="D191">
        <v>7</v>
      </c>
      <c r="E191">
        <v>3420</v>
      </c>
      <c r="F191" s="4">
        <v>38413</v>
      </c>
      <c r="G191" t="s">
        <v>93</v>
      </c>
      <c r="H191">
        <v>1</v>
      </c>
      <c r="I191">
        <v>2</v>
      </c>
      <c r="J191">
        <v>2005</v>
      </c>
      <c r="K191" t="s">
        <v>265</v>
      </c>
      <c r="L191">
        <v>194</v>
      </c>
      <c r="M191" t="s">
        <v>546</v>
      </c>
      <c r="N191" t="s">
        <v>190</v>
      </c>
      <c r="O191" t="s">
        <v>191</v>
      </c>
      <c r="P191" t="s">
        <v>192</v>
      </c>
      <c r="R191" t="s">
        <v>193</v>
      </c>
      <c r="T191">
        <v>44000</v>
      </c>
      <c r="U191" t="s">
        <v>109</v>
      </c>
      <c r="V191" t="s">
        <v>110</v>
      </c>
      <c r="W191" t="s">
        <v>194</v>
      </c>
      <c r="X191" t="s">
        <v>195</v>
      </c>
      <c r="Y191" t="s">
        <v>119</v>
      </c>
    </row>
    <row r="192" spans="1:25">
      <c r="A192">
        <v>10389</v>
      </c>
      <c r="B192">
        <v>26</v>
      </c>
      <c r="C192">
        <v>99.04</v>
      </c>
      <c r="D192">
        <v>4</v>
      </c>
      <c r="E192">
        <v>2575.04</v>
      </c>
      <c r="F192" s="4">
        <v>38414</v>
      </c>
      <c r="G192" t="s">
        <v>93</v>
      </c>
      <c r="H192">
        <v>1</v>
      </c>
      <c r="I192">
        <v>3</v>
      </c>
      <c r="J192">
        <v>2005</v>
      </c>
      <c r="K192" t="s">
        <v>265</v>
      </c>
      <c r="L192">
        <v>194</v>
      </c>
      <c r="M192" t="s">
        <v>546</v>
      </c>
      <c r="N192" t="s">
        <v>355</v>
      </c>
      <c r="O192" t="s">
        <v>356</v>
      </c>
      <c r="P192" t="s">
        <v>357</v>
      </c>
      <c r="R192" t="s">
        <v>358</v>
      </c>
      <c r="T192" t="s">
        <v>359</v>
      </c>
      <c r="U192" t="s">
        <v>273</v>
      </c>
      <c r="V192" t="s">
        <v>110</v>
      </c>
      <c r="W192" t="s">
        <v>360</v>
      </c>
      <c r="X192" t="s">
        <v>295</v>
      </c>
      <c r="Y192" t="s">
        <v>104</v>
      </c>
    </row>
    <row r="193" spans="1:25">
      <c r="A193">
        <v>10419</v>
      </c>
      <c r="B193">
        <v>12</v>
      </c>
      <c r="C193">
        <v>100</v>
      </c>
      <c r="D193">
        <v>13</v>
      </c>
      <c r="E193">
        <v>1961.28</v>
      </c>
      <c r="F193" t="s">
        <v>600</v>
      </c>
      <c r="G193" t="s">
        <v>93</v>
      </c>
      <c r="H193">
        <v>2</v>
      </c>
      <c r="I193">
        <v>5</v>
      </c>
      <c r="J193">
        <v>2005</v>
      </c>
      <c r="K193" t="s">
        <v>265</v>
      </c>
      <c r="L193">
        <v>194</v>
      </c>
      <c r="M193" t="s">
        <v>546</v>
      </c>
      <c r="N193" t="s">
        <v>225</v>
      </c>
      <c r="O193" t="s">
        <v>226</v>
      </c>
      <c r="P193" t="s">
        <v>227</v>
      </c>
      <c r="R193" t="s">
        <v>228</v>
      </c>
      <c r="T193">
        <v>5020</v>
      </c>
      <c r="U193" t="s">
        <v>229</v>
      </c>
      <c r="V193" t="s">
        <v>110</v>
      </c>
      <c r="W193" t="s">
        <v>230</v>
      </c>
      <c r="X193" t="s">
        <v>231</v>
      </c>
      <c r="Y193" t="s">
        <v>104</v>
      </c>
    </row>
    <row r="194" spans="1:25">
      <c r="A194">
        <v>10105</v>
      </c>
      <c r="B194">
        <v>41</v>
      </c>
      <c r="C194">
        <v>100</v>
      </c>
      <c r="D194">
        <v>15</v>
      </c>
      <c r="E194">
        <v>8690.36</v>
      </c>
      <c r="F194" s="4">
        <v>37927</v>
      </c>
      <c r="G194" t="s">
        <v>93</v>
      </c>
      <c r="H194">
        <v>1</v>
      </c>
      <c r="I194">
        <v>2</v>
      </c>
      <c r="J194">
        <v>2003</v>
      </c>
      <c r="K194" t="s">
        <v>265</v>
      </c>
      <c r="L194">
        <v>207</v>
      </c>
      <c r="M194" t="s">
        <v>601</v>
      </c>
      <c r="N194" t="s">
        <v>425</v>
      </c>
      <c r="O194" t="s">
        <v>426</v>
      </c>
      <c r="P194" t="s">
        <v>427</v>
      </c>
      <c r="R194" t="s">
        <v>428</v>
      </c>
      <c r="T194">
        <v>1734</v>
      </c>
      <c r="U194" t="s">
        <v>429</v>
      </c>
      <c r="V194" t="s">
        <v>110</v>
      </c>
      <c r="W194" t="s">
        <v>430</v>
      </c>
      <c r="X194" t="s">
        <v>431</v>
      </c>
      <c r="Y194" t="s">
        <v>232</v>
      </c>
    </row>
    <row r="195" spans="1:25">
      <c r="A195">
        <v>10117</v>
      </c>
      <c r="B195">
        <v>33</v>
      </c>
      <c r="C195">
        <v>100</v>
      </c>
      <c r="D195">
        <v>9</v>
      </c>
      <c r="E195">
        <v>6034.38</v>
      </c>
      <c r="F195" t="s">
        <v>602</v>
      </c>
      <c r="G195" t="s">
        <v>93</v>
      </c>
      <c r="H195">
        <v>2</v>
      </c>
      <c r="I195">
        <v>4</v>
      </c>
      <c r="J195">
        <v>2003</v>
      </c>
      <c r="K195" t="s">
        <v>265</v>
      </c>
      <c r="L195">
        <v>207</v>
      </c>
      <c r="M195" t="s">
        <v>601</v>
      </c>
      <c r="N195" t="s">
        <v>284</v>
      </c>
      <c r="O195" t="s">
        <v>285</v>
      </c>
      <c r="P195" t="s">
        <v>286</v>
      </c>
      <c r="R195" t="s">
        <v>287</v>
      </c>
      <c r="T195">
        <v>79903</v>
      </c>
      <c r="U195" t="s">
        <v>287</v>
      </c>
      <c r="V195" t="s">
        <v>288</v>
      </c>
      <c r="W195" t="s">
        <v>289</v>
      </c>
      <c r="X195" t="s">
        <v>290</v>
      </c>
      <c r="Y195" t="s">
        <v>119</v>
      </c>
    </row>
    <row r="196" spans="1:25">
      <c r="A196">
        <v>10127</v>
      </c>
      <c r="B196">
        <v>46</v>
      </c>
      <c r="C196">
        <v>100</v>
      </c>
      <c r="D196">
        <v>2</v>
      </c>
      <c r="E196">
        <v>11279.2</v>
      </c>
      <c r="F196" s="4">
        <v>37686</v>
      </c>
      <c r="G196" t="s">
        <v>93</v>
      </c>
      <c r="H196">
        <v>2</v>
      </c>
      <c r="I196">
        <v>6</v>
      </c>
      <c r="J196">
        <v>2003</v>
      </c>
      <c r="K196" t="s">
        <v>265</v>
      </c>
      <c r="L196">
        <v>207</v>
      </c>
      <c r="M196" t="s">
        <v>601</v>
      </c>
      <c r="N196" t="s">
        <v>603</v>
      </c>
      <c r="O196">
        <v>2125557413</v>
      </c>
      <c r="P196" t="s">
        <v>604</v>
      </c>
      <c r="Q196" t="s">
        <v>605</v>
      </c>
      <c r="R196" t="s">
        <v>98</v>
      </c>
      <c r="S196" t="s">
        <v>99</v>
      </c>
      <c r="T196">
        <v>10022</v>
      </c>
      <c r="U196" t="s">
        <v>100</v>
      </c>
      <c r="V196" t="s">
        <v>101</v>
      </c>
      <c r="W196" t="s">
        <v>125</v>
      </c>
      <c r="X196" t="s">
        <v>606</v>
      </c>
      <c r="Y196" t="s">
        <v>232</v>
      </c>
    </row>
    <row r="197" spans="1:25">
      <c r="A197">
        <v>10142</v>
      </c>
      <c r="B197">
        <v>33</v>
      </c>
      <c r="C197">
        <v>100</v>
      </c>
      <c r="D197">
        <v>12</v>
      </c>
      <c r="E197">
        <v>8023.29</v>
      </c>
      <c r="F197" s="4">
        <v>37841</v>
      </c>
      <c r="G197" t="s">
        <v>93</v>
      </c>
      <c r="H197">
        <v>3</v>
      </c>
      <c r="I197">
        <v>8</v>
      </c>
      <c r="J197">
        <v>2003</v>
      </c>
      <c r="K197" t="s">
        <v>265</v>
      </c>
      <c r="L197">
        <v>207</v>
      </c>
      <c r="M197" t="s">
        <v>601</v>
      </c>
      <c r="N197" t="s">
        <v>367</v>
      </c>
      <c r="O197">
        <v>4155551450</v>
      </c>
      <c r="P197" t="s">
        <v>368</v>
      </c>
      <c r="R197" t="s">
        <v>369</v>
      </c>
      <c r="S197" t="s">
        <v>124</v>
      </c>
      <c r="T197">
        <v>97562</v>
      </c>
      <c r="U197" t="s">
        <v>100</v>
      </c>
      <c r="V197" t="s">
        <v>101</v>
      </c>
      <c r="W197" t="s">
        <v>370</v>
      </c>
      <c r="X197" t="s">
        <v>371</v>
      </c>
      <c r="Y197" t="s">
        <v>232</v>
      </c>
    </row>
    <row r="198" spans="1:25">
      <c r="A198">
        <v>10153</v>
      </c>
      <c r="B198">
        <v>20</v>
      </c>
      <c r="C198">
        <v>100</v>
      </c>
      <c r="D198">
        <v>11</v>
      </c>
      <c r="E198">
        <v>4904</v>
      </c>
      <c r="F198" t="s">
        <v>607</v>
      </c>
      <c r="G198" t="s">
        <v>93</v>
      </c>
      <c r="H198">
        <v>3</v>
      </c>
      <c r="I198">
        <v>9</v>
      </c>
      <c r="J198">
        <v>2003</v>
      </c>
      <c r="K198" t="s">
        <v>265</v>
      </c>
      <c r="L198">
        <v>207</v>
      </c>
      <c r="M198" t="s">
        <v>601</v>
      </c>
      <c r="N198" t="s">
        <v>257</v>
      </c>
      <c r="O198" t="s">
        <v>258</v>
      </c>
      <c r="P198" t="s">
        <v>259</v>
      </c>
      <c r="R198" t="s">
        <v>260</v>
      </c>
      <c r="T198">
        <v>28034</v>
      </c>
      <c r="U198" t="s">
        <v>261</v>
      </c>
      <c r="V198" t="s">
        <v>110</v>
      </c>
      <c r="W198" t="s">
        <v>262</v>
      </c>
      <c r="X198" t="s">
        <v>263</v>
      </c>
      <c r="Y198" t="s">
        <v>119</v>
      </c>
    </row>
    <row r="199" spans="1:25">
      <c r="A199">
        <v>10165</v>
      </c>
      <c r="B199">
        <v>44</v>
      </c>
      <c r="C199">
        <v>100</v>
      </c>
      <c r="D199">
        <v>3</v>
      </c>
      <c r="E199">
        <v>8594.52</v>
      </c>
      <c r="F199" t="s">
        <v>608</v>
      </c>
      <c r="G199" t="s">
        <v>93</v>
      </c>
      <c r="H199">
        <v>4</v>
      </c>
      <c r="I199">
        <v>10</v>
      </c>
      <c r="J199">
        <v>2003</v>
      </c>
      <c r="K199" t="s">
        <v>265</v>
      </c>
      <c r="L199">
        <v>207</v>
      </c>
      <c r="M199" t="s">
        <v>601</v>
      </c>
      <c r="N199" t="s">
        <v>284</v>
      </c>
      <c r="O199" t="s">
        <v>285</v>
      </c>
      <c r="P199" t="s">
        <v>286</v>
      </c>
      <c r="R199" t="s">
        <v>287</v>
      </c>
      <c r="T199">
        <v>79903</v>
      </c>
      <c r="U199" t="s">
        <v>287</v>
      </c>
      <c r="V199" t="s">
        <v>288</v>
      </c>
      <c r="W199" t="s">
        <v>289</v>
      </c>
      <c r="X199" t="s">
        <v>290</v>
      </c>
      <c r="Y199" t="s">
        <v>232</v>
      </c>
    </row>
    <row r="200" spans="1:25">
      <c r="A200">
        <v>10176</v>
      </c>
      <c r="B200">
        <v>33</v>
      </c>
      <c r="C200">
        <v>100</v>
      </c>
      <c r="D200">
        <v>2</v>
      </c>
      <c r="E200">
        <v>7474.5</v>
      </c>
      <c r="F200" s="4">
        <v>37783</v>
      </c>
      <c r="G200" t="s">
        <v>93</v>
      </c>
      <c r="H200">
        <v>4</v>
      </c>
      <c r="I200">
        <v>11</v>
      </c>
      <c r="J200">
        <v>2003</v>
      </c>
      <c r="K200" t="s">
        <v>265</v>
      </c>
      <c r="L200">
        <v>207</v>
      </c>
      <c r="M200" t="s">
        <v>601</v>
      </c>
      <c r="N200" t="s">
        <v>576</v>
      </c>
      <c r="O200" t="s">
        <v>577</v>
      </c>
      <c r="P200" t="s">
        <v>578</v>
      </c>
      <c r="R200" t="s">
        <v>579</v>
      </c>
      <c r="T200">
        <v>42100</v>
      </c>
      <c r="U200" t="s">
        <v>352</v>
      </c>
      <c r="V200" t="s">
        <v>110</v>
      </c>
      <c r="W200" t="s">
        <v>580</v>
      </c>
      <c r="X200" t="s">
        <v>581</v>
      </c>
      <c r="Y200" t="s">
        <v>232</v>
      </c>
    </row>
    <row r="201" spans="1:25">
      <c r="A201">
        <v>10185</v>
      </c>
      <c r="B201">
        <v>21</v>
      </c>
      <c r="C201">
        <v>100</v>
      </c>
      <c r="D201">
        <v>13</v>
      </c>
      <c r="E201">
        <v>3883.74</v>
      </c>
      <c r="F201" t="s">
        <v>451</v>
      </c>
      <c r="G201" t="s">
        <v>93</v>
      </c>
      <c r="H201">
        <v>4</v>
      </c>
      <c r="I201">
        <v>11</v>
      </c>
      <c r="J201">
        <v>2003</v>
      </c>
      <c r="K201" t="s">
        <v>265</v>
      </c>
      <c r="L201">
        <v>207</v>
      </c>
      <c r="M201" t="s">
        <v>601</v>
      </c>
      <c r="N201" t="s">
        <v>439</v>
      </c>
      <c r="O201">
        <v>5085559555</v>
      </c>
      <c r="P201" t="s">
        <v>440</v>
      </c>
      <c r="R201" t="s">
        <v>244</v>
      </c>
      <c r="S201" t="s">
        <v>200</v>
      </c>
      <c r="T201">
        <v>50553</v>
      </c>
      <c r="U201" t="s">
        <v>100</v>
      </c>
      <c r="V201" t="s">
        <v>101</v>
      </c>
      <c r="W201" t="s">
        <v>441</v>
      </c>
      <c r="X201" t="s">
        <v>442</v>
      </c>
      <c r="Y201" t="s">
        <v>119</v>
      </c>
    </row>
    <row r="202" spans="1:25">
      <c r="A202">
        <v>10196</v>
      </c>
      <c r="B202">
        <v>47</v>
      </c>
      <c r="C202">
        <v>100</v>
      </c>
      <c r="D202">
        <v>5</v>
      </c>
      <c r="E202">
        <v>8887.7000000000007</v>
      </c>
      <c r="F202" t="s">
        <v>458</v>
      </c>
      <c r="G202" t="s">
        <v>93</v>
      </c>
      <c r="H202">
        <v>4</v>
      </c>
      <c r="I202">
        <v>11</v>
      </c>
      <c r="J202">
        <v>2003</v>
      </c>
      <c r="K202" t="s">
        <v>265</v>
      </c>
      <c r="L202">
        <v>207</v>
      </c>
      <c r="M202" t="s">
        <v>601</v>
      </c>
      <c r="N202" t="s">
        <v>333</v>
      </c>
      <c r="O202">
        <v>2035559545</v>
      </c>
      <c r="P202" t="s">
        <v>334</v>
      </c>
      <c r="R202" t="s">
        <v>335</v>
      </c>
      <c r="S202" t="s">
        <v>187</v>
      </c>
      <c r="T202">
        <v>97823</v>
      </c>
      <c r="U202" t="s">
        <v>100</v>
      </c>
      <c r="V202" t="s">
        <v>101</v>
      </c>
      <c r="W202" t="s">
        <v>154</v>
      </c>
      <c r="X202" t="s">
        <v>336</v>
      </c>
      <c r="Y202" t="s">
        <v>232</v>
      </c>
    </row>
    <row r="203" spans="1:25">
      <c r="A203">
        <v>10208</v>
      </c>
      <c r="B203">
        <v>46</v>
      </c>
      <c r="C203">
        <v>100</v>
      </c>
      <c r="D203">
        <v>13</v>
      </c>
      <c r="E203">
        <v>8602.92</v>
      </c>
      <c r="F203" s="4">
        <v>38018</v>
      </c>
      <c r="G203" t="s">
        <v>93</v>
      </c>
      <c r="H203">
        <v>1</v>
      </c>
      <c r="I203">
        <v>1</v>
      </c>
      <c r="J203">
        <v>2004</v>
      </c>
      <c r="K203" t="s">
        <v>265</v>
      </c>
      <c r="L203">
        <v>207</v>
      </c>
      <c r="M203" t="s">
        <v>601</v>
      </c>
      <c r="N203" t="s">
        <v>310</v>
      </c>
      <c r="O203" t="s">
        <v>311</v>
      </c>
      <c r="P203" t="s">
        <v>312</v>
      </c>
      <c r="R203" t="s">
        <v>313</v>
      </c>
      <c r="T203">
        <v>69004</v>
      </c>
      <c r="U203" t="s">
        <v>109</v>
      </c>
      <c r="V203" t="s">
        <v>110</v>
      </c>
      <c r="W203" t="s">
        <v>314</v>
      </c>
      <c r="X203" t="s">
        <v>315</v>
      </c>
      <c r="Y203" t="s">
        <v>232</v>
      </c>
    </row>
    <row r="204" spans="1:25">
      <c r="A204">
        <v>10220</v>
      </c>
      <c r="B204">
        <v>32</v>
      </c>
      <c r="C204">
        <v>100</v>
      </c>
      <c r="D204">
        <v>2</v>
      </c>
      <c r="E204">
        <v>7181.44</v>
      </c>
      <c r="F204" s="4">
        <v>38323</v>
      </c>
      <c r="G204" t="s">
        <v>93</v>
      </c>
      <c r="H204">
        <v>1</v>
      </c>
      <c r="I204">
        <v>2</v>
      </c>
      <c r="J204">
        <v>2004</v>
      </c>
      <c r="K204" t="s">
        <v>265</v>
      </c>
      <c r="L204">
        <v>207</v>
      </c>
      <c r="M204" t="s">
        <v>601</v>
      </c>
      <c r="N204" t="s">
        <v>609</v>
      </c>
      <c r="O204" t="s">
        <v>610</v>
      </c>
      <c r="P204" t="s">
        <v>611</v>
      </c>
      <c r="Q204" t="s">
        <v>612</v>
      </c>
      <c r="R204" t="s">
        <v>613</v>
      </c>
      <c r="T204">
        <v>2</v>
      </c>
      <c r="U204" t="s">
        <v>614</v>
      </c>
      <c r="V204" t="s">
        <v>110</v>
      </c>
      <c r="W204" t="s">
        <v>615</v>
      </c>
      <c r="X204" t="s">
        <v>616</v>
      </c>
      <c r="Y204" t="s">
        <v>232</v>
      </c>
    </row>
    <row r="205" spans="1:25">
      <c r="A205">
        <v>10231</v>
      </c>
      <c r="B205">
        <v>42</v>
      </c>
      <c r="C205">
        <v>100</v>
      </c>
      <c r="D205">
        <v>2</v>
      </c>
      <c r="E205">
        <v>8378.58</v>
      </c>
      <c r="F205" t="s">
        <v>617</v>
      </c>
      <c r="G205" t="s">
        <v>93</v>
      </c>
      <c r="H205">
        <v>1</v>
      </c>
      <c r="I205">
        <v>3</v>
      </c>
      <c r="J205">
        <v>2004</v>
      </c>
      <c r="K205" t="s">
        <v>265</v>
      </c>
      <c r="L205">
        <v>207</v>
      </c>
      <c r="M205" t="s">
        <v>601</v>
      </c>
      <c r="N205" t="s">
        <v>618</v>
      </c>
      <c r="O205" t="s">
        <v>619</v>
      </c>
      <c r="P205" t="s">
        <v>620</v>
      </c>
      <c r="R205" t="s">
        <v>260</v>
      </c>
      <c r="T205">
        <v>28023</v>
      </c>
      <c r="U205" t="s">
        <v>261</v>
      </c>
      <c r="V205" t="s">
        <v>110</v>
      </c>
      <c r="W205" t="s">
        <v>621</v>
      </c>
      <c r="X205" t="s">
        <v>622</v>
      </c>
      <c r="Y205" t="s">
        <v>232</v>
      </c>
    </row>
    <row r="206" spans="1:25">
      <c r="A206">
        <v>10247</v>
      </c>
      <c r="B206">
        <v>44</v>
      </c>
      <c r="C206">
        <v>100</v>
      </c>
      <c r="D206">
        <v>2</v>
      </c>
      <c r="E206">
        <v>10606.2</v>
      </c>
      <c r="F206" s="4">
        <v>38112</v>
      </c>
      <c r="G206" t="s">
        <v>93</v>
      </c>
      <c r="H206">
        <v>2</v>
      </c>
      <c r="I206">
        <v>5</v>
      </c>
      <c r="J206">
        <v>2004</v>
      </c>
      <c r="K206" t="s">
        <v>265</v>
      </c>
      <c r="L206">
        <v>207</v>
      </c>
      <c r="M206" t="s">
        <v>601</v>
      </c>
      <c r="N206" t="s">
        <v>593</v>
      </c>
      <c r="O206" t="s">
        <v>594</v>
      </c>
      <c r="P206" t="s">
        <v>595</v>
      </c>
      <c r="R206" t="s">
        <v>596</v>
      </c>
      <c r="T206" t="s">
        <v>597</v>
      </c>
      <c r="U206" t="s">
        <v>208</v>
      </c>
      <c r="V206" t="s">
        <v>110</v>
      </c>
      <c r="W206" t="s">
        <v>598</v>
      </c>
      <c r="X206" t="s">
        <v>599</v>
      </c>
      <c r="Y206" t="s">
        <v>232</v>
      </c>
    </row>
    <row r="207" spans="1:25">
      <c r="A207">
        <v>10272</v>
      </c>
      <c r="B207">
        <v>35</v>
      </c>
      <c r="C207">
        <v>100</v>
      </c>
      <c r="D207">
        <v>2</v>
      </c>
      <c r="E207">
        <v>5818.4</v>
      </c>
      <c r="F207" t="s">
        <v>623</v>
      </c>
      <c r="G207" t="s">
        <v>93</v>
      </c>
      <c r="H207">
        <v>3</v>
      </c>
      <c r="I207">
        <v>7</v>
      </c>
      <c r="J207">
        <v>2004</v>
      </c>
      <c r="K207" t="s">
        <v>265</v>
      </c>
      <c r="L207">
        <v>207</v>
      </c>
      <c r="M207" t="s">
        <v>601</v>
      </c>
      <c r="N207" t="s">
        <v>218</v>
      </c>
      <c r="O207">
        <v>2155551555</v>
      </c>
      <c r="P207" t="s">
        <v>219</v>
      </c>
      <c r="R207" t="s">
        <v>220</v>
      </c>
      <c r="S207" t="s">
        <v>221</v>
      </c>
      <c r="T207">
        <v>70267</v>
      </c>
      <c r="U207" t="s">
        <v>100</v>
      </c>
      <c r="V207" t="s">
        <v>101</v>
      </c>
      <c r="W207" t="s">
        <v>102</v>
      </c>
      <c r="X207" t="s">
        <v>222</v>
      </c>
      <c r="Y207" t="s">
        <v>119</v>
      </c>
    </row>
    <row r="208" spans="1:25">
      <c r="A208">
        <v>10282</v>
      </c>
      <c r="B208">
        <v>41</v>
      </c>
      <c r="C208">
        <v>100</v>
      </c>
      <c r="D208">
        <v>5</v>
      </c>
      <c r="E208">
        <v>7071.27</v>
      </c>
      <c r="F208" t="s">
        <v>483</v>
      </c>
      <c r="G208" t="s">
        <v>93</v>
      </c>
      <c r="H208">
        <v>3</v>
      </c>
      <c r="I208">
        <v>8</v>
      </c>
      <c r="J208">
        <v>2004</v>
      </c>
      <c r="K208" t="s">
        <v>265</v>
      </c>
      <c r="L208">
        <v>207</v>
      </c>
      <c r="M208" t="s">
        <v>601</v>
      </c>
      <c r="N208" t="s">
        <v>367</v>
      </c>
      <c r="O208">
        <v>4155551450</v>
      </c>
      <c r="P208" t="s">
        <v>368</v>
      </c>
      <c r="R208" t="s">
        <v>369</v>
      </c>
      <c r="S208" t="s">
        <v>124</v>
      </c>
      <c r="T208">
        <v>97562</v>
      </c>
      <c r="U208" t="s">
        <v>100</v>
      </c>
      <c r="V208" t="s">
        <v>101</v>
      </c>
      <c r="W208" t="s">
        <v>370</v>
      </c>
      <c r="X208" t="s">
        <v>371</v>
      </c>
      <c r="Y208" t="s">
        <v>232</v>
      </c>
    </row>
    <row r="209" spans="1:25">
      <c r="A209">
        <v>10293</v>
      </c>
      <c r="B209">
        <v>46</v>
      </c>
      <c r="C209">
        <v>100</v>
      </c>
      <c r="D209">
        <v>8</v>
      </c>
      <c r="E209">
        <v>8411.56</v>
      </c>
      <c r="F209" s="4">
        <v>38239</v>
      </c>
      <c r="G209" t="s">
        <v>93</v>
      </c>
      <c r="H209">
        <v>3</v>
      </c>
      <c r="I209">
        <v>9</v>
      </c>
      <c r="J209">
        <v>2004</v>
      </c>
      <c r="K209" t="s">
        <v>265</v>
      </c>
      <c r="L209">
        <v>207</v>
      </c>
      <c r="M209" t="s">
        <v>601</v>
      </c>
      <c r="N209" t="s">
        <v>348</v>
      </c>
      <c r="O209" t="s">
        <v>349</v>
      </c>
      <c r="P209" t="s">
        <v>350</v>
      </c>
      <c r="R209" t="s">
        <v>351</v>
      </c>
      <c r="T209">
        <v>10100</v>
      </c>
      <c r="U209" t="s">
        <v>352</v>
      </c>
      <c r="V209" t="s">
        <v>110</v>
      </c>
      <c r="W209" t="s">
        <v>353</v>
      </c>
      <c r="X209" t="s">
        <v>354</v>
      </c>
      <c r="Y209" t="s">
        <v>232</v>
      </c>
    </row>
    <row r="210" spans="1:25">
      <c r="A210">
        <v>10306</v>
      </c>
      <c r="B210">
        <v>31</v>
      </c>
      <c r="C210">
        <v>100</v>
      </c>
      <c r="D210">
        <v>13</v>
      </c>
      <c r="E210">
        <v>6570.76</v>
      </c>
      <c r="F210" t="s">
        <v>494</v>
      </c>
      <c r="G210" t="s">
        <v>93</v>
      </c>
      <c r="H210">
        <v>4</v>
      </c>
      <c r="I210">
        <v>10</v>
      </c>
      <c r="J210">
        <v>2004</v>
      </c>
      <c r="K210" t="s">
        <v>265</v>
      </c>
      <c r="L210">
        <v>207</v>
      </c>
      <c r="M210" t="s">
        <v>601</v>
      </c>
      <c r="N210" t="s">
        <v>624</v>
      </c>
      <c r="O210" t="s">
        <v>625</v>
      </c>
      <c r="P210" t="s">
        <v>626</v>
      </c>
      <c r="R210" t="s">
        <v>627</v>
      </c>
      <c r="T210" t="s">
        <v>628</v>
      </c>
      <c r="U210" t="s">
        <v>252</v>
      </c>
      <c r="V210" t="s">
        <v>110</v>
      </c>
      <c r="W210" t="s">
        <v>629</v>
      </c>
      <c r="X210" t="s">
        <v>167</v>
      </c>
      <c r="Y210" t="s">
        <v>119</v>
      </c>
    </row>
    <row r="211" spans="1:25">
      <c r="A211">
        <v>10314</v>
      </c>
      <c r="B211">
        <v>38</v>
      </c>
      <c r="C211">
        <v>100</v>
      </c>
      <c r="D211">
        <v>5</v>
      </c>
      <c r="E211">
        <v>7975.44</v>
      </c>
      <c r="F211" t="s">
        <v>544</v>
      </c>
      <c r="G211" t="s">
        <v>93</v>
      </c>
      <c r="H211">
        <v>4</v>
      </c>
      <c r="I211">
        <v>10</v>
      </c>
      <c r="J211">
        <v>2004</v>
      </c>
      <c r="K211" t="s">
        <v>265</v>
      </c>
      <c r="L211">
        <v>207</v>
      </c>
      <c r="M211" t="s">
        <v>601</v>
      </c>
      <c r="N211" t="s">
        <v>630</v>
      </c>
      <c r="O211" t="s">
        <v>631</v>
      </c>
      <c r="P211" t="s">
        <v>632</v>
      </c>
      <c r="R211" t="s">
        <v>633</v>
      </c>
      <c r="T211">
        <v>8200</v>
      </c>
      <c r="U211" t="s">
        <v>429</v>
      </c>
      <c r="V211" t="s">
        <v>110</v>
      </c>
      <c r="W211" t="s">
        <v>634</v>
      </c>
      <c r="X211" t="s">
        <v>635</v>
      </c>
      <c r="Y211" t="s">
        <v>232</v>
      </c>
    </row>
    <row r="212" spans="1:25">
      <c r="A212">
        <v>10325</v>
      </c>
      <c r="B212">
        <v>42</v>
      </c>
      <c r="C212">
        <v>64</v>
      </c>
      <c r="D212">
        <v>8</v>
      </c>
      <c r="E212">
        <v>2688</v>
      </c>
      <c r="F212" s="4">
        <v>38118</v>
      </c>
      <c r="G212" t="s">
        <v>93</v>
      </c>
      <c r="H212">
        <v>4</v>
      </c>
      <c r="I212">
        <v>11</v>
      </c>
      <c r="J212">
        <v>2004</v>
      </c>
      <c r="K212" t="s">
        <v>265</v>
      </c>
      <c r="L212">
        <v>207</v>
      </c>
      <c r="M212" t="s">
        <v>601</v>
      </c>
      <c r="N212" t="s">
        <v>212</v>
      </c>
      <c r="O212" t="s">
        <v>213</v>
      </c>
      <c r="P212" t="s">
        <v>214</v>
      </c>
      <c r="R212" t="s">
        <v>215</v>
      </c>
      <c r="T212">
        <v>4110</v>
      </c>
      <c r="U212" t="s">
        <v>149</v>
      </c>
      <c r="V212" t="s">
        <v>110</v>
      </c>
      <c r="W212" t="s">
        <v>216</v>
      </c>
      <c r="X212" t="s">
        <v>217</v>
      </c>
      <c r="Y212" t="s">
        <v>104</v>
      </c>
    </row>
    <row r="213" spans="1:25">
      <c r="A213">
        <v>10336</v>
      </c>
      <c r="B213">
        <v>33</v>
      </c>
      <c r="C213">
        <v>57.22</v>
      </c>
      <c r="D213">
        <v>10</v>
      </c>
      <c r="E213">
        <v>1888.26</v>
      </c>
      <c r="F213" t="s">
        <v>636</v>
      </c>
      <c r="G213" t="s">
        <v>93</v>
      </c>
      <c r="H213">
        <v>4</v>
      </c>
      <c r="I213">
        <v>11</v>
      </c>
      <c r="J213">
        <v>2004</v>
      </c>
      <c r="K213" t="s">
        <v>265</v>
      </c>
      <c r="L213">
        <v>207</v>
      </c>
      <c r="M213" t="s">
        <v>601</v>
      </c>
      <c r="N213" t="s">
        <v>520</v>
      </c>
      <c r="O213" t="s">
        <v>521</v>
      </c>
      <c r="P213" t="s">
        <v>522</v>
      </c>
      <c r="R213" t="s">
        <v>116</v>
      </c>
      <c r="T213">
        <v>75012</v>
      </c>
      <c r="U213" t="s">
        <v>109</v>
      </c>
      <c r="V213" t="s">
        <v>110</v>
      </c>
      <c r="W213" t="s">
        <v>523</v>
      </c>
      <c r="X213" t="s">
        <v>524</v>
      </c>
      <c r="Y213" t="s">
        <v>104</v>
      </c>
    </row>
    <row r="214" spans="1:25">
      <c r="A214">
        <v>10348</v>
      </c>
      <c r="B214">
        <v>48</v>
      </c>
      <c r="C214">
        <v>52.36</v>
      </c>
      <c r="D214">
        <v>8</v>
      </c>
      <c r="E214">
        <v>2513.2800000000002</v>
      </c>
      <c r="F214" s="4">
        <v>37997</v>
      </c>
      <c r="G214" t="s">
        <v>93</v>
      </c>
      <c r="H214">
        <v>4</v>
      </c>
      <c r="I214">
        <v>11</v>
      </c>
      <c r="J214">
        <v>2004</v>
      </c>
      <c r="K214" t="s">
        <v>265</v>
      </c>
      <c r="L214">
        <v>207</v>
      </c>
      <c r="M214" t="s">
        <v>601</v>
      </c>
      <c r="N214" t="s">
        <v>277</v>
      </c>
      <c r="O214" t="s">
        <v>278</v>
      </c>
      <c r="P214" t="s">
        <v>279</v>
      </c>
      <c r="R214" t="s">
        <v>260</v>
      </c>
      <c r="T214">
        <v>28023</v>
      </c>
      <c r="U214" t="s">
        <v>261</v>
      </c>
      <c r="V214" t="s">
        <v>110</v>
      </c>
      <c r="W214" t="s">
        <v>280</v>
      </c>
      <c r="X214" t="s">
        <v>281</v>
      </c>
      <c r="Y214" t="s">
        <v>104</v>
      </c>
    </row>
    <row r="215" spans="1:25">
      <c r="A215">
        <v>10359</v>
      </c>
      <c r="B215">
        <v>42</v>
      </c>
      <c r="C215">
        <v>100</v>
      </c>
      <c r="D215">
        <v>8</v>
      </c>
      <c r="E215">
        <v>4764.4799999999996</v>
      </c>
      <c r="F215" t="s">
        <v>504</v>
      </c>
      <c r="G215" t="s">
        <v>93</v>
      </c>
      <c r="H215">
        <v>4</v>
      </c>
      <c r="I215">
        <v>12</v>
      </c>
      <c r="J215">
        <v>2004</v>
      </c>
      <c r="K215" t="s">
        <v>265</v>
      </c>
      <c r="L215">
        <v>207</v>
      </c>
      <c r="M215" t="s">
        <v>601</v>
      </c>
      <c r="N215" t="s">
        <v>105</v>
      </c>
      <c r="O215" t="s">
        <v>106</v>
      </c>
      <c r="P215" t="s">
        <v>107</v>
      </c>
      <c r="R215" t="s">
        <v>108</v>
      </c>
      <c r="T215">
        <v>51100</v>
      </c>
      <c r="U215" t="s">
        <v>109</v>
      </c>
      <c r="V215" t="s">
        <v>110</v>
      </c>
      <c r="W215" t="s">
        <v>111</v>
      </c>
      <c r="X215" t="s">
        <v>112</v>
      </c>
      <c r="Y215" t="s">
        <v>119</v>
      </c>
    </row>
    <row r="216" spans="1:25">
      <c r="A216">
        <v>10371</v>
      </c>
      <c r="B216">
        <v>32</v>
      </c>
      <c r="C216">
        <v>100</v>
      </c>
      <c r="D216">
        <v>6</v>
      </c>
      <c r="E216">
        <v>3560.64</v>
      </c>
      <c r="F216" t="s">
        <v>637</v>
      </c>
      <c r="G216" t="s">
        <v>93</v>
      </c>
      <c r="H216">
        <v>1</v>
      </c>
      <c r="I216">
        <v>1</v>
      </c>
      <c r="J216">
        <v>2005</v>
      </c>
      <c r="K216" t="s">
        <v>265</v>
      </c>
      <c r="L216">
        <v>207</v>
      </c>
      <c r="M216" t="s">
        <v>601</v>
      </c>
      <c r="N216" t="s">
        <v>367</v>
      </c>
      <c r="O216">
        <v>4155551450</v>
      </c>
      <c r="P216" t="s">
        <v>368</v>
      </c>
      <c r="R216" t="s">
        <v>369</v>
      </c>
      <c r="S216" t="s">
        <v>124</v>
      </c>
      <c r="T216">
        <v>97562</v>
      </c>
      <c r="U216" t="s">
        <v>100</v>
      </c>
      <c r="V216" t="s">
        <v>101</v>
      </c>
      <c r="W216" t="s">
        <v>370</v>
      </c>
      <c r="X216" t="s">
        <v>371</v>
      </c>
      <c r="Y216" t="s">
        <v>119</v>
      </c>
    </row>
    <row r="217" spans="1:25">
      <c r="A217">
        <v>10382</v>
      </c>
      <c r="B217">
        <v>34</v>
      </c>
      <c r="C217">
        <v>100</v>
      </c>
      <c r="D217">
        <v>10</v>
      </c>
      <c r="E217">
        <v>3823.64</v>
      </c>
      <c r="F217" t="s">
        <v>383</v>
      </c>
      <c r="G217" t="s">
        <v>93</v>
      </c>
      <c r="H217">
        <v>1</v>
      </c>
      <c r="I217">
        <v>2</v>
      </c>
      <c r="J217">
        <v>2005</v>
      </c>
      <c r="K217" t="s">
        <v>265</v>
      </c>
      <c r="L217">
        <v>207</v>
      </c>
      <c r="M217" t="s">
        <v>601</v>
      </c>
      <c r="N217" t="s">
        <v>367</v>
      </c>
      <c r="O217">
        <v>4155551450</v>
      </c>
      <c r="P217" t="s">
        <v>368</v>
      </c>
      <c r="R217" t="s">
        <v>369</v>
      </c>
      <c r="S217" t="s">
        <v>124</v>
      </c>
      <c r="T217">
        <v>97562</v>
      </c>
      <c r="U217" t="s">
        <v>100</v>
      </c>
      <c r="V217" t="s">
        <v>101</v>
      </c>
      <c r="W217" t="s">
        <v>370</v>
      </c>
      <c r="X217" t="s">
        <v>371</v>
      </c>
      <c r="Y217" t="s">
        <v>119</v>
      </c>
    </row>
    <row r="218" spans="1:25">
      <c r="A218">
        <v>10395</v>
      </c>
      <c r="B218">
        <v>33</v>
      </c>
      <c r="C218">
        <v>69.12</v>
      </c>
      <c r="D218">
        <v>1</v>
      </c>
      <c r="E218">
        <v>2280.96</v>
      </c>
      <c r="F218" t="s">
        <v>513</v>
      </c>
      <c r="G218" t="s">
        <v>93</v>
      </c>
      <c r="H218">
        <v>1</v>
      </c>
      <c r="I218">
        <v>3</v>
      </c>
      <c r="J218">
        <v>2005</v>
      </c>
      <c r="K218" t="s">
        <v>265</v>
      </c>
      <c r="L218">
        <v>207</v>
      </c>
      <c r="M218" t="s">
        <v>601</v>
      </c>
      <c r="N218" t="s">
        <v>113</v>
      </c>
      <c r="O218" t="s">
        <v>114</v>
      </c>
      <c r="P218" t="s">
        <v>115</v>
      </c>
      <c r="R218" t="s">
        <v>116</v>
      </c>
      <c r="T218">
        <v>75508</v>
      </c>
      <c r="U218" t="s">
        <v>109</v>
      </c>
      <c r="V218" t="s">
        <v>110</v>
      </c>
      <c r="W218" t="s">
        <v>117</v>
      </c>
      <c r="X218" t="s">
        <v>118</v>
      </c>
      <c r="Y218" t="s">
        <v>104</v>
      </c>
    </row>
    <row r="219" spans="1:25">
      <c r="A219">
        <v>10413</v>
      </c>
      <c r="B219">
        <v>36</v>
      </c>
      <c r="C219">
        <v>100</v>
      </c>
      <c r="D219">
        <v>2</v>
      </c>
      <c r="E219">
        <v>8677.7999999999993</v>
      </c>
      <c r="F219" s="4">
        <v>38477</v>
      </c>
      <c r="G219" t="s">
        <v>93</v>
      </c>
      <c r="H219">
        <v>2</v>
      </c>
      <c r="I219">
        <v>5</v>
      </c>
      <c r="J219">
        <v>2005</v>
      </c>
      <c r="K219" t="s">
        <v>265</v>
      </c>
      <c r="L219">
        <v>207</v>
      </c>
      <c r="M219" t="s">
        <v>601</v>
      </c>
      <c r="N219" t="s">
        <v>184</v>
      </c>
      <c r="O219">
        <v>2035552570</v>
      </c>
      <c r="P219" t="s">
        <v>185</v>
      </c>
      <c r="R219" t="s">
        <v>186</v>
      </c>
      <c r="S219" t="s">
        <v>187</v>
      </c>
      <c r="T219">
        <v>97562</v>
      </c>
      <c r="U219" t="s">
        <v>100</v>
      </c>
      <c r="V219" t="s">
        <v>101</v>
      </c>
      <c r="W219" t="s">
        <v>188</v>
      </c>
      <c r="X219" t="s">
        <v>126</v>
      </c>
      <c r="Y219" t="s">
        <v>232</v>
      </c>
    </row>
    <row r="220" spans="1:25">
      <c r="A220">
        <v>10103</v>
      </c>
      <c r="B220">
        <v>27</v>
      </c>
      <c r="C220">
        <v>100</v>
      </c>
      <c r="D220">
        <v>8</v>
      </c>
      <c r="E220">
        <v>3394.98</v>
      </c>
      <c r="F220" t="s">
        <v>264</v>
      </c>
      <c r="G220" t="s">
        <v>93</v>
      </c>
      <c r="H220">
        <v>1</v>
      </c>
      <c r="I220">
        <v>1</v>
      </c>
      <c r="J220">
        <v>2003</v>
      </c>
      <c r="K220" t="s">
        <v>638</v>
      </c>
      <c r="L220">
        <v>136</v>
      </c>
      <c r="M220" t="s">
        <v>639</v>
      </c>
      <c r="N220" t="s">
        <v>212</v>
      </c>
      <c r="O220" t="s">
        <v>213</v>
      </c>
      <c r="P220" t="s">
        <v>214</v>
      </c>
      <c r="R220" t="s">
        <v>215</v>
      </c>
      <c r="T220">
        <v>4110</v>
      </c>
      <c r="U220" t="s">
        <v>149</v>
      </c>
      <c r="V220" t="s">
        <v>110</v>
      </c>
      <c r="W220" t="s">
        <v>216</v>
      </c>
      <c r="X220" t="s">
        <v>217</v>
      </c>
      <c r="Y220" t="s">
        <v>119</v>
      </c>
    </row>
    <row r="221" spans="1:25">
      <c r="A221">
        <v>10113</v>
      </c>
      <c r="B221">
        <v>21</v>
      </c>
      <c r="C221">
        <v>100</v>
      </c>
      <c r="D221">
        <v>2</v>
      </c>
      <c r="E221">
        <v>3415.44</v>
      </c>
      <c r="F221" t="s">
        <v>640</v>
      </c>
      <c r="G221" t="s">
        <v>93</v>
      </c>
      <c r="H221">
        <v>1</v>
      </c>
      <c r="I221">
        <v>3</v>
      </c>
      <c r="J221">
        <v>2003</v>
      </c>
      <c r="K221" t="s">
        <v>638</v>
      </c>
      <c r="L221">
        <v>136</v>
      </c>
      <c r="M221" t="s">
        <v>639</v>
      </c>
      <c r="N221" t="s">
        <v>367</v>
      </c>
      <c r="O221">
        <v>4155551450</v>
      </c>
      <c r="P221" t="s">
        <v>368</v>
      </c>
      <c r="R221" t="s">
        <v>369</v>
      </c>
      <c r="S221" t="s">
        <v>124</v>
      </c>
      <c r="T221">
        <v>97562</v>
      </c>
      <c r="U221" t="s">
        <v>100</v>
      </c>
      <c r="V221" t="s">
        <v>101</v>
      </c>
      <c r="W221" t="s">
        <v>370</v>
      </c>
      <c r="X221" t="s">
        <v>371</v>
      </c>
      <c r="Y221" t="s">
        <v>119</v>
      </c>
    </row>
    <row r="222" spans="1:25">
      <c r="A222">
        <v>10126</v>
      </c>
      <c r="B222">
        <v>21</v>
      </c>
      <c r="C222">
        <v>100</v>
      </c>
      <c r="D222">
        <v>8</v>
      </c>
      <c r="E222">
        <v>2439.5700000000002</v>
      </c>
      <c r="F222" t="s">
        <v>276</v>
      </c>
      <c r="G222" t="s">
        <v>93</v>
      </c>
      <c r="H222">
        <v>2</v>
      </c>
      <c r="I222">
        <v>5</v>
      </c>
      <c r="J222">
        <v>2003</v>
      </c>
      <c r="K222" t="s">
        <v>638</v>
      </c>
      <c r="L222">
        <v>136</v>
      </c>
      <c r="M222" t="s">
        <v>639</v>
      </c>
      <c r="N222" t="s">
        <v>277</v>
      </c>
      <c r="O222" t="s">
        <v>278</v>
      </c>
      <c r="P222" t="s">
        <v>279</v>
      </c>
      <c r="R222" t="s">
        <v>260</v>
      </c>
      <c r="T222">
        <v>28023</v>
      </c>
      <c r="U222" t="s">
        <v>261</v>
      </c>
      <c r="V222" t="s">
        <v>110</v>
      </c>
      <c r="W222" t="s">
        <v>280</v>
      </c>
      <c r="X222" t="s">
        <v>281</v>
      </c>
      <c r="Y222" t="s">
        <v>104</v>
      </c>
    </row>
    <row r="223" spans="1:25">
      <c r="A223">
        <v>10140</v>
      </c>
      <c r="B223">
        <v>38</v>
      </c>
      <c r="C223">
        <v>100</v>
      </c>
      <c r="D223">
        <v>8</v>
      </c>
      <c r="E223">
        <v>4829.8</v>
      </c>
      <c r="F223" t="s">
        <v>282</v>
      </c>
      <c r="G223" t="s">
        <v>93</v>
      </c>
      <c r="H223">
        <v>3</v>
      </c>
      <c r="I223">
        <v>7</v>
      </c>
      <c r="J223">
        <v>2003</v>
      </c>
      <c r="K223" t="s">
        <v>638</v>
      </c>
      <c r="L223">
        <v>136</v>
      </c>
      <c r="M223" t="s">
        <v>639</v>
      </c>
      <c r="N223" t="s">
        <v>132</v>
      </c>
      <c r="O223">
        <v>6505556809</v>
      </c>
      <c r="P223" t="s">
        <v>133</v>
      </c>
      <c r="R223" t="s">
        <v>134</v>
      </c>
      <c r="S223" t="s">
        <v>124</v>
      </c>
      <c r="T223">
        <v>94217</v>
      </c>
      <c r="U223" t="s">
        <v>100</v>
      </c>
      <c r="V223" t="s">
        <v>101</v>
      </c>
      <c r="W223" t="s">
        <v>135</v>
      </c>
      <c r="X223" t="s">
        <v>136</v>
      </c>
      <c r="Y223" t="s">
        <v>119</v>
      </c>
    </row>
    <row r="224" spans="1:25">
      <c r="A224">
        <v>10150</v>
      </c>
      <c r="B224">
        <v>30</v>
      </c>
      <c r="C224">
        <v>100</v>
      </c>
      <c r="D224">
        <v>5</v>
      </c>
      <c r="E224">
        <v>4100.1000000000004</v>
      </c>
      <c r="F224" t="s">
        <v>283</v>
      </c>
      <c r="G224" t="s">
        <v>93</v>
      </c>
      <c r="H224">
        <v>3</v>
      </c>
      <c r="I224">
        <v>9</v>
      </c>
      <c r="J224">
        <v>2003</v>
      </c>
      <c r="K224" t="s">
        <v>638</v>
      </c>
      <c r="L224">
        <v>136</v>
      </c>
      <c r="M224" t="s">
        <v>639</v>
      </c>
      <c r="N224" t="s">
        <v>284</v>
      </c>
      <c r="O224" t="s">
        <v>285</v>
      </c>
      <c r="P224" t="s">
        <v>286</v>
      </c>
      <c r="R224" t="s">
        <v>287</v>
      </c>
      <c r="T224">
        <v>79903</v>
      </c>
      <c r="U224" t="s">
        <v>287</v>
      </c>
      <c r="V224" t="s">
        <v>288</v>
      </c>
      <c r="W224" t="s">
        <v>289</v>
      </c>
      <c r="X224" t="s">
        <v>290</v>
      </c>
      <c r="Y224" t="s">
        <v>119</v>
      </c>
    </row>
    <row r="225" spans="1:25">
      <c r="A225">
        <v>10164</v>
      </c>
      <c r="B225">
        <v>49</v>
      </c>
      <c r="C225">
        <v>100</v>
      </c>
      <c r="D225">
        <v>6</v>
      </c>
      <c r="E225">
        <v>6563.06</v>
      </c>
      <c r="F225" t="s">
        <v>525</v>
      </c>
      <c r="G225" t="s">
        <v>526</v>
      </c>
      <c r="H225">
        <v>4</v>
      </c>
      <c r="I225">
        <v>10</v>
      </c>
      <c r="J225">
        <v>2003</v>
      </c>
      <c r="K225" t="s">
        <v>638</v>
      </c>
      <c r="L225">
        <v>136</v>
      </c>
      <c r="M225" t="s">
        <v>639</v>
      </c>
      <c r="N225" t="s">
        <v>527</v>
      </c>
      <c r="O225" t="s">
        <v>528</v>
      </c>
      <c r="P225" t="s">
        <v>529</v>
      </c>
      <c r="R225" t="s">
        <v>530</v>
      </c>
      <c r="T225">
        <v>8010</v>
      </c>
      <c r="U225" t="s">
        <v>229</v>
      </c>
      <c r="V225" t="s">
        <v>110</v>
      </c>
      <c r="W225" t="s">
        <v>531</v>
      </c>
      <c r="X225" t="s">
        <v>532</v>
      </c>
      <c r="Y225" t="s">
        <v>119</v>
      </c>
    </row>
    <row r="226" spans="1:25">
      <c r="A226">
        <v>10174</v>
      </c>
      <c r="B226">
        <v>43</v>
      </c>
      <c r="C226">
        <v>100</v>
      </c>
      <c r="D226">
        <v>1</v>
      </c>
      <c r="E226">
        <v>6817.22</v>
      </c>
      <c r="F226" s="4">
        <v>37783</v>
      </c>
      <c r="G226" t="s">
        <v>93</v>
      </c>
      <c r="H226">
        <v>4</v>
      </c>
      <c r="I226">
        <v>11</v>
      </c>
      <c r="J226">
        <v>2003</v>
      </c>
      <c r="K226" t="s">
        <v>638</v>
      </c>
      <c r="L226">
        <v>136</v>
      </c>
      <c r="M226" t="s">
        <v>639</v>
      </c>
      <c r="N226" t="s">
        <v>296</v>
      </c>
      <c r="O226" t="s">
        <v>297</v>
      </c>
      <c r="P226" t="s">
        <v>298</v>
      </c>
      <c r="R226" t="s">
        <v>299</v>
      </c>
      <c r="S226" t="s">
        <v>300</v>
      </c>
      <c r="T226">
        <v>4101</v>
      </c>
      <c r="U226" t="s">
        <v>168</v>
      </c>
      <c r="V226" t="s">
        <v>169</v>
      </c>
      <c r="W226" t="s">
        <v>301</v>
      </c>
      <c r="X226" t="s">
        <v>302</v>
      </c>
      <c r="Y226" t="s">
        <v>119</v>
      </c>
    </row>
    <row r="227" spans="1:25">
      <c r="A227">
        <v>10183</v>
      </c>
      <c r="B227">
        <v>41</v>
      </c>
      <c r="C227">
        <v>100</v>
      </c>
      <c r="D227">
        <v>5</v>
      </c>
      <c r="E227">
        <v>6163.94</v>
      </c>
      <c r="F227" t="s">
        <v>303</v>
      </c>
      <c r="G227" t="s">
        <v>93</v>
      </c>
      <c r="H227">
        <v>4</v>
      </c>
      <c r="I227">
        <v>11</v>
      </c>
      <c r="J227">
        <v>2003</v>
      </c>
      <c r="K227" t="s">
        <v>638</v>
      </c>
      <c r="L227">
        <v>136</v>
      </c>
      <c r="M227" t="s">
        <v>639</v>
      </c>
      <c r="N227" t="s">
        <v>304</v>
      </c>
      <c r="O227">
        <v>2155554695</v>
      </c>
      <c r="P227" t="s">
        <v>305</v>
      </c>
      <c r="R227" t="s">
        <v>306</v>
      </c>
      <c r="S227" t="s">
        <v>221</v>
      </c>
      <c r="T227">
        <v>71270</v>
      </c>
      <c r="U227" t="s">
        <v>100</v>
      </c>
      <c r="V227" t="s">
        <v>101</v>
      </c>
      <c r="W227" t="s">
        <v>307</v>
      </c>
      <c r="X227" t="s">
        <v>308</v>
      </c>
      <c r="Y227" t="s">
        <v>119</v>
      </c>
    </row>
    <row r="228" spans="1:25">
      <c r="A228">
        <v>10194</v>
      </c>
      <c r="B228">
        <v>38</v>
      </c>
      <c r="C228">
        <v>100</v>
      </c>
      <c r="D228">
        <v>8</v>
      </c>
      <c r="E228">
        <v>4933.92</v>
      </c>
      <c r="F228" t="s">
        <v>309</v>
      </c>
      <c r="G228" t="s">
        <v>93</v>
      </c>
      <c r="H228">
        <v>4</v>
      </c>
      <c r="I228">
        <v>11</v>
      </c>
      <c r="J228">
        <v>2003</v>
      </c>
      <c r="K228" t="s">
        <v>638</v>
      </c>
      <c r="L228">
        <v>136</v>
      </c>
      <c r="M228" t="s">
        <v>639</v>
      </c>
      <c r="N228" t="s">
        <v>310</v>
      </c>
      <c r="O228" t="s">
        <v>311</v>
      </c>
      <c r="P228" t="s">
        <v>312</v>
      </c>
      <c r="R228" t="s">
        <v>313</v>
      </c>
      <c r="T228">
        <v>69004</v>
      </c>
      <c r="U228" t="s">
        <v>109</v>
      </c>
      <c r="V228" t="s">
        <v>110</v>
      </c>
      <c r="W228" t="s">
        <v>314</v>
      </c>
      <c r="X228" t="s">
        <v>315</v>
      </c>
      <c r="Y228" t="s">
        <v>119</v>
      </c>
    </row>
    <row r="229" spans="1:25">
      <c r="A229">
        <v>10206</v>
      </c>
      <c r="B229">
        <v>28</v>
      </c>
      <c r="C229">
        <v>100</v>
      </c>
      <c r="D229">
        <v>3</v>
      </c>
      <c r="E229">
        <v>4056.36</v>
      </c>
      <c r="F229" s="4">
        <v>37753</v>
      </c>
      <c r="G229" t="s">
        <v>93</v>
      </c>
      <c r="H229">
        <v>4</v>
      </c>
      <c r="I229">
        <v>12</v>
      </c>
      <c r="J229">
        <v>2003</v>
      </c>
      <c r="K229" t="s">
        <v>638</v>
      </c>
      <c r="L229">
        <v>136</v>
      </c>
      <c r="M229" t="s">
        <v>639</v>
      </c>
      <c r="N229" t="s">
        <v>316</v>
      </c>
      <c r="O229" t="s">
        <v>317</v>
      </c>
      <c r="P229" t="s">
        <v>318</v>
      </c>
      <c r="R229" t="s">
        <v>319</v>
      </c>
      <c r="S229" t="s">
        <v>320</v>
      </c>
      <c r="T229" t="s">
        <v>321</v>
      </c>
      <c r="U229" t="s">
        <v>322</v>
      </c>
      <c r="V229" t="s">
        <v>101</v>
      </c>
      <c r="W229" t="s">
        <v>323</v>
      </c>
      <c r="X229" t="s">
        <v>324</v>
      </c>
      <c r="Y229" t="s">
        <v>119</v>
      </c>
    </row>
    <row r="230" spans="1:25">
      <c r="A230">
        <v>10216</v>
      </c>
      <c r="B230">
        <v>43</v>
      </c>
      <c r="C230">
        <v>100</v>
      </c>
      <c r="D230">
        <v>1</v>
      </c>
      <c r="E230">
        <v>5759.42</v>
      </c>
      <c r="F230" s="4">
        <v>38019</v>
      </c>
      <c r="G230" t="s">
        <v>93</v>
      </c>
      <c r="H230">
        <v>1</v>
      </c>
      <c r="I230">
        <v>2</v>
      </c>
      <c r="J230">
        <v>2004</v>
      </c>
      <c r="K230" t="s">
        <v>638</v>
      </c>
      <c r="L230">
        <v>136</v>
      </c>
      <c r="M230" t="s">
        <v>639</v>
      </c>
      <c r="N230" t="s">
        <v>361</v>
      </c>
      <c r="O230" t="s">
        <v>362</v>
      </c>
      <c r="P230" t="s">
        <v>363</v>
      </c>
      <c r="R230" t="s">
        <v>364</v>
      </c>
      <c r="T230">
        <v>78000</v>
      </c>
      <c r="U230" t="s">
        <v>109</v>
      </c>
      <c r="V230" t="s">
        <v>110</v>
      </c>
      <c r="W230" t="s">
        <v>365</v>
      </c>
      <c r="X230" t="s">
        <v>118</v>
      </c>
      <c r="Y230" t="s">
        <v>119</v>
      </c>
    </row>
    <row r="231" spans="1:25">
      <c r="A231">
        <v>10229</v>
      </c>
      <c r="B231">
        <v>25</v>
      </c>
      <c r="C231">
        <v>100</v>
      </c>
      <c r="D231">
        <v>13</v>
      </c>
      <c r="E231">
        <v>3451</v>
      </c>
      <c r="F231" s="4">
        <v>38294</v>
      </c>
      <c r="G231" t="s">
        <v>93</v>
      </c>
      <c r="H231">
        <v>1</v>
      </c>
      <c r="I231">
        <v>3</v>
      </c>
      <c r="J231">
        <v>2004</v>
      </c>
      <c r="K231" t="s">
        <v>638</v>
      </c>
      <c r="L231">
        <v>136</v>
      </c>
      <c r="M231" t="s">
        <v>639</v>
      </c>
      <c r="N231" t="s">
        <v>367</v>
      </c>
      <c r="O231">
        <v>4155551450</v>
      </c>
      <c r="P231" t="s">
        <v>368</v>
      </c>
      <c r="R231" t="s">
        <v>369</v>
      </c>
      <c r="S231" t="s">
        <v>124</v>
      </c>
      <c r="T231">
        <v>97562</v>
      </c>
      <c r="U231" t="s">
        <v>100</v>
      </c>
      <c r="V231" t="s">
        <v>101</v>
      </c>
      <c r="W231" t="s">
        <v>370</v>
      </c>
      <c r="X231" t="s">
        <v>371</v>
      </c>
      <c r="Y231" t="s">
        <v>119</v>
      </c>
    </row>
    <row r="232" spans="1:25">
      <c r="A232">
        <v>10245</v>
      </c>
      <c r="B232">
        <v>38</v>
      </c>
      <c r="C232">
        <v>100</v>
      </c>
      <c r="D232">
        <v>6</v>
      </c>
      <c r="E232">
        <v>5920.4</v>
      </c>
      <c r="F232" s="4">
        <v>38082</v>
      </c>
      <c r="G232" t="s">
        <v>93</v>
      </c>
      <c r="H232">
        <v>2</v>
      </c>
      <c r="I232">
        <v>5</v>
      </c>
      <c r="J232">
        <v>2004</v>
      </c>
      <c r="K232" t="s">
        <v>638</v>
      </c>
      <c r="L232">
        <v>136</v>
      </c>
      <c r="M232" t="s">
        <v>639</v>
      </c>
      <c r="N232" t="s">
        <v>333</v>
      </c>
      <c r="O232">
        <v>2035559545</v>
      </c>
      <c r="P232" t="s">
        <v>334</v>
      </c>
      <c r="R232" t="s">
        <v>335</v>
      </c>
      <c r="S232" t="s">
        <v>187</v>
      </c>
      <c r="T232">
        <v>97823</v>
      </c>
      <c r="U232" t="s">
        <v>100</v>
      </c>
      <c r="V232" t="s">
        <v>101</v>
      </c>
      <c r="W232" t="s">
        <v>154</v>
      </c>
      <c r="X232" t="s">
        <v>336</v>
      </c>
      <c r="Y232" t="s">
        <v>119</v>
      </c>
    </row>
    <row r="233" spans="1:25">
      <c r="A233">
        <v>10258</v>
      </c>
      <c r="B233">
        <v>41</v>
      </c>
      <c r="C233">
        <v>100</v>
      </c>
      <c r="D233">
        <v>3</v>
      </c>
      <c r="E233">
        <v>6668.24</v>
      </c>
      <c r="F233" t="s">
        <v>337</v>
      </c>
      <c r="G233" t="s">
        <v>93</v>
      </c>
      <c r="H233">
        <v>2</v>
      </c>
      <c r="I233">
        <v>6</v>
      </c>
      <c r="J233">
        <v>2004</v>
      </c>
      <c r="K233" t="s">
        <v>638</v>
      </c>
      <c r="L233">
        <v>136</v>
      </c>
      <c r="M233" t="s">
        <v>639</v>
      </c>
      <c r="N233" t="s">
        <v>338</v>
      </c>
      <c r="O233" t="s">
        <v>339</v>
      </c>
      <c r="P233" t="s">
        <v>340</v>
      </c>
      <c r="R233" t="s">
        <v>341</v>
      </c>
      <c r="S233" t="s">
        <v>342</v>
      </c>
      <c r="T233" t="s">
        <v>343</v>
      </c>
      <c r="U233" t="s">
        <v>288</v>
      </c>
      <c r="V233" t="s">
        <v>288</v>
      </c>
      <c r="W233" t="s">
        <v>344</v>
      </c>
      <c r="X233" t="s">
        <v>345</v>
      </c>
      <c r="Y233" t="s">
        <v>119</v>
      </c>
    </row>
    <row r="234" spans="1:25">
      <c r="A234">
        <v>10270</v>
      </c>
      <c r="B234">
        <v>28</v>
      </c>
      <c r="C234">
        <v>100</v>
      </c>
      <c r="D234">
        <v>6</v>
      </c>
      <c r="E234">
        <v>4094.72</v>
      </c>
      <c r="F234" t="s">
        <v>346</v>
      </c>
      <c r="G234" t="s">
        <v>93</v>
      </c>
      <c r="H234">
        <v>3</v>
      </c>
      <c r="I234">
        <v>7</v>
      </c>
      <c r="J234">
        <v>2004</v>
      </c>
      <c r="K234" t="s">
        <v>638</v>
      </c>
      <c r="L234">
        <v>136</v>
      </c>
      <c r="M234" t="s">
        <v>639</v>
      </c>
      <c r="N234" t="s">
        <v>234</v>
      </c>
      <c r="O234" t="s">
        <v>235</v>
      </c>
      <c r="P234" t="s">
        <v>236</v>
      </c>
      <c r="Q234" t="s">
        <v>237</v>
      </c>
      <c r="R234" t="s">
        <v>238</v>
      </c>
      <c r="S234" t="s">
        <v>239</v>
      </c>
      <c r="T234">
        <v>2067</v>
      </c>
      <c r="U234" t="s">
        <v>168</v>
      </c>
      <c r="V234" t="s">
        <v>169</v>
      </c>
      <c r="W234" t="s">
        <v>240</v>
      </c>
      <c r="X234" t="s">
        <v>241</v>
      </c>
      <c r="Y234" t="s">
        <v>119</v>
      </c>
    </row>
    <row r="235" spans="1:25">
      <c r="A235">
        <v>10281</v>
      </c>
      <c r="B235">
        <v>25</v>
      </c>
      <c r="C235">
        <v>100</v>
      </c>
      <c r="D235">
        <v>13</v>
      </c>
      <c r="E235">
        <v>2938.5</v>
      </c>
      <c r="F235" t="s">
        <v>542</v>
      </c>
      <c r="G235" t="s">
        <v>93</v>
      </c>
      <c r="H235">
        <v>3</v>
      </c>
      <c r="I235">
        <v>8</v>
      </c>
      <c r="J235">
        <v>2004</v>
      </c>
      <c r="K235" t="s">
        <v>638</v>
      </c>
      <c r="L235">
        <v>136</v>
      </c>
      <c r="M235" t="s">
        <v>639</v>
      </c>
      <c r="N235" t="s">
        <v>218</v>
      </c>
      <c r="O235">
        <v>2155551555</v>
      </c>
      <c r="P235" t="s">
        <v>219</v>
      </c>
      <c r="R235" t="s">
        <v>220</v>
      </c>
      <c r="S235" t="s">
        <v>221</v>
      </c>
      <c r="T235">
        <v>70267</v>
      </c>
      <c r="U235" t="s">
        <v>100</v>
      </c>
      <c r="V235" t="s">
        <v>101</v>
      </c>
      <c r="W235" t="s">
        <v>102</v>
      </c>
      <c r="X235" t="s">
        <v>222</v>
      </c>
      <c r="Y235" t="s">
        <v>104</v>
      </c>
    </row>
    <row r="236" spans="1:25">
      <c r="A236">
        <v>10291</v>
      </c>
      <c r="B236">
        <v>41</v>
      </c>
      <c r="C236">
        <v>100</v>
      </c>
      <c r="D236">
        <v>8</v>
      </c>
      <c r="E236">
        <v>6387.8</v>
      </c>
      <c r="F236" s="4">
        <v>38208</v>
      </c>
      <c r="G236" t="s">
        <v>93</v>
      </c>
      <c r="H236">
        <v>3</v>
      </c>
      <c r="I236">
        <v>9</v>
      </c>
      <c r="J236">
        <v>2004</v>
      </c>
      <c r="K236" t="s">
        <v>638</v>
      </c>
      <c r="L236">
        <v>136</v>
      </c>
      <c r="M236" t="s">
        <v>639</v>
      </c>
      <c r="N236" t="s">
        <v>355</v>
      </c>
      <c r="O236" t="s">
        <v>356</v>
      </c>
      <c r="P236" t="s">
        <v>357</v>
      </c>
      <c r="R236" t="s">
        <v>358</v>
      </c>
      <c r="T236" t="s">
        <v>359</v>
      </c>
      <c r="U236" t="s">
        <v>273</v>
      </c>
      <c r="V236" t="s">
        <v>110</v>
      </c>
      <c r="W236" t="s">
        <v>360</v>
      </c>
      <c r="X236" t="s">
        <v>295</v>
      </c>
      <c r="Y236" t="s">
        <v>119</v>
      </c>
    </row>
    <row r="237" spans="1:25">
      <c r="A237">
        <v>10304</v>
      </c>
      <c r="B237">
        <v>39</v>
      </c>
      <c r="C237">
        <v>100</v>
      </c>
      <c r="D237">
        <v>3</v>
      </c>
      <c r="E237">
        <v>6396</v>
      </c>
      <c r="F237" s="4">
        <v>38301</v>
      </c>
      <c r="G237" t="s">
        <v>93</v>
      </c>
      <c r="H237">
        <v>4</v>
      </c>
      <c r="I237">
        <v>10</v>
      </c>
      <c r="J237">
        <v>2004</v>
      </c>
      <c r="K237" t="s">
        <v>638</v>
      </c>
      <c r="L237">
        <v>136</v>
      </c>
      <c r="M237" t="s">
        <v>639</v>
      </c>
      <c r="N237" t="s">
        <v>361</v>
      </c>
      <c r="O237" t="s">
        <v>362</v>
      </c>
      <c r="P237" t="s">
        <v>363</v>
      </c>
      <c r="R237" t="s">
        <v>364</v>
      </c>
      <c r="T237">
        <v>78000</v>
      </c>
      <c r="U237" t="s">
        <v>109</v>
      </c>
      <c r="V237" t="s">
        <v>110</v>
      </c>
      <c r="W237" t="s">
        <v>365</v>
      </c>
      <c r="X237" t="s">
        <v>118</v>
      </c>
      <c r="Y237" t="s">
        <v>119</v>
      </c>
    </row>
    <row r="238" spans="1:25">
      <c r="A238">
        <v>10313</v>
      </c>
      <c r="B238">
        <v>21</v>
      </c>
      <c r="C238">
        <v>100</v>
      </c>
      <c r="D238">
        <v>11</v>
      </c>
      <c r="E238">
        <v>2669.1</v>
      </c>
      <c r="F238" t="s">
        <v>544</v>
      </c>
      <c r="G238" t="s">
        <v>93</v>
      </c>
      <c r="H238">
        <v>4</v>
      </c>
      <c r="I238">
        <v>10</v>
      </c>
      <c r="J238">
        <v>2004</v>
      </c>
      <c r="K238" t="s">
        <v>638</v>
      </c>
      <c r="L238">
        <v>136</v>
      </c>
      <c r="M238" t="s">
        <v>639</v>
      </c>
      <c r="N238" t="s">
        <v>316</v>
      </c>
      <c r="O238" t="s">
        <v>317</v>
      </c>
      <c r="P238" t="s">
        <v>318</v>
      </c>
      <c r="R238" t="s">
        <v>319</v>
      </c>
      <c r="S238" t="s">
        <v>320</v>
      </c>
      <c r="T238" t="s">
        <v>321</v>
      </c>
      <c r="U238" t="s">
        <v>322</v>
      </c>
      <c r="V238" t="s">
        <v>101</v>
      </c>
      <c r="W238" t="s">
        <v>323</v>
      </c>
      <c r="X238" t="s">
        <v>324</v>
      </c>
      <c r="Y238" t="s">
        <v>104</v>
      </c>
    </row>
    <row r="239" spans="1:25">
      <c r="A239">
        <v>10322</v>
      </c>
      <c r="B239">
        <v>27</v>
      </c>
      <c r="C239">
        <v>100</v>
      </c>
      <c r="D239">
        <v>9</v>
      </c>
      <c r="E239">
        <v>4784.13</v>
      </c>
      <c r="F239" s="4">
        <v>38088</v>
      </c>
      <c r="G239" t="s">
        <v>93</v>
      </c>
      <c r="H239">
        <v>4</v>
      </c>
      <c r="I239">
        <v>11</v>
      </c>
      <c r="J239">
        <v>2004</v>
      </c>
      <c r="K239" t="s">
        <v>638</v>
      </c>
      <c r="L239">
        <v>136</v>
      </c>
      <c r="M239" t="s">
        <v>639</v>
      </c>
      <c r="N239" t="s">
        <v>372</v>
      </c>
      <c r="O239">
        <v>6035558647</v>
      </c>
      <c r="P239" t="s">
        <v>373</v>
      </c>
      <c r="R239" t="s">
        <v>374</v>
      </c>
      <c r="S239" t="s">
        <v>375</v>
      </c>
      <c r="T239">
        <v>62005</v>
      </c>
      <c r="U239" t="s">
        <v>100</v>
      </c>
      <c r="V239" t="s">
        <v>101</v>
      </c>
      <c r="W239" t="s">
        <v>125</v>
      </c>
      <c r="X239" t="s">
        <v>371</v>
      </c>
      <c r="Y239" t="s">
        <v>119</v>
      </c>
    </row>
    <row r="240" spans="1:25">
      <c r="A240">
        <v>10333</v>
      </c>
      <c r="B240">
        <v>33</v>
      </c>
      <c r="C240">
        <v>99.21</v>
      </c>
      <c r="D240">
        <v>6</v>
      </c>
      <c r="E240">
        <v>3273.93</v>
      </c>
      <c r="F240" t="s">
        <v>376</v>
      </c>
      <c r="G240" t="s">
        <v>93</v>
      </c>
      <c r="H240">
        <v>4</v>
      </c>
      <c r="I240">
        <v>11</v>
      </c>
      <c r="J240">
        <v>2004</v>
      </c>
      <c r="K240" t="s">
        <v>638</v>
      </c>
      <c r="L240">
        <v>136</v>
      </c>
      <c r="M240" t="s">
        <v>639</v>
      </c>
      <c r="N240" t="s">
        <v>152</v>
      </c>
      <c r="O240">
        <v>6505555787</v>
      </c>
      <c r="P240" t="s">
        <v>153</v>
      </c>
      <c r="R240" t="s">
        <v>129</v>
      </c>
      <c r="S240" t="s">
        <v>124</v>
      </c>
      <c r="U240" t="s">
        <v>100</v>
      </c>
      <c r="V240" t="s">
        <v>101</v>
      </c>
      <c r="W240" t="s">
        <v>154</v>
      </c>
      <c r="X240" t="s">
        <v>126</v>
      </c>
      <c r="Y240" t="s">
        <v>119</v>
      </c>
    </row>
    <row r="241" spans="1:25">
      <c r="A241">
        <v>10347</v>
      </c>
      <c r="B241">
        <v>29</v>
      </c>
      <c r="C241">
        <v>100</v>
      </c>
      <c r="D241">
        <v>3</v>
      </c>
      <c r="E241">
        <v>3586.43</v>
      </c>
      <c r="F241" t="s">
        <v>377</v>
      </c>
      <c r="G241" t="s">
        <v>93</v>
      </c>
      <c r="H241">
        <v>4</v>
      </c>
      <c r="I241">
        <v>11</v>
      </c>
      <c r="J241">
        <v>2004</v>
      </c>
      <c r="K241" t="s">
        <v>638</v>
      </c>
      <c r="L241">
        <v>136</v>
      </c>
      <c r="M241" t="s">
        <v>639</v>
      </c>
      <c r="N241" t="s">
        <v>162</v>
      </c>
      <c r="O241" t="s">
        <v>163</v>
      </c>
      <c r="P241" t="s">
        <v>164</v>
      </c>
      <c r="Q241" t="s">
        <v>165</v>
      </c>
      <c r="R241" t="s">
        <v>166</v>
      </c>
      <c r="S241" t="s">
        <v>167</v>
      </c>
      <c r="T241">
        <v>3004</v>
      </c>
      <c r="U241" t="s">
        <v>168</v>
      </c>
      <c r="V241" t="s">
        <v>169</v>
      </c>
      <c r="W241" t="s">
        <v>170</v>
      </c>
      <c r="X241" t="s">
        <v>171</v>
      </c>
      <c r="Y241" t="s">
        <v>119</v>
      </c>
    </row>
    <row r="242" spans="1:25">
      <c r="A242">
        <v>10357</v>
      </c>
      <c r="B242">
        <v>49</v>
      </c>
      <c r="C242">
        <v>100</v>
      </c>
      <c r="D242">
        <v>8</v>
      </c>
      <c r="E242">
        <v>5960.36</v>
      </c>
      <c r="F242" s="4">
        <v>38272</v>
      </c>
      <c r="G242" t="s">
        <v>93</v>
      </c>
      <c r="H242">
        <v>4</v>
      </c>
      <c r="I242">
        <v>12</v>
      </c>
      <c r="J242">
        <v>2004</v>
      </c>
      <c r="K242" t="s">
        <v>638</v>
      </c>
      <c r="L242">
        <v>136</v>
      </c>
      <c r="M242" t="s">
        <v>639</v>
      </c>
      <c r="N242" t="s">
        <v>367</v>
      </c>
      <c r="O242">
        <v>4155551450</v>
      </c>
      <c r="P242" t="s">
        <v>368</v>
      </c>
      <c r="R242" t="s">
        <v>369</v>
      </c>
      <c r="S242" t="s">
        <v>124</v>
      </c>
      <c r="T242">
        <v>97562</v>
      </c>
      <c r="U242" t="s">
        <v>100</v>
      </c>
      <c r="V242" t="s">
        <v>101</v>
      </c>
      <c r="W242" t="s">
        <v>370</v>
      </c>
      <c r="X242" t="s">
        <v>371</v>
      </c>
      <c r="Y242" t="s">
        <v>119</v>
      </c>
    </row>
    <row r="243" spans="1:25">
      <c r="A243">
        <v>10370</v>
      </c>
      <c r="B243">
        <v>49</v>
      </c>
      <c r="C243">
        <v>100</v>
      </c>
      <c r="D243">
        <v>8</v>
      </c>
      <c r="E243">
        <v>8470.14</v>
      </c>
      <c r="F243" t="s">
        <v>378</v>
      </c>
      <c r="G243" t="s">
        <v>93</v>
      </c>
      <c r="H243">
        <v>1</v>
      </c>
      <c r="I243">
        <v>1</v>
      </c>
      <c r="J243">
        <v>2005</v>
      </c>
      <c r="K243" t="s">
        <v>638</v>
      </c>
      <c r="L243">
        <v>136</v>
      </c>
      <c r="M243" t="s">
        <v>639</v>
      </c>
      <c r="N243" t="s">
        <v>384</v>
      </c>
      <c r="O243" t="s">
        <v>385</v>
      </c>
      <c r="P243" t="s">
        <v>386</v>
      </c>
      <c r="Q243" t="s">
        <v>387</v>
      </c>
      <c r="R243" t="s">
        <v>388</v>
      </c>
      <c r="S243" t="s">
        <v>239</v>
      </c>
      <c r="T243">
        <v>2060</v>
      </c>
      <c r="U243" t="s">
        <v>168</v>
      </c>
      <c r="V243" t="s">
        <v>169</v>
      </c>
      <c r="W243" t="s">
        <v>389</v>
      </c>
      <c r="X243" t="s">
        <v>390</v>
      </c>
      <c r="Y243" t="s">
        <v>232</v>
      </c>
    </row>
    <row r="244" spans="1:25">
      <c r="A244">
        <v>10381</v>
      </c>
      <c r="B244">
        <v>20</v>
      </c>
      <c r="C244">
        <v>100</v>
      </c>
      <c r="D244">
        <v>1</v>
      </c>
      <c r="E244">
        <v>2952</v>
      </c>
      <c r="F244" t="s">
        <v>383</v>
      </c>
      <c r="G244" t="s">
        <v>93</v>
      </c>
      <c r="H244">
        <v>1</v>
      </c>
      <c r="I244">
        <v>2</v>
      </c>
      <c r="J244">
        <v>2005</v>
      </c>
      <c r="K244" t="s">
        <v>638</v>
      </c>
      <c r="L244">
        <v>136</v>
      </c>
      <c r="M244" t="s">
        <v>639</v>
      </c>
      <c r="N244" t="s">
        <v>127</v>
      </c>
      <c r="O244">
        <v>6505551386</v>
      </c>
      <c r="P244" t="s">
        <v>128</v>
      </c>
      <c r="R244" t="s">
        <v>129</v>
      </c>
      <c r="S244" t="s">
        <v>124</v>
      </c>
      <c r="U244" t="s">
        <v>100</v>
      </c>
      <c r="V244" t="s">
        <v>101</v>
      </c>
      <c r="W244" t="s">
        <v>130</v>
      </c>
      <c r="X244" t="s">
        <v>126</v>
      </c>
      <c r="Y244" t="s">
        <v>104</v>
      </c>
    </row>
    <row r="245" spans="1:25">
      <c r="A245">
        <v>10391</v>
      </c>
      <c r="B245">
        <v>39</v>
      </c>
      <c r="C245">
        <v>63.2</v>
      </c>
      <c r="D245">
        <v>9</v>
      </c>
      <c r="E245">
        <v>2464.8000000000002</v>
      </c>
      <c r="F245" s="4">
        <v>38598</v>
      </c>
      <c r="G245" t="s">
        <v>93</v>
      </c>
      <c r="H245">
        <v>1</v>
      </c>
      <c r="I245">
        <v>3</v>
      </c>
      <c r="J245">
        <v>2005</v>
      </c>
      <c r="K245" t="s">
        <v>638</v>
      </c>
      <c r="L245">
        <v>136</v>
      </c>
      <c r="M245" t="s">
        <v>639</v>
      </c>
      <c r="N245" t="s">
        <v>384</v>
      </c>
      <c r="O245" t="s">
        <v>385</v>
      </c>
      <c r="P245" t="s">
        <v>386</v>
      </c>
      <c r="Q245" t="s">
        <v>387</v>
      </c>
      <c r="R245" t="s">
        <v>388</v>
      </c>
      <c r="S245" t="s">
        <v>239</v>
      </c>
      <c r="T245">
        <v>2060</v>
      </c>
      <c r="U245" t="s">
        <v>168</v>
      </c>
      <c r="V245" t="s">
        <v>169</v>
      </c>
      <c r="W245" t="s">
        <v>389</v>
      </c>
      <c r="X245" t="s">
        <v>390</v>
      </c>
      <c r="Y245" t="s">
        <v>104</v>
      </c>
    </row>
    <row r="246" spans="1:25">
      <c r="A246">
        <v>10411</v>
      </c>
      <c r="B246">
        <v>40</v>
      </c>
      <c r="C246">
        <v>100</v>
      </c>
      <c r="D246">
        <v>6</v>
      </c>
      <c r="E246">
        <v>6232</v>
      </c>
      <c r="F246" s="4">
        <v>38357</v>
      </c>
      <c r="G246" t="s">
        <v>93</v>
      </c>
      <c r="H246">
        <v>2</v>
      </c>
      <c r="I246">
        <v>5</v>
      </c>
      <c r="J246">
        <v>2005</v>
      </c>
      <c r="K246" t="s">
        <v>638</v>
      </c>
      <c r="L246">
        <v>136</v>
      </c>
      <c r="M246" t="s">
        <v>639</v>
      </c>
      <c r="N246" t="s">
        <v>391</v>
      </c>
      <c r="O246" t="s">
        <v>392</v>
      </c>
      <c r="P246" t="s">
        <v>393</v>
      </c>
      <c r="R246" t="s">
        <v>394</v>
      </c>
      <c r="S246" t="s">
        <v>395</v>
      </c>
      <c r="T246" t="s">
        <v>396</v>
      </c>
      <c r="U246" t="s">
        <v>322</v>
      </c>
      <c r="V246" t="s">
        <v>101</v>
      </c>
      <c r="W246" t="s">
        <v>397</v>
      </c>
      <c r="X246" t="s">
        <v>398</v>
      </c>
      <c r="Y246" t="s">
        <v>119</v>
      </c>
    </row>
    <row r="247" spans="1:25">
      <c r="A247">
        <v>10424</v>
      </c>
      <c r="B247">
        <v>49</v>
      </c>
      <c r="C247">
        <v>100</v>
      </c>
      <c r="D247">
        <v>3</v>
      </c>
      <c r="E247">
        <v>7969.36</v>
      </c>
      <c r="F247" t="s">
        <v>399</v>
      </c>
      <c r="G247" t="s">
        <v>400</v>
      </c>
      <c r="H247">
        <v>2</v>
      </c>
      <c r="I247">
        <v>5</v>
      </c>
      <c r="J247">
        <v>2005</v>
      </c>
      <c r="K247" t="s">
        <v>638</v>
      </c>
      <c r="L247">
        <v>136</v>
      </c>
      <c r="M247" t="s">
        <v>639</v>
      </c>
      <c r="N247" t="s">
        <v>257</v>
      </c>
      <c r="O247" t="s">
        <v>258</v>
      </c>
      <c r="P247" t="s">
        <v>259</v>
      </c>
      <c r="R247" t="s">
        <v>260</v>
      </c>
      <c r="T247">
        <v>28034</v>
      </c>
      <c r="U247" t="s">
        <v>261</v>
      </c>
      <c r="V247" t="s">
        <v>110</v>
      </c>
      <c r="W247" t="s">
        <v>262</v>
      </c>
      <c r="X247" t="s">
        <v>263</v>
      </c>
      <c r="Y247" t="s">
        <v>232</v>
      </c>
    </row>
    <row r="248" spans="1:25">
      <c r="A248">
        <v>10107</v>
      </c>
      <c r="B248">
        <v>21</v>
      </c>
      <c r="C248">
        <v>100</v>
      </c>
      <c r="D248">
        <v>1</v>
      </c>
      <c r="E248">
        <v>3036.6</v>
      </c>
      <c r="F248" t="s">
        <v>92</v>
      </c>
      <c r="G248" t="s">
        <v>93</v>
      </c>
      <c r="H248">
        <v>1</v>
      </c>
      <c r="I248">
        <v>2</v>
      </c>
      <c r="J248">
        <v>2003</v>
      </c>
      <c r="K248" t="s">
        <v>94</v>
      </c>
      <c r="L248">
        <v>150</v>
      </c>
      <c r="M248" t="s">
        <v>641</v>
      </c>
      <c r="N248" t="s">
        <v>96</v>
      </c>
      <c r="O248">
        <v>2125557818</v>
      </c>
      <c r="P248" t="s">
        <v>97</v>
      </c>
      <c r="R248" t="s">
        <v>98</v>
      </c>
      <c r="S248" t="s">
        <v>99</v>
      </c>
      <c r="T248">
        <v>10022</v>
      </c>
      <c r="U248" t="s">
        <v>100</v>
      </c>
      <c r="V248" t="s">
        <v>101</v>
      </c>
      <c r="W248" t="s">
        <v>102</v>
      </c>
      <c r="X248" t="s">
        <v>103</v>
      </c>
      <c r="Y248" t="s">
        <v>119</v>
      </c>
    </row>
    <row r="249" spans="1:25">
      <c r="A249">
        <v>10121</v>
      </c>
      <c r="B249">
        <v>50</v>
      </c>
      <c r="C249">
        <v>100</v>
      </c>
      <c r="D249">
        <v>4</v>
      </c>
      <c r="E249">
        <v>8284</v>
      </c>
      <c r="F249" s="4">
        <v>37807</v>
      </c>
      <c r="G249" t="s">
        <v>93</v>
      </c>
      <c r="H249">
        <v>2</v>
      </c>
      <c r="I249">
        <v>5</v>
      </c>
      <c r="J249">
        <v>2003</v>
      </c>
      <c r="K249" t="s">
        <v>94</v>
      </c>
      <c r="L249">
        <v>150</v>
      </c>
      <c r="M249" t="s">
        <v>641</v>
      </c>
      <c r="N249" t="s">
        <v>105</v>
      </c>
      <c r="O249" t="s">
        <v>106</v>
      </c>
      <c r="P249" t="s">
        <v>107</v>
      </c>
      <c r="R249" t="s">
        <v>108</v>
      </c>
      <c r="T249">
        <v>51100</v>
      </c>
      <c r="U249" t="s">
        <v>109</v>
      </c>
      <c r="V249" t="s">
        <v>110</v>
      </c>
      <c r="W249" t="s">
        <v>111</v>
      </c>
      <c r="X249" t="s">
        <v>112</v>
      </c>
      <c r="Y249" t="s">
        <v>232</v>
      </c>
    </row>
    <row r="250" spans="1:25">
      <c r="A250">
        <v>10134</v>
      </c>
      <c r="B250">
        <v>20</v>
      </c>
      <c r="C250">
        <v>100</v>
      </c>
      <c r="D250">
        <v>1</v>
      </c>
      <c r="E250">
        <v>2711.2</v>
      </c>
      <c r="F250" s="4">
        <v>37628</v>
      </c>
      <c r="G250" t="s">
        <v>93</v>
      </c>
      <c r="H250">
        <v>3</v>
      </c>
      <c r="I250">
        <v>7</v>
      </c>
      <c r="J250">
        <v>2003</v>
      </c>
      <c r="K250" t="s">
        <v>94</v>
      </c>
      <c r="L250">
        <v>150</v>
      </c>
      <c r="M250" t="s">
        <v>641</v>
      </c>
      <c r="N250" t="s">
        <v>113</v>
      </c>
      <c r="O250" t="s">
        <v>114</v>
      </c>
      <c r="P250" t="s">
        <v>115</v>
      </c>
      <c r="R250" t="s">
        <v>116</v>
      </c>
      <c r="T250">
        <v>75508</v>
      </c>
      <c r="U250" t="s">
        <v>109</v>
      </c>
      <c r="V250" t="s">
        <v>110</v>
      </c>
      <c r="W250" t="s">
        <v>117</v>
      </c>
      <c r="X250" t="s">
        <v>118</v>
      </c>
      <c r="Y250" t="s">
        <v>104</v>
      </c>
    </row>
    <row r="251" spans="1:25">
      <c r="A251">
        <v>10145</v>
      </c>
      <c r="B251">
        <v>49</v>
      </c>
      <c r="C251">
        <v>100</v>
      </c>
      <c r="D251">
        <v>5</v>
      </c>
      <c r="E251">
        <v>8339.7999999999993</v>
      </c>
      <c r="F251" t="s">
        <v>120</v>
      </c>
      <c r="G251" t="s">
        <v>93</v>
      </c>
      <c r="H251">
        <v>3</v>
      </c>
      <c r="I251">
        <v>8</v>
      </c>
      <c r="J251">
        <v>2003</v>
      </c>
      <c r="K251" t="s">
        <v>94</v>
      </c>
      <c r="L251">
        <v>150</v>
      </c>
      <c r="M251" t="s">
        <v>641</v>
      </c>
      <c r="N251" t="s">
        <v>121</v>
      </c>
      <c r="O251">
        <v>6265557265</v>
      </c>
      <c r="P251" t="s">
        <v>122</v>
      </c>
      <c r="R251" t="s">
        <v>123</v>
      </c>
      <c r="S251" t="s">
        <v>124</v>
      </c>
      <c r="T251">
        <v>90003</v>
      </c>
      <c r="U251" t="s">
        <v>100</v>
      </c>
      <c r="V251" t="s">
        <v>101</v>
      </c>
      <c r="W251" t="s">
        <v>125</v>
      </c>
      <c r="X251" t="s">
        <v>126</v>
      </c>
      <c r="Y251" t="s">
        <v>232</v>
      </c>
    </row>
    <row r="252" spans="1:25">
      <c r="A252">
        <v>10159</v>
      </c>
      <c r="B252">
        <v>38</v>
      </c>
      <c r="C252">
        <v>100</v>
      </c>
      <c r="D252">
        <v>13</v>
      </c>
      <c r="E252">
        <v>6238.84</v>
      </c>
      <c r="F252" s="4">
        <v>37904</v>
      </c>
      <c r="G252" t="s">
        <v>93</v>
      </c>
      <c r="H252">
        <v>4</v>
      </c>
      <c r="I252">
        <v>10</v>
      </c>
      <c r="J252">
        <v>2003</v>
      </c>
      <c r="K252" t="s">
        <v>94</v>
      </c>
      <c r="L252">
        <v>150</v>
      </c>
      <c r="M252" t="s">
        <v>641</v>
      </c>
      <c r="N252" t="s">
        <v>127</v>
      </c>
      <c r="O252">
        <v>6505551386</v>
      </c>
      <c r="P252" t="s">
        <v>128</v>
      </c>
      <c r="R252" t="s">
        <v>129</v>
      </c>
      <c r="S252" t="s">
        <v>124</v>
      </c>
      <c r="U252" t="s">
        <v>100</v>
      </c>
      <c r="V252" t="s">
        <v>101</v>
      </c>
      <c r="W252" t="s">
        <v>130</v>
      </c>
      <c r="X252" t="s">
        <v>126</v>
      </c>
      <c r="Y252" t="s">
        <v>119</v>
      </c>
    </row>
    <row r="253" spans="1:25">
      <c r="A253">
        <v>10169</v>
      </c>
      <c r="B253">
        <v>35</v>
      </c>
      <c r="C253">
        <v>100</v>
      </c>
      <c r="D253">
        <v>13</v>
      </c>
      <c r="E253">
        <v>4639.25</v>
      </c>
      <c r="F253" s="4">
        <v>37722</v>
      </c>
      <c r="G253" t="s">
        <v>93</v>
      </c>
      <c r="H253">
        <v>4</v>
      </c>
      <c r="I253">
        <v>11</v>
      </c>
      <c r="J253">
        <v>2003</v>
      </c>
      <c r="K253" t="s">
        <v>94</v>
      </c>
      <c r="L253">
        <v>150</v>
      </c>
      <c r="M253" t="s">
        <v>641</v>
      </c>
      <c r="N253" t="s">
        <v>384</v>
      </c>
      <c r="O253" t="s">
        <v>385</v>
      </c>
      <c r="P253" t="s">
        <v>386</v>
      </c>
      <c r="Q253" t="s">
        <v>387</v>
      </c>
      <c r="R253" t="s">
        <v>388</v>
      </c>
      <c r="S253" t="s">
        <v>239</v>
      </c>
      <c r="T253">
        <v>2060</v>
      </c>
      <c r="U253" t="s">
        <v>168</v>
      </c>
      <c r="V253" t="s">
        <v>169</v>
      </c>
      <c r="W253" t="s">
        <v>389</v>
      </c>
      <c r="X253" t="s">
        <v>390</v>
      </c>
      <c r="Y253" t="s">
        <v>119</v>
      </c>
    </row>
    <row r="254" spans="1:25">
      <c r="A254">
        <v>10180</v>
      </c>
      <c r="B254">
        <v>40</v>
      </c>
      <c r="C254">
        <v>100</v>
      </c>
      <c r="D254">
        <v>8</v>
      </c>
      <c r="E254">
        <v>6747.6</v>
      </c>
      <c r="F254" s="4">
        <v>37936</v>
      </c>
      <c r="G254" t="s">
        <v>93</v>
      </c>
      <c r="H254">
        <v>4</v>
      </c>
      <c r="I254">
        <v>11</v>
      </c>
      <c r="J254">
        <v>2003</v>
      </c>
      <c r="K254" t="s">
        <v>94</v>
      </c>
      <c r="L254">
        <v>150</v>
      </c>
      <c r="M254" t="s">
        <v>641</v>
      </c>
      <c r="N254" t="s">
        <v>137</v>
      </c>
      <c r="O254" t="s">
        <v>138</v>
      </c>
      <c r="P254" t="s">
        <v>139</v>
      </c>
      <c r="R254" t="s">
        <v>140</v>
      </c>
      <c r="T254">
        <v>59000</v>
      </c>
      <c r="U254" t="s">
        <v>109</v>
      </c>
      <c r="V254" t="s">
        <v>110</v>
      </c>
      <c r="W254" t="s">
        <v>141</v>
      </c>
      <c r="X254" t="s">
        <v>142</v>
      </c>
      <c r="Y254" t="s">
        <v>119</v>
      </c>
    </row>
    <row r="255" spans="1:25">
      <c r="A255">
        <v>10189</v>
      </c>
      <c r="B255">
        <v>28</v>
      </c>
      <c r="C255">
        <v>100</v>
      </c>
      <c r="D255">
        <v>1</v>
      </c>
      <c r="E255">
        <v>4512.4799999999996</v>
      </c>
      <c r="F255" t="s">
        <v>143</v>
      </c>
      <c r="G255" t="s">
        <v>93</v>
      </c>
      <c r="H255">
        <v>4</v>
      </c>
      <c r="I255">
        <v>11</v>
      </c>
      <c r="J255">
        <v>2003</v>
      </c>
      <c r="K255" t="s">
        <v>94</v>
      </c>
      <c r="L255">
        <v>150</v>
      </c>
      <c r="M255" t="s">
        <v>641</v>
      </c>
      <c r="N255" t="s">
        <v>121</v>
      </c>
      <c r="O255">
        <v>6265557265</v>
      </c>
      <c r="P255" t="s">
        <v>122</v>
      </c>
      <c r="R255" t="s">
        <v>123</v>
      </c>
      <c r="S255" t="s">
        <v>124</v>
      </c>
      <c r="T255">
        <v>90003</v>
      </c>
      <c r="U255" t="s">
        <v>100</v>
      </c>
      <c r="V255" t="s">
        <v>101</v>
      </c>
      <c r="W255" t="s">
        <v>125</v>
      </c>
      <c r="X255" t="s">
        <v>126</v>
      </c>
      <c r="Y255" t="s">
        <v>119</v>
      </c>
    </row>
    <row r="256" spans="1:25">
      <c r="A256">
        <v>10201</v>
      </c>
      <c r="B256">
        <v>25</v>
      </c>
      <c r="C256">
        <v>100</v>
      </c>
      <c r="D256">
        <v>1</v>
      </c>
      <c r="E256">
        <v>4029</v>
      </c>
      <c r="F256" s="4">
        <v>37633</v>
      </c>
      <c r="G256" t="s">
        <v>93</v>
      </c>
      <c r="H256">
        <v>4</v>
      </c>
      <c r="I256">
        <v>12</v>
      </c>
      <c r="J256">
        <v>2003</v>
      </c>
      <c r="K256" t="s">
        <v>94</v>
      </c>
      <c r="L256">
        <v>150</v>
      </c>
      <c r="M256" t="s">
        <v>641</v>
      </c>
      <c r="N256" t="s">
        <v>152</v>
      </c>
      <c r="O256">
        <v>6505555787</v>
      </c>
      <c r="P256" t="s">
        <v>153</v>
      </c>
      <c r="R256" t="s">
        <v>129</v>
      </c>
      <c r="S256" t="s">
        <v>124</v>
      </c>
      <c r="U256" t="s">
        <v>100</v>
      </c>
      <c r="V256" t="s">
        <v>101</v>
      </c>
      <c r="W256" t="s">
        <v>154</v>
      </c>
      <c r="X256" t="s">
        <v>126</v>
      </c>
      <c r="Y256" t="s">
        <v>119</v>
      </c>
    </row>
    <row r="257" spans="1:25">
      <c r="A257">
        <v>10211</v>
      </c>
      <c r="B257">
        <v>36</v>
      </c>
      <c r="C257">
        <v>100</v>
      </c>
      <c r="D257">
        <v>13</v>
      </c>
      <c r="E257">
        <v>4771.8</v>
      </c>
      <c r="F257" t="s">
        <v>155</v>
      </c>
      <c r="G257" t="s">
        <v>93</v>
      </c>
      <c r="H257">
        <v>1</v>
      </c>
      <c r="I257">
        <v>1</v>
      </c>
      <c r="J257">
        <v>2004</v>
      </c>
      <c r="K257" t="s">
        <v>94</v>
      </c>
      <c r="L257">
        <v>150</v>
      </c>
      <c r="M257" t="s">
        <v>641</v>
      </c>
      <c r="N257" t="s">
        <v>156</v>
      </c>
      <c r="O257" t="s">
        <v>157</v>
      </c>
      <c r="P257" t="s">
        <v>158</v>
      </c>
      <c r="R257" t="s">
        <v>116</v>
      </c>
      <c r="T257">
        <v>75016</v>
      </c>
      <c r="U257" t="s">
        <v>109</v>
      </c>
      <c r="V257" t="s">
        <v>110</v>
      </c>
      <c r="W257" t="s">
        <v>159</v>
      </c>
      <c r="X257" t="s">
        <v>160</v>
      </c>
      <c r="Y257" t="s">
        <v>119</v>
      </c>
    </row>
    <row r="258" spans="1:25">
      <c r="A258">
        <v>10224</v>
      </c>
      <c r="B258">
        <v>43</v>
      </c>
      <c r="C258">
        <v>100</v>
      </c>
      <c r="D258">
        <v>6</v>
      </c>
      <c r="E258">
        <v>6087.94</v>
      </c>
      <c r="F258" t="s">
        <v>642</v>
      </c>
      <c r="G258" t="s">
        <v>93</v>
      </c>
      <c r="H258">
        <v>1</v>
      </c>
      <c r="I258">
        <v>2</v>
      </c>
      <c r="J258">
        <v>2004</v>
      </c>
      <c r="K258" t="s">
        <v>94</v>
      </c>
      <c r="L258">
        <v>150</v>
      </c>
      <c r="M258" t="s">
        <v>641</v>
      </c>
      <c r="N258" t="s">
        <v>137</v>
      </c>
      <c r="O258" t="s">
        <v>138</v>
      </c>
      <c r="P258" t="s">
        <v>139</v>
      </c>
      <c r="R258" t="s">
        <v>140</v>
      </c>
      <c r="T258">
        <v>59000</v>
      </c>
      <c r="U258" t="s">
        <v>109</v>
      </c>
      <c r="V258" t="s">
        <v>110</v>
      </c>
      <c r="W258" t="s">
        <v>141</v>
      </c>
      <c r="X258" t="s">
        <v>142</v>
      </c>
      <c r="Y258" t="s">
        <v>119</v>
      </c>
    </row>
    <row r="259" spans="1:25">
      <c r="A259">
        <v>10237</v>
      </c>
      <c r="B259">
        <v>32</v>
      </c>
      <c r="C259">
        <v>100</v>
      </c>
      <c r="D259">
        <v>6</v>
      </c>
      <c r="E259">
        <v>4193.28</v>
      </c>
      <c r="F259" s="4">
        <v>38111</v>
      </c>
      <c r="G259" t="s">
        <v>93</v>
      </c>
      <c r="H259">
        <v>2</v>
      </c>
      <c r="I259">
        <v>4</v>
      </c>
      <c r="J259">
        <v>2004</v>
      </c>
      <c r="K259" t="s">
        <v>94</v>
      </c>
      <c r="L259">
        <v>150</v>
      </c>
      <c r="M259" t="s">
        <v>641</v>
      </c>
      <c r="N259" t="s">
        <v>172</v>
      </c>
      <c r="O259">
        <v>2125551500</v>
      </c>
      <c r="P259" t="s">
        <v>173</v>
      </c>
      <c r="Q259" t="s">
        <v>174</v>
      </c>
      <c r="R259" t="s">
        <v>98</v>
      </c>
      <c r="S259" t="s">
        <v>99</v>
      </c>
      <c r="T259">
        <v>10022</v>
      </c>
      <c r="U259" t="s">
        <v>100</v>
      </c>
      <c r="V259" t="s">
        <v>101</v>
      </c>
      <c r="W259" t="s">
        <v>175</v>
      </c>
      <c r="X259" t="s">
        <v>176</v>
      </c>
      <c r="Y259" t="s">
        <v>119</v>
      </c>
    </row>
    <row r="260" spans="1:25">
      <c r="A260">
        <v>10251</v>
      </c>
      <c r="B260">
        <v>46</v>
      </c>
      <c r="C260">
        <v>100</v>
      </c>
      <c r="D260">
        <v>1</v>
      </c>
      <c r="E260">
        <v>7552.28</v>
      </c>
      <c r="F260" t="s">
        <v>177</v>
      </c>
      <c r="G260" t="s">
        <v>93</v>
      </c>
      <c r="H260">
        <v>2</v>
      </c>
      <c r="I260">
        <v>5</v>
      </c>
      <c r="J260">
        <v>2004</v>
      </c>
      <c r="K260" t="s">
        <v>94</v>
      </c>
      <c r="L260">
        <v>150</v>
      </c>
      <c r="M260" t="s">
        <v>641</v>
      </c>
      <c r="N260" t="s">
        <v>178</v>
      </c>
      <c r="O260">
        <v>2015559350</v>
      </c>
      <c r="P260" t="s">
        <v>179</v>
      </c>
      <c r="R260" t="s">
        <v>180</v>
      </c>
      <c r="S260" t="s">
        <v>181</v>
      </c>
      <c r="T260">
        <v>94019</v>
      </c>
      <c r="U260" t="s">
        <v>100</v>
      </c>
      <c r="V260" t="s">
        <v>101</v>
      </c>
      <c r="W260" t="s">
        <v>130</v>
      </c>
      <c r="X260" t="s">
        <v>182</v>
      </c>
      <c r="Y260" t="s">
        <v>232</v>
      </c>
    </row>
    <row r="261" spans="1:25">
      <c r="A261">
        <v>10263</v>
      </c>
      <c r="B261">
        <v>48</v>
      </c>
      <c r="C261">
        <v>100</v>
      </c>
      <c r="D261">
        <v>1</v>
      </c>
      <c r="E261">
        <v>6434.4</v>
      </c>
      <c r="F261" t="s">
        <v>183</v>
      </c>
      <c r="G261" t="s">
        <v>93</v>
      </c>
      <c r="H261">
        <v>2</v>
      </c>
      <c r="I261">
        <v>6</v>
      </c>
      <c r="J261">
        <v>2004</v>
      </c>
      <c r="K261" t="s">
        <v>94</v>
      </c>
      <c r="L261">
        <v>150</v>
      </c>
      <c r="M261" t="s">
        <v>641</v>
      </c>
      <c r="N261" t="s">
        <v>184</v>
      </c>
      <c r="O261">
        <v>2035552570</v>
      </c>
      <c r="P261" t="s">
        <v>185</v>
      </c>
      <c r="R261" t="s">
        <v>186</v>
      </c>
      <c r="S261" t="s">
        <v>187</v>
      </c>
      <c r="T261">
        <v>97562</v>
      </c>
      <c r="U261" t="s">
        <v>100</v>
      </c>
      <c r="V261" t="s">
        <v>101</v>
      </c>
      <c r="W261" t="s">
        <v>188</v>
      </c>
      <c r="X261" t="s">
        <v>126</v>
      </c>
      <c r="Y261" t="s">
        <v>119</v>
      </c>
    </row>
    <row r="262" spans="1:25">
      <c r="A262">
        <v>10276</v>
      </c>
      <c r="B262">
        <v>43</v>
      </c>
      <c r="C262">
        <v>100</v>
      </c>
      <c r="D262">
        <v>14</v>
      </c>
      <c r="E262">
        <v>5181.5</v>
      </c>
      <c r="F262" s="4">
        <v>38025</v>
      </c>
      <c r="G262" t="s">
        <v>93</v>
      </c>
      <c r="H262">
        <v>3</v>
      </c>
      <c r="I262">
        <v>8</v>
      </c>
      <c r="J262">
        <v>2004</v>
      </c>
      <c r="K262" t="s">
        <v>94</v>
      </c>
      <c r="L262">
        <v>150</v>
      </c>
      <c r="M262" t="s">
        <v>641</v>
      </c>
      <c r="N262" t="s">
        <v>582</v>
      </c>
      <c r="O262">
        <v>6175557555</v>
      </c>
      <c r="P262" t="s">
        <v>583</v>
      </c>
      <c r="R262" t="s">
        <v>381</v>
      </c>
      <c r="S262" t="s">
        <v>200</v>
      </c>
      <c r="T262">
        <v>58339</v>
      </c>
      <c r="U262" t="s">
        <v>100</v>
      </c>
      <c r="V262" t="s">
        <v>101</v>
      </c>
      <c r="W262" t="s">
        <v>584</v>
      </c>
      <c r="X262" t="s">
        <v>585</v>
      </c>
      <c r="Y262" t="s">
        <v>119</v>
      </c>
    </row>
    <row r="263" spans="1:25">
      <c r="A263">
        <v>10285</v>
      </c>
      <c r="B263">
        <v>49</v>
      </c>
      <c r="C263">
        <v>100</v>
      </c>
      <c r="D263">
        <v>5</v>
      </c>
      <c r="E263">
        <v>6863.92</v>
      </c>
      <c r="F263" t="s">
        <v>196</v>
      </c>
      <c r="G263" t="s">
        <v>93</v>
      </c>
      <c r="H263">
        <v>3</v>
      </c>
      <c r="I263">
        <v>8</v>
      </c>
      <c r="J263">
        <v>2004</v>
      </c>
      <c r="K263" t="s">
        <v>94</v>
      </c>
      <c r="L263">
        <v>150</v>
      </c>
      <c r="M263" t="s">
        <v>641</v>
      </c>
      <c r="N263" t="s">
        <v>197</v>
      </c>
      <c r="O263">
        <v>6175558555</v>
      </c>
      <c r="P263" t="s">
        <v>198</v>
      </c>
      <c r="R263" t="s">
        <v>199</v>
      </c>
      <c r="S263" t="s">
        <v>200</v>
      </c>
      <c r="T263">
        <v>51247</v>
      </c>
      <c r="U263" t="s">
        <v>100</v>
      </c>
      <c r="V263" t="s">
        <v>101</v>
      </c>
      <c r="W263" t="s">
        <v>201</v>
      </c>
      <c r="X263" t="s">
        <v>202</v>
      </c>
      <c r="Y263" t="s">
        <v>119</v>
      </c>
    </row>
    <row r="264" spans="1:25">
      <c r="A264">
        <v>10299</v>
      </c>
      <c r="B264">
        <v>24</v>
      </c>
      <c r="C264">
        <v>100</v>
      </c>
      <c r="D264">
        <v>8</v>
      </c>
      <c r="E264">
        <v>4157.04</v>
      </c>
      <c r="F264" t="s">
        <v>203</v>
      </c>
      <c r="G264" t="s">
        <v>93</v>
      </c>
      <c r="H264">
        <v>3</v>
      </c>
      <c r="I264">
        <v>9</v>
      </c>
      <c r="J264">
        <v>2004</v>
      </c>
      <c r="K264" t="s">
        <v>94</v>
      </c>
      <c r="L264">
        <v>150</v>
      </c>
      <c r="M264" t="s">
        <v>641</v>
      </c>
      <c r="N264" t="s">
        <v>204</v>
      </c>
      <c r="O264" t="s">
        <v>205</v>
      </c>
      <c r="P264" t="s">
        <v>206</v>
      </c>
      <c r="R264" t="s">
        <v>207</v>
      </c>
      <c r="T264">
        <v>21240</v>
      </c>
      <c r="U264" t="s">
        <v>208</v>
      </c>
      <c r="V264" t="s">
        <v>110</v>
      </c>
      <c r="W264" t="s">
        <v>209</v>
      </c>
      <c r="X264" t="s">
        <v>210</v>
      </c>
      <c r="Y264" t="s">
        <v>119</v>
      </c>
    </row>
    <row r="265" spans="1:25">
      <c r="A265">
        <v>10309</v>
      </c>
      <c r="B265">
        <v>26</v>
      </c>
      <c r="C265">
        <v>100</v>
      </c>
      <c r="D265">
        <v>4</v>
      </c>
      <c r="E265">
        <v>4660.24</v>
      </c>
      <c r="F265" t="s">
        <v>211</v>
      </c>
      <c r="G265" t="s">
        <v>93</v>
      </c>
      <c r="H265">
        <v>4</v>
      </c>
      <c r="I265">
        <v>10</v>
      </c>
      <c r="J265">
        <v>2004</v>
      </c>
      <c r="K265" t="s">
        <v>94</v>
      </c>
      <c r="L265">
        <v>150</v>
      </c>
      <c r="M265" t="s">
        <v>641</v>
      </c>
      <c r="N265" t="s">
        <v>212</v>
      </c>
      <c r="O265" t="s">
        <v>213</v>
      </c>
      <c r="P265" t="s">
        <v>214</v>
      </c>
      <c r="R265" t="s">
        <v>215</v>
      </c>
      <c r="T265">
        <v>4110</v>
      </c>
      <c r="U265" t="s">
        <v>149</v>
      </c>
      <c r="V265" t="s">
        <v>110</v>
      </c>
      <c r="W265" t="s">
        <v>216</v>
      </c>
      <c r="X265" t="s">
        <v>217</v>
      </c>
      <c r="Y265" t="s">
        <v>119</v>
      </c>
    </row>
    <row r="266" spans="1:25">
      <c r="A266">
        <v>10319</v>
      </c>
      <c r="B266">
        <v>30</v>
      </c>
      <c r="C266">
        <v>100</v>
      </c>
      <c r="D266">
        <v>9</v>
      </c>
      <c r="E266">
        <v>4111.8</v>
      </c>
      <c r="F266" s="4">
        <v>38057</v>
      </c>
      <c r="G266" t="s">
        <v>93</v>
      </c>
      <c r="H266">
        <v>4</v>
      </c>
      <c r="I266">
        <v>11</v>
      </c>
      <c r="J266">
        <v>2004</v>
      </c>
      <c r="K266" t="s">
        <v>94</v>
      </c>
      <c r="L266">
        <v>150</v>
      </c>
      <c r="M266" t="s">
        <v>641</v>
      </c>
      <c r="N266" t="s">
        <v>643</v>
      </c>
      <c r="O266">
        <v>2125551957</v>
      </c>
      <c r="P266" t="s">
        <v>644</v>
      </c>
      <c r="Q266" t="s">
        <v>645</v>
      </c>
      <c r="R266" t="s">
        <v>98</v>
      </c>
      <c r="S266" t="s">
        <v>99</v>
      </c>
      <c r="T266">
        <v>10022</v>
      </c>
      <c r="U266" t="s">
        <v>100</v>
      </c>
      <c r="V266" t="s">
        <v>101</v>
      </c>
      <c r="W266" t="s">
        <v>646</v>
      </c>
      <c r="X266" t="s">
        <v>647</v>
      </c>
      <c r="Y266" t="s">
        <v>119</v>
      </c>
    </row>
    <row r="267" spans="1:25">
      <c r="A267">
        <v>10329</v>
      </c>
      <c r="B267">
        <v>24</v>
      </c>
      <c r="C267">
        <v>100</v>
      </c>
      <c r="D267">
        <v>6</v>
      </c>
      <c r="E267">
        <v>3542.64</v>
      </c>
      <c r="F267" t="s">
        <v>223</v>
      </c>
      <c r="G267" t="s">
        <v>93</v>
      </c>
      <c r="H267">
        <v>4</v>
      </c>
      <c r="I267">
        <v>11</v>
      </c>
      <c r="J267">
        <v>2004</v>
      </c>
      <c r="K267" t="s">
        <v>94</v>
      </c>
      <c r="L267">
        <v>150</v>
      </c>
      <c r="M267" t="s">
        <v>641</v>
      </c>
      <c r="N267" t="s">
        <v>96</v>
      </c>
      <c r="O267">
        <v>2125557818</v>
      </c>
      <c r="P267" t="s">
        <v>97</v>
      </c>
      <c r="R267" t="s">
        <v>98</v>
      </c>
      <c r="S267" t="s">
        <v>99</v>
      </c>
      <c r="T267">
        <v>10022</v>
      </c>
      <c r="U267" t="s">
        <v>100</v>
      </c>
      <c r="V267" t="s">
        <v>101</v>
      </c>
      <c r="W267" t="s">
        <v>102</v>
      </c>
      <c r="X267" t="s">
        <v>103</v>
      </c>
      <c r="Y267" t="s">
        <v>119</v>
      </c>
    </row>
    <row r="268" spans="1:25">
      <c r="A268">
        <v>10341</v>
      </c>
      <c r="B268">
        <v>55</v>
      </c>
      <c r="C268">
        <v>100</v>
      </c>
      <c r="D268">
        <v>8</v>
      </c>
      <c r="E268">
        <v>8118.55</v>
      </c>
      <c r="F268" t="s">
        <v>224</v>
      </c>
      <c r="G268" t="s">
        <v>93</v>
      </c>
      <c r="H268">
        <v>4</v>
      </c>
      <c r="I268">
        <v>11</v>
      </c>
      <c r="J268">
        <v>2004</v>
      </c>
      <c r="K268" t="s">
        <v>94</v>
      </c>
      <c r="L268">
        <v>150</v>
      </c>
      <c r="M268" t="s">
        <v>641</v>
      </c>
      <c r="N268" t="s">
        <v>225</v>
      </c>
      <c r="O268" t="s">
        <v>226</v>
      </c>
      <c r="P268" t="s">
        <v>227</v>
      </c>
      <c r="R268" t="s">
        <v>228</v>
      </c>
      <c r="T268">
        <v>5020</v>
      </c>
      <c r="U268" t="s">
        <v>229</v>
      </c>
      <c r="V268" t="s">
        <v>110</v>
      </c>
      <c r="W268" t="s">
        <v>230</v>
      </c>
      <c r="X268" t="s">
        <v>231</v>
      </c>
      <c r="Y268" t="s">
        <v>232</v>
      </c>
    </row>
    <row r="269" spans="1:25">
      <c r="A269">
        <v>10362</v>
      </c>
      <c r="B269">
        <v>22</v>
      </c>
      <c r="C269">
        <v>100</v>
      </c>
      <c r="D269">
        <v>1</v>
      </c>
      <c r="E269">
        <v>3877.06</v>
      </c>
      <c r="F269" s="4">
        <v>38473</v>
      </c>
      <c r="G269" t="s">
        <v>93</v>
      </c>
      <c r="H269">
        <v>1</v>
      </c>
      <c r="I269">
        <v>1</v>
      </c>
      <c r="J269">
        <v>2005</v>
      </c>
      <c r="K269" t="s">
        <v>94</v>
      </c>
      <c r="L269">
        <v>150</v>
      </c>
      <c r="M269" t="s">
        <v>641</v>
      </c>
      <c r="N269" t="s">
        <v>132</v>
      </c>
      <c r="O269">
        <v>6505556809</v>
      </c>
      <c r="P269" t="s">
        <v>133</v>
      </c>
      <c r="R269" t="s">
        <v>134</v>
      </c>
      <c r="S269" t="s">
        <v>124</v>
      </c>
      <c r="T269">
        <v>94217</v>
      </c>
      <c r="U269" t="s">
        <v>100</v>
      </c>
      <c r="V269" t="s">
        <v>101</v>
      </c>
      <c r="W269" t="s">
        <v>135</v>
      </c>
      <c r="X269" t="s">
        <v>136</v>
      </c>
      <c r="Y269" t="s">
        <v>119</v>
      </c>
    </row>
    <row r="270" spans="1:25">
      <c r="A270">
        <v>10375</v>
      </c>
      <c r="B270">
        <v>49</v>
      </c>
      <c r="C270">
        <v>78.92</v>
      </c>
      <c r="D270">
        <v>13</v>
      </c>
      <c r="E270">
        <v>3867.08</v>
      </c>
      <c r="F270" s="4">
        <v>38413</v>
      </c>
      <c r="G270" t="s">
        <v>93</v>
      </c>
      <c r="H270">
        <v>1</v>
      </c>
      <c r="I270">
        <v>2</v>
      </c>
      <c r="J270">
        <v>2005</v>
      </c>
      <c r="K270" t="s">
        <v>94</v>
      </c>
      <c r="L270">
        <v>150</v>
      </c>
      <c r="M270" t="s">
        <v>641</v>
      </c>
      <c r="N270" t="s">
        <v>190</v>
      </c>
      <c r="O270" t="s">
        <v>191</v>
      </c>
      <c r="P270" t="s">
        <v>192</v>
      </c>
      <c r="R270" t="s">
        <v>193</v>
      </c>
      <c r="T270">
        <v>44000</v>
      </c>
      <c r="U270" t="s">
        <v>109</v>
      </c>
      <c r="V270" t="s">
        <v>110</v>
      </c>
      <c r="W270" t="s">
        <v>194</v>
      </c>
      <c r="X270" t="s">
        <v>195</v>
      </c>
      <c r="Y270" t="s">
        <v>119</v>
      </c>
    </row>
    <row r="271" spans="1:25">
      <c r="A271">
        <v>10388</v>
      </c>
      <c r="B271">
        <v>44</v>
      </c>
      <c r="C271">
        <v>100</v>
      </c>
      <c r="D271">
        <v>6</v>
      </c>
      <c r="E271">
        <v>5951.44</v>
      </c>
      <c r="F271" s="4">
        <v>38414</v>
      </c>
      <c r="G271" t="s">
        <v>93</v>
      </c>
      <c r="H271">
        <v>1</v>
      </c>
      <c r="I271">
        <v>3</v>
      </c>
      <c r="J271">
        <v>2005</v>
      </c>
      <c r="K271" t="s">
        <v>94</v>
      </c>
      <c r="L271">
        <v>150</v>
      </c>
      <c r="M271" t="s">
        <v>641</v>
      </c>
      <c r="N271" t="s">
        <v>242</v>
      </c>
      <c r="O271">
        <v>5085552555</v>
      </c>
      <c r="P271" t="s">
        <v>243</v>
      </c>
      <c r="R271" t="s">
        <v>244</v>
      </c>
      <c r="S271" t="s">
        <v>200</v>
      </c>
      <c r="T271">
        <v>50553</v>
      </c>
      <c r="U271" t="s">
        <v>100</v>
      </c>
      <c r="V271" t="s">
        <v>101</v>
      </c>
      <c r="W271" t="s">
        <v>245</v>
      </c>
      <c r="X271" t="s">
        <v>246</v>
      </c>
      <c r="Y271" t="s">
        <v>119</v>
      </c>
    </row>
    <row r="272" spans="1:25">
      <c r="A272">
        <v>10403</v>
      </c>
      <c r="B272">
        <v>66</v>
      </c>
      <c r="C272">
        <v>100</v>
      </c>
      <c r="D272">
        <v>6</v>
      </c>
      <c r="E272">
        <v>8648.64</v>
      </c>
      <c r="F272" s="4">
        <v>38568</v>
      </c>
      <c r="G272" t="s">
        <v>93</v>
      </c>
      <c r="H272">
        <v>2</v>
      </c>
      <c r="I272">
        <v>4</v>
      </c>
      <c r="J272">
        <v>2005</v>
      </c>
      <c r="K272" t="s">
        <v>94</v>
      </c>
      <c r="L272">
        <v>150</v>
      </c>
      <c r="M272" t="s">
        <v>641</v>
      </c>
      <c r="N272" t="s">
        <v>247</v>
      </c>
      <c r="O272" t="s">
        <v>248</v>
      </c>
      <c r="P272" t="s">
        <v>249</v>
      </c>
      <c r="R272" t="s">
        <v>250</v>
      </c>
      <c r="T272" t="s">
        <v>251</v>
      </c>
      <c r="U272" t="s">
        <v>252</v>
      </c>
      <c r="V272" t="s">
        <v>110</v>
      </c>
      <c r="W272" t="s">
        <v>253</v>
      </c>
      <c r="X272" t="s">
        <v>254</v>
      </c>
      <c r="Y272" t="s">
        <v>232</v>
      </c>
    </row>
    <row r="273" spans="1:25">
      <c r="A273">
        <v>10417</v>
      </c>
      <c r="B273">
        <v>21</v>
      </c>
      <c r="C273">
        <v>100</v>
      </c>
      <c r="D273">
        <v>1</v>
      </c>
      <c r="E273">
        <v>3447.78</v>
      </c>
      <c r="F273" t="s">
        <v>255</v>
      </c>
      <c r="G273" t="s">
        <v>256</v>
      </c>
      <c r="H273">
        <v>2</v>
      </c>
      <c r="I273">
        <v>5</v>
      </c>
      <c r="J273">
        <v>2005</v>
      </c>
      <c r="K273" t="s">
        <v>94</v>
      </c>
      <c r="L273">
        <v>150</v>
      </c>
      <c r="M273" t="s">
        <v>641</v>
      </c>
      <c r="N273" t="s">
        <v>257</v>
      </c>
      <c r="O273" t="s">
        <v>258</v>
      </c>
      <c r="P273" t="s">
        <v>259</v>
      </c>
      <c r="R273" t="s">
        <v>260</v>
      </c>
      <c r="T273">
        <v>28034</v>
      </c>
      <c r="U273" t="s">
        <v>261</v>
      </c>
      <c r="V273" t="s">
        <v>110</v>
      </c>
      <c r="W273" t="s">
        <v>262</v>
      </c>
      <c r="X273" t="s">
        <v>263</v>
      </c>
      <c r="Y273" t="s">
        <v>119</v>
      </c>
    </row>
    <row r="274" spans="1:25">
      <c r="A274">
        <v>10104</v>
      </c>
      <c r="B274">
        <v>34</v>
      </c>
      <c r="C274">
        <v>100</v>
      </c>
      <c r="D274">
        <v>1</v>
      </c>
      <c r="E274">
        <v>5958.5</v>
      </c>
      <c r="F274" t="s">
        <v>648</v>
      </c>
      <c r="G274" t="s">
        <v>93</v>
      </c>
      <c r="H274">
        <v>1</v>
      </c>
      <c r="I274">
        <v>1</v>
      </c>
      <c r="J274">
        <v>2003</v>
      </c>
      <c r="K274" t="s">
        <v>265</v>
      </c>
      <c r="L274">
        <v>151</v>
      </c>
      <c r="M274" t="s">
        <v>649</v>
      </c>
      <c r="N274" t="s">
        <v>257</v>
      </c>
      <c r="O274" t="s">
        <v>258</v>
      </c>
      <c r="P274" t="s">
        <v>259</v>
      </c>
      <c r="R274" t="s">
        <v>260</v>
      </c>
      <c r="T274">
        <v>28034</v>
      </c>
      <c r="U274" t="s">
        <v>261</v>
      </c>
      <c r="V274" t="s">
        <v>110</v>
      </c>
      <c r="W274" t="s">
        <v>262</v>
      </c>
      <c r="X274" t="s">
        <v>263</v>
      </c>
      <c r="Y274" t="s">
        <v>119</v>
      </c>
    </row>
    <row r="275" spans="1:25">
      <c r="A275">
        <v>10117</v>
      </c>
      <c r="B275">
        <v>43</v>
      </c>
      <c r="C275">
        <v>100</v>
      </c>
      <c r="D275">
        <v>10</v>
      </c>
      <c r="E275">
        <v>5911.64</v>
      </c>
      <c r="F275" t="s">
        <v>602</v>
      </c>
      <c r="G275" t="s">
        <v>93</v>
      </c>
      <c r="H275">
        <v>2</v>
      </c>
      <c r="I275">
        <v>4</v>
      </c>
      <c r="J275">
        <v>2003</v>
      </c>
      <c r="K275" t="s">
        <v>265</v>
      </c>
      <c r="L275">
        <v>151</v>
      </c>
      <c r="M275" t="s">
        <v>649</v>
      </c>
      <c r="N275" t="s">
        <v>284</v>
      </c>
      <c r="O275" t="s">
        <v>285</v>
      </c>
      <c r="P275" t="s">
        <v>286</v>
      </c>
      <c r="R275" t="s">
        <v>287</v>
      </c>
      <c r="T275">
        <v>79903</v>
      </c>
      <c r="U275" t="s">
        <v>287</v>
      </c>
      <c r="V275" t="s">
        <v>288</v>
      </c>
      <c r="W275" t="s">
        <v>289</v>
      </c>
      <c r="X275" t="s">
        <v>290</v>
      </c>
      <c r="Y275" t="s">
        <v>119</v>
      </c>
    </row>
    <row r="276" spans="1:25">
      <c r="A276">
        <v>10127</v>
      </c>
      <c r="B276">
        <v>46</v>
      </c>
      <c r="C276">
        <v>100</v>
      </c>
      <c r="D276">
        <v>3</v>
      </c>
      <c r="E276">
        <v>7366.44</v>
      </c>
      <c r="F276" s="4">
        <v>37686</v>
      </c>
      <c r="G276" t="s">
        <v>93</v>
      </c>
      <c r="H276">
        <v>2</v>
      </c>
      <c r="I276">
        <v>6</v>
      </c>
      <c r="J276">
        <v>2003</v>
      </c>
      <c r="K276" t="s">
        <v>265</v>
      </c>
      <c r="L276">
        <v>151</v>
      </c>
      <c r="M276" t="s">
        <v>649</v>
      </c>
      <c r="N276" t="s">
        <v>603</v>
      </c>
      <c r="O276">
        <v>2125557413</v>
      </c>
      <c r="P276" t="s">
        <v>604</v>
      </c>
      <c r="Q276" t="s">
        <v>605</v>
      </c>
      <c r="R276" t="s">
        <v>98</v>
      </c>
      <c r="S276" t="s">
        <v>99</v>
      </c>
      <c r="T276">
        <v>10022</v>
      </c>
      <c r="U276" t="s">
        <v>100</v>
      </c>
      <c r="V276" t="s">
        <v>101</v>
      </c>
      <c r="W276" t="s">
        <v>125</v>
      </c>
      <c r="X276" t="s">
        <v>606</v>
      </c>
      <c r="Y276" t="s">
        <v>232</v>
      </c>
    </row>
    <row r="277" spans="1:25">
      <c r="A277">
        <v>10142</v>
      </c>
      <c r="B277">
        <v>33</v>
      </c>
      <c r="C277">
        <v>100</v>
      </c>
      <c r="D277">
        <v>13</v>
      </c>
      <c r="E277">
        <v>4985.6400000000003</v>
      </c>
      <c r="F277" s="4">
        <v>37841</v>
      </c>
      <c r="G277" t="s">
        <v>93</v>
      </c>
      <c r="H277">
        <v>3</v>
      </c>
      <c r="I277">
        <v>8</v>
      </c>
      <c r="J277">
        <v>2003</v>
      </c>
      <c r="K277" t="s">
        <v>265</v>
      </c>
      <c r="L277">
        <v>151</v>
      </c>
      <c r="M277" t="s">
        <v>649</v>
      </c>
      <c r="N277" t="s">
        <v>367</v>
      </c>
      <c r="O277">
        <v>4155551450</v>
      </c>
      <c r="P277" t="s">
        <v>368</v>
      </c>
      <c r="R277" t="s">
        <v>369</v>
      </c>
      <c r="S277" t="s">
        <v>124</v>
      </c>
      <c r="T277">
        <v>97562</v>
      </c>
      <c r="U277" t="s">
        <v>100</v>
      </c>
      <c r="V277" t="s">
        <v>101</v>
      </c>
      <c r="W277" t="s">
        <v>370</v>
      </c>
      <c r="X277" t="s">
        <v>371</v>
      </c>
      <c r="Y277" t="s">
        <v>119</v>
      </c>
    </row>
    <row r="278" spans="1:25">
      <c r="A278">
        <v>10153</v>
      </c>
      <c r="B278">
        <v>42</v>
      </c>
      <c r="C278">
        <v>100</v>
      </c>
      <c r="D278">
        <v>12</v>
      </c>
      <c r="E278">
        <v>5393.64</v>
      </c>
      <c r="F278" t="s">
        <v>607</v>
      </c>
      <c r="G278" t="s">
        <v>93</v>
      </c>
      <c r="H278">
        <v>3</v>
      </c>
      <c r="I278">
        <v>9</v>
      </c>
      <c r="J278">
        <v>2003</v>
      </c>
      <c r="K278" t="s">
        <v>265</v>
      </c>
      <c r="L278">
        <v>151</v>
      </c>
      <c r="M278" t="s">
        <v>649</v>
      </c>
      <c r="N278" t="s">
        <v>257</v>
      </c>
      <c r="O278" t="s">
        <v>258</v>
      </c>
      <c r="P278" t="s">
        <v>259</v>
      </c>
      <c r="R278" t="s">
        <v>260</v>
      </c>
      <c r="T278">
        <v>28034</v>
      </c>
      <c r="U278" t="s">
        <v>261</v>
      </c>
      <c r="V278" t="s">
        <v>110</v>
      </c>
      <c r="W278" t="s">
        <v>262</v>
      </c>
      <c r="X278" t="s">
        <v>263</v>
      </c>
      <c r="Y278" t="s">
        <v>119</v>
      </c>
    </row>
    <row r="279" spans="1:25">
      <c r="A279">
        <v>10165</v>
      </c>
      <c r="B279">
        <v>34</v>
      </c>
      <c r="C279">
        <v>100</v>
      </c>
      <c r="D279">
        <v>4</v>
      </c>
      <c r="E279">
        <v>4880.0200000000004</v>
      </c>
      <c r="F279" t="s">
        <v>608</v>
      </c>
      <c r="G279" t="s">
        <v>93</v>
      </c>
      <c r="H279">
        <v>4</v>
      </c>
      <c r="I279">
        <v>10</v>
      </c>
      <c r="J279">
        <v>2003</v>
      </c>
      <c r="K279" t="s">
        <v>265</v>
      </c>
      <c r="L279">
        <v>151</v>
      </c>
      <c r="M279" t="s">
        <v>649</v>
      </c>
      <c r="N279" t="s">
        <v>284</v>
      </c>
      <c r="O279" t="s">
        <v>285</v>
      </c>
      <c r="P279" t="s">
        <v>286</v>
      </c>
      <c r="R279" t="s">
        <v>287</v>
      </c>
      <c r="T279">
        <v>79903</v>
      </c>
      <c r="U279" t="s">
        <v>287</v>
      </c>
      <c r="V279" t="s">
        <v>288</v>
      </c>
      <c r="W279" t="s">
        <v>289</v>
      </c>
      <c r="X279" t="s">
        <v>290</v>
      </c>
      <c r="Y279" t="s">
        <v>119</v>
      </c>
    </row>
    <row r="280" spans="1:25">
      <c r="A280">
        <v>10176</v>
      </c>
      <c r="B280">
        <v>47</v>
      </c>
      <c r="C280">
        <v>100</v>
      </c>
      <c r="D280">
        <v>3</v>
      </c>
      <c r="E280">
        <v>8378.69</v>
      </c>
      <c r="F280" s="4">
        <v>37783</v>
      </c>
      <c r="G280" t="s">
        <v>93</v>
      </c>
      <c r="H280">
        <v>4</v>
      </c>
      <c r="I280">
        <v>11</v>
      </c>
      <c r="J280">
        <v>2003</v>
      </c>
      <c r="K280" t="s">
        <v>265</v>
      </c>
      <c r="L280">
        <v>151</v>
      </c>
      <c r="M280" t="s">
        <v>649</v>
      </c>
      <c r="N280" t="s">
        <v>576</v>
      </c>
      <c r="O280" t="s">
        <v>577</v>
      </c>
      <c r="P280" t="s">
        <v>578</v>
      </c>
      <c r="R280" t="s">
        <v>579</v>
      </c>
      <c r="T280">
        <v>42100</v>
      </c>
      <c r="U280" t="s">
        <v>352</v>
      </c>
      <c r="V280" t="s">
        <v>110</v>
      </c>
      <c r="W280" t="s">
        <v>580</v>
      </c>
      <c r="X280" t="s">
        <v>581</v>
      </c>
      <c r="Y280" t="s">
        <v>232</v>
      </c>
    </row>
    <row r="281" spans="1:25">
      <c r="A281">
        <v>10185</v>
      </c>
      <c r="B281">
        <v>33</v>
      </c>
      <c r="C281">
        <v>100</v>
      </c>
      <c r="D281">
        <v>14</v>
      </c>
      <c r="E281">
        <v>4038.21</v>
      </c>
      <c r="F281" t="s">
        <v>451</v>
      </c>
      <c r="G281" t="s">
        <v>93</v>
      </c>
      <c r="H281">
        <v>4</v>
      </c>
      <c r="I281">
        <v>11</v>
      </c>
      <c r="J281">
        <v>2003</v>
      </c>
      <c r="K281" t="s">
        <v>265</v>
      </c>
      <c r="L281">
        <v>151</v>
      </c>
      <c r="M281" t="s">
        <v>649</v>
      </c>
      <c r="N281" t="s">
        <v>439</v>
      </c>
      <c r="O281">
        <v>5085559555</v>
      </c>
      <c r="P281" t="s">
        <v>440</v>
      </c>
      <c r="R281" t="s">
        <v>244</v>
      </c>
      <c r="S281" t="s">
        <v>200</v>
      </c>
      <c r="T281">
        <v>50553</v>
      </c>
      <c r="U281" t="s">
        <v>100</v>
      </c>
      <c r="V281" t="s">
        <v>101</v>
      </c>
      <c r="W281" t="s">
        <v>441</v>
      </c>
      <c r="X281" t="s">
        <v>442</v>
      </c>
      <c r="Y281" t="s">
        <v>119</v>
      </c>
    </row>
    <row r="282" spans="1:25">
      <c r="A282">
        <v>10196</v>
      </c>
      <c r="B282">
        <v>24</v>
      </c>
      <c r="C282">
        <v>100</v>
      </c>
      <c r="D282">
        <v>6</v>
      </c>
      <c r="E282">
        <v>3807.12</v>
      </c>
      <c r="F282" t="s">
        <v>458</v>
      </c>
      <c r="G282" t="s">
        <v>93</v>
      </c>
      <c r="H282">
        <v>4</v>
      </c>
      <c r="I282">
        <v>11</v>
      </c>
      <c r="J282">
        <v>2003</v>
      </c>
      <c r="K282" t="s">
        <v>265</v>
      </c>
      <c r="L282">
        <v>151</v>
      </c>
      <c r="M282" t="s">
        <v>649</v>
      </c>
      <c r="N282" t="s">
        <v>333</v>
      </c>
      <c r="O282">
        <v>2035559545</v>
      </c>
      <c r="P282" t="s">
        <v>334</v>
      </c>
      <c r="R282" t="s">
        <v>335</v>
      </c>
      <c r="S282" t="s">
        <v>187</v>
      </c>
      <c r="T282">
        <v>97823</v>
      </c>
      <c r="U282" t="s">
        <v>100</v>
      </c>
      <c r="V282" t="s">
        <v>101</v>
      </c>
      <c r="W282" t="s">
        <v>154</v>
      </c>
      <c r="X282" t="s">
        <v>336</v>
      </c>
      <c r="Y282" t="s">
        <v>119</v>
      </c>
    </row>
    <row r="283" spans="1:25">
      <c r="A283">
        <v>10208</v>
      </c>
      <c r="B283">
        <v>26</v>
      </c>
      <c r="C283">
        <v>100</v>
      </c>
      <c r="D283">
        <v>14</v>
      </c>
      <c r="E283">
        <v>3142.36</v>
      </c>
      <c r="F283" s="4">
        <v>38018</v>
      </c>
      <c r="G283" t="s">
        <v>93</v>
      </c>
      <c r="H283">
        <v>1</v>
      </c>
      <c r="I283">
        <v>1</v>
      </c>
      <c r="J283">
        <v>2004</v>
      </c>
      <c r="K283" t="s">
        <v>265</v>
      </c>
      <c r="L283">
        <v>151</v>
      </c>
      <c r="M283" t="s">
        <v>649</v>
      </c>
      <c r="N283" t="s">
        <v>310</v>
      </c>
      <c r="O283" t="s">
        <v>311</v>
      </c>
      <c r="P283" t="s">
        <v>312</v>
      </c>
      <c r="R283" t="s">
        <v>313</v>
      </c>
      <c r="T283">
        <v>69004</v>
      </c>
      <c r="U283" t="s">
        <v>109</v>
      </c>
      <c r="V283" t="s">
        <v>110</v>
      </c>
      <c r="W283" t="s">
        <v>314</v>
      </c>
      <c r="X283" t="s">
        <v>315</v>
      </c>
      <c r="Y283" t="s">
        <v>119</v>
      </c>
    </row>
    <row r="284" spans="1:25">
      <c r="A284">
        <v>10220</v>
      </c>
      <c r="B284">
        <v>30</v>
      </c>
      <c r="C284">
        <v>100</v>
      </c>
      <c r="D284">
        <v>3</v>
      </c>
      <c r="E284">
        <v>4713.6000000000004</v>
      </c>
      <c r="F284" s="4">
        <v>38323</v>
      </c>
      <c r="G284" t="s">
        <v>93</v>
      </c>
      <c r="H284">
        <v>1</v>
      </c>
      <c r="I284">
        <v>2</v>
      </c>
      <c r="J284">
        <v>2004</v>
      </c>
      <c r="K284" t="s">
        <v>265</v>
      </c>
      <c r="L284">
        <v>151</v>
      </c>
      <c r="M284" t="s">
        <v>649</v>
      </c>
      <c r="N284" t="s">
        <v>609</v>
      </c>
      <c r="O284" t="s">
        <v>610</v>
      </c>
      <c r="P284" t="s">
        <v>611</v>
      </c>
      <c r="Q284" t="s">
        <v>612</v>
      </c>
      <c r="R284" t="s">
        <v>613</v>
      </c>
      <c r="T284">
        <v>2</v>
      </c>
      <c r="U284" t="s">
        <v>614</v>
      </c>
      <c r="V284" t="s">
        <v>110</v>
      </c>
      <c r="W284" t="s">
        <v>615</v>
      </c>
      <c r="X284" t="s">
        <v>616</v>
      </c>
      <c r="Y284" t="s">
        <v>119</v>
      </c>
    </row>
    <row r="285" spans="1:25">
      <c r="A285">
        <v>10230</v>
      </c>
      <c r="B285">
        <v>43</v>
      </c>
      <c r="C285">
        <v>100</v>
      </c>
      <c r="D285">
        <v>1</v>
      </c>
      <c r="E285">
        <v>7016.31</v>
      </c>
      <c r="F285" t="s">
        <v>650</v>
      </c>
      <c r="G285" t="s">
        <v>93</v>
      </c>
      <c r="H285">
        <v>1</v>
      </c>
      <c r="I285">
        <v>3</v>
      </c>
      <c r="J285">
        <v>2004</v>
      </c>
      <c r="K285" t="s">
        <v>265</v>
      </c>
      <c r="L285">
        <v>151</v>
      </c>
      <c r="M285" t="s">
        <v>649</v>
      </c>
      <c r="N285" t="s">
        <v>587</v>
      </c>
      <c r="O285" t="s">
        <v>588</v>
      </c>
      <c r="P285" t="s">
        <v>589</v>
      </c>
      <c r="R285" t="s">
        <v>590</v>
      </c>
      <c r="T285">
        <v>60528</v>
      </c>
      <c r="U285" t="s">
        <v>566</v>
      </c>
      <c r="V285" t="s">
        <v>110</v>
      </c>
      <c r="W285" t="s">
        <v>591</v>
      </c>
      <c r="X285" t="s">
        <v>532</v>
      </c>
      <c r="Y285" t="s">
        <v>232</v>
      </c>
    </row>
    <row r="286" spans="1:25">
      <c r="A286">
        <v>10247</v>
      </c>
      <c r="B286">
        <v>25</v>
      </c>
      <c r="C286">
        <v>100</v>
      </c>
      <c r="D286">
        <v>3</v>
      </c>
      <c r="E286">
        <v>4381.25</v>
      </c>
      <c r="F286" s="4">
        <v>38112</v>
      </c>
      <c r="G286" t="s">
        <v>93</v>
      </c>
      <c r="H286">
        <v>2</v>
      </c>
      <c r="I286">
        <v>5</v>
      </c>
      <c r="J286">
        <v>2004</v>
      </c>
      <c r="K286" t="s">
        <v>265</v>
      </c>
      <c r="L286">
        <v>151</v>
      </c>
      <c r="M286" t="s">
        <v>649</v>
      </c>
      <c r="N286" t="s">
        <v>593</v>
      </c>
      <c r="O286" t="s">
        <v>594</v>
      </c>
      <c r="P286" t="s">
        <v>595</v>
      </c>
      <c r="R286" t="s">
        <v>596</v>
      </c>
      <c r="T286" t="s">
        <v>597</v>
      </c>
      <c r="U286" t="s">
        <v>208</v>
      </c>
      <c r="V286" t="s">
        <v>110</v>
      </c>
      <c r="W286" t="s">
        <v>598</v>
      </c>
      <c r="X286" t="s">
        <v>599</v>
      </c>
      <c r="Y286" t="s">
        <v>119</v>
      </c>
    </row>
    <row r="287" spans="1:25">
      <c r="A287">
        <v>10272</v>
      </c>
      <c r="B287">
        <v>27</v>
      </c>
      <c r="C287">
        <v>100</v>
      </c>
      <c r="D287">
        <v>3</v>
      </c>
      <c r="E287">
        <v>4283.01</v>
      </c>
      <c r="F287" t="s">
        <v>623</v>
      </c>
      <c r="G287" t="s">
        <v>93</v>
      </c>
      <c r="H287">
        <v>3</v>
      </c>
      <c r="I287">
        <v>7</v>
      </c>
      <c r="J287">
        <v>2004</v>
      </c>
      <c r="K287" t="s">
        <v>265</v>
      </c>
      <c r="L287">
        <v>151</v>
      </c>
      <c r="M287" t="s">
        <v>649</v>
      </c>
      <c r="N287" t="s">
        <v>218</v>
      </c>
      <c r="O287">
        <v>2155551555</v>
      </c>
      <c r="P287" t="s">
        <v>219</v>
      </c>
      <c r="R287" t="s">
        <v>220</v>
      </c>
      <c r="S287" t="s">
        <v>221</v>
      </c>
      <c r="T287">
        <v>70267</v>
      </c>
      <c r="U287" t="s">
        <v>100</v>
      </c>
      <c r="V287" t="s">
        <v>101</v>
      </c>
      <c r="W287" t="s">
        <v>102</v>
      </c>
      <c r="X287" t="s">
        <v>222</v>
      </c>
      <c r="Y287" t="s">
        <v>119</v>
      </c>
    </row>
    <row r="288" spans="1:25">
      <c r="A288">
        <v>10282</v>
      </c>
      <c r="B288">
        <v>27</v>
      </c>
      <c r="C288">
        <v>100</v>
      </c>
      <c r="D288">
        <v>6</v>
      </c>
      <c r="E288">
        <v>4364.82</v>
      </c>
      <c r="F288" t="s">
        <v>483</v>
      </c>
      <c r="G288" t="s">
        <v>93</v>
      </c>
      <c r="H288">
        <v>3</v>
      </c>
      <c r="I288">
        <v>8</v>
      </c>
      <c r="J288">
        <v>2004</v>
      </c>
      <c r="K288" t="s">
        <v>265</v>
      </c>
      <c r="L288">
        <v>151</v>
      </c>
      <c r="M288" t="s">
        <v>649</v>
      </c>
      <c r="N288" t="s">
        <v>367</v>
      </c>
      <c r="O288">
        <v>4155551450</v>
      </c>
      <c r="P288" t="s">
        <v>368</v>
      </c>
      <c r="R288" t="s">
        <v>369</v>
      </c>
      <c r="S288" t="s">
        <v>124</v>
      </c>
      <c r="T288">
        <v>97562</v>
      </c>
      <c r="U288" t="s">
        <v>100</v>
      </c>
      <c r="V288" t="s">
        <v>101</v>
      </c>
      <c r="W288" t="s">
        <v>370</v>
      </c>
      <c r="X288" t="s">
        <v>371</v>
      </c>
      <c r="Y288" t="s">
        <v>119</v>
      </c>
    </row>
    <row r="289" spans="1:25">
      <c r="A289">
        <v>10293</v>
      </c>
      <c r="B289">
        <v>24</v>
      </c>
      <c r="C289">
        <v>100</v>
      </c>
      <c r="D289">
        <v>9</v>
      </c>
      <c r="E289">
        <v>4242.24</v>
      </c>
      <c r="F289" s="4">
        <v>38239</v>
      </c>
      <c r="G289" t="s">
        <v>93</v>
      </c>
      <c r="H289">
        <v>3</v>
      </c>
      <c r="I289">
        <v>9</v>
      </c>
      <c r="J289">
        <v>2004</v>
      </c>
      <c r="K289" t="s">
        <v>265</v>
      </c>
      <c r="L289">
        <v>151</v>
      </c>
      <c r="M289" t="s">
        <v>649</v>
      </c>
      <c r="N289" t="s">
        <v>348</v>
      </c>
      <c r="O289" t="s">
        <v>349</v>
      </c>
      <c r="P289" t="s">
        <v>350</v>
      </c>
      <c r="R289" t="s">
        <v>351</v>
      </c>
      <c r="T289">
        <v>10100</v>
      </c>
      <c r="U289" t="s">
        <v>352</v>
      </c>
      <c r="V289" t="s">
        <v>110</v>
      </c>
      <c r="W289" t="s">
        <v>353</v>
      </c>
      <c r="X289" t="s">
        <v>354</v>
      </c>
      <c r="Y289" t="s">
        <v>119</v>
      </c>
    </row>
    <row r="290" spans="1:25">
      <c r="A290">
        <v>10306</v>
      </c>
      <c r="B290">
        <v>34</v>
      </c>
      <c r="C290">
        <v>100</v>
      </c>
      <c r="D290">
        <v>14</v>
      </c>
      <c r="E290">
        <v>4982.7</v>
      </c>
      <c r="F290" t="s">
        <v>494</v>
      </c>
      <c r="G290" t="s">
        <v>93</v>
      </c>
      <c r="H290">
        <v>4</v>
      </c>
      <c r="I290">
        <v>10</v>
      </c>
      <c r="J290">
        <v>2004</v>
      </c>
      <c r="K290" t="s">
        <v>265</v>
      </c>
      <c r="L290">
        <v>151</v>
      </c>
      <c r="M290" t="s">
        <v>649</v>
      </c>
      <c r="N290" t="s">
        <v>624</v>
      </c>
      <c r="O290" t="s">
        <v>625</v>
      </c>
      <c r="P290" t="s">
        <v>626</v>
      </c>
      <c r="R290" t="s">
        <v>627</v>
      </c>
      <c r="T290" t="s">
        <v>628</v>
      </c>
      <c r="U290" t="s">
        <v>252</v>
      </c>
      <c r="V290" t="s">
        <v>110</v>
      </c>
      <c r="W290" t="s">
        <v>629</v>
      </c>
      <c r="X290" t="s">
        <v>167</v>
      </c>
      <c r="Y290" t="s">
        <v>119</v>
      </c>
    </row>
    <row r="291" spans="1:25">
      <c r="A291">
        <v>10314</v>
      </c>
      <c r="B291">
        <v>46</v>
      </c>
      <c r="C291">
        <v>100</v>
      </c>
      <c r="D291">
        <v>6</v>
      </c>
      <c r="E291">
        <v>6393.54</v>
      </c>
      <c r="F291" t="s">
        <v>544</v>
      </c>
      <c r="G291" t="s">
        <v>93</v>
      </c>
      <c r="H291">
        <v>4</v>
      </c>
      <c r="I291">
        <v>10</v>
      </c>
      <c r="J291">
        <v>2004</v>
      </c>
      <c r="K291" t="s">
        <v>265</v>
      </c>
      <c r="L291">
        <v>151</v>
      </c>
      <c r="M291" t="s">
        <v>649</v>
      </c>
      <c r="N291" t="s">
        <v>630</v>
      </c>
      <c r="O291" t="s">
        <v>631</v>
      </c>
      <c r="P291" t="s">
        <v>632</v>
      </c>
      <c r="R291" t="s">
        <v>633</v>
      </c>
      <c r="T291">
        <v>8200</v>
      </c>
      <c r="U291" t="s">
        <v>429</v>
      </c>
      <c r="V291" t="s">
        <v>110</v>
      </c>
      <c r="W291" t="s">
        <v>634</v>
      </c>
      <c r="X291" t="s">
        <v>635</v>
      </c>
      <c r="Y291" t="s">
        <v>119</v>
      </c>
    </row>
    <row r="292" spans="1:25">
      <c r="A292">
        <v>10324</v>
      </c>
      <c r="B292">
        <v>27</v>
      </c>
      <c r="C292">
        <v>54.33</v>
      </c>
      <c r="D292">
        <v>1</v>
      </c>
      <c r="E292">
        <v>1466.91</v>
      </c>
      <c r="F292" s="4">
        <v>38118</v>
      </c>
      <c r="G292" t="s">
        <v>93</v>
      </c>
      <c r="H292">
        <v>4</v>
      </c>
      <c r="I292">
        <v>11</v>
      </c>
      <c r="J292">
        <v>2004</v>
      </c>
      <c r="K292" t="s">
        <v>265</v>
      </c>
      <c r="L292">
        <v>151</v>
      </c>
      <c r="M292" t="s">
        <v>649</v>
      </c>
      <c r="N292" t="s">
        <v>172</v>
      </c>
      <c r="O292">
        <v>2125551500</v>
      </c>
      <c r="P292" t="s">
        <v>173</v>
      </c>
      <c r="Q292" t="s">
        <v>174</v>
      </c>
      <c r="R292" t="s">
        <v>98</v>
      </c>
      <c r="S292" t="s">
        <v>99</v>
      </c>
      <c r="T292">
        <v>10022</v>
      </c>
      <c r="U292" t="s">
        <v>100</v>
      </c>
      <c r="V292" t="s">
        <v>101</v>
      </c>
      <c r="W292" t="s">
        <v>175</v>
      </c>
      <c r="X292" t="s">
        <v>176</v>
      </c>
      <c r="Y292" t="s">
        <v>104</v>
      </c>
    </row>
    <row r="293" spans="1:25">
      <c r="A293">
        <v>10336</v>
      </c>
      <c r="B293">
        <v>33</v>
      </c>
      <c r="C293">
        <v>100</v>
      </c>
      <c r="D293">
        <v>11</v>
      </c>
      <c r="E293">
        <v>4059.33</v>
      </c>
      <c r="F293" t="s">
        <v>636</v>
      </c>
      <c r="G293" t="s">
        <v>93</v>
      </c>
      <c r="H293">
        <v>4</v>
      </c>
      <c r="I293">
        <v>11</v>
      </c>
      <c r="J293">
        <v>2004</v>
      </c>
      <c r="K293" t="s">
        <v>265</v>
      </c>
      <c r="L293">
        <v>151</v>
      </c>
      <c r="M293" t="s">
        <v>649</v>
      </c>
      <c r="N293" t="s">
        <v>520</v>
      </c>
      <c r="O293" t="s">
        <v>521</v>
      </c>
      <c r="P293" t="s">
        <v>522</v>
      </c>
      <c r="R293" t="s">
        <v>116</v>
      </c>
      <c r="T293">
        <v>75012</v>
      </c>
      <c r="U293" t="s">
        <v>109</v>
      </c>
      <c r="V293" t="s">
        <v>110</v>
      </c>
      <c r="W293" t="s">
        <v>523</v>
      </c>
      <c r="X293" t="s">
        <v>524</v>
      </c>
      <c r="Y293" t="s">
        <v>119</v>
      </c>
    </row>
    <row r="294" spans="1:25">
      <c r="A294">
        <v>10348</v>
      </c>
      <c r="B294">
        <v>47</v>
      </c>
      <c r="C294">
        <v>100</v>
      </c>
      <c r="D294">
        <v>4</v>
      </c>
      <c r="E294">
        <v>4801.5200000000004</v>
      </c>
      <c r="F294" s="4">
        <v>37997</v>
      </c>
      <c r="G294" t="s">
        <v>93</v>
      </c>
      <c r="H294">
        <v>4</v>
      </c>
      <c r="I294">
        <v>11</v>
      </c>
      <c r="J294">
        <v>2004</v>
      </c>
      <c r="K294" t="s">
        <v>265</v>
      </c>
      <c r="L294">
        <v>151</v>
      </c>
      <c r="M294" t="s">
        <v>649</v>
      </c>
      <c r="N294" t="s">
        <v>277</v>
      </c>
      <c r="O294" t="s">
        <v>278</v>
      </c>
      <c r="P294" t="s">
        <v>279</v>
      </c>
      <c r="R294" t="s">
        <v>260</v>
      </c>
      <c r="T294">
        <v>28023</v>
      </c>
      <c r="U294" t="s">
        <v>261</v>
      </c>
      <c r="V294" t="s">
        <v>110</v>
      </c>
      <c r="W294" t="s">
        <v>280</v>
      </c>
      <c r="X294" t="s">
        <v>281</v>
      </c>
      <c r="Y294" t="s">
        <v>119</v>
      </c>
    </row>
    <row r="295" spans="1:25">
      <c r="A295">
        <v>10358</v>
      </c>
      <c r="B295">
        <v>49</v>
      </c>
      <c r="C295">
        <v>55.34</v>
      </c>
      <c r="D295">
        <v>5</v>
      </c>
      <c r="E295">
        <v>2711.66</v>
      </c>
      <c r="F295" s="4">
        <v>38272</v>
      </c>
      <c r="G295" t="s">
        <v>93</v>
      </c>
      <c r="H295">
        <v>4</v>
      </c>
      <c r="I295">
        <v>12</v>
      </c>
      <c r="J295">
        <v>2004</v>
      </c>
      <c r="K295" t="s">
        <v>265</v>
      </c>
      <c r="L295">
        <v>151</v>
      </c>
      <c r="M295" t="s">
        <v>649</v>
      </c>
      <c r="N295" t="s">
        <v>257</v>
      </c>
      <c r="O295" t="s">
        <v>258</v>
      </c>
      <c r="P295" t="s">
        <v>259</v>
      </c>
      <c r="R295" t="s">
        <v>260</v>
      </c>
      <c r="T295">
        <v>28034</v>
      </c>
      <c r="U295" t="s">
        <v>261</v>
      </c>
      <c r="V295" t="s">
        <v>110</v>
      </c>
      <c r="W295" t="s">
        <v>262</v>
      </c>
      <c r="X295" t="s">
        <v>263</v>
      </c>
      <c r="Y295" t="s">
        <v>104</v>
      </c>
    </row>
    <row r="296" spans="1:25">
      <c r="A296">
        <v>10372</v>
      </c>
      <c r="B296">
        <v>40</v>
      </c>
      <c r="C296">
        <v>100</v>
      </c>
      <c r="D296">
        <v>4</v>
      </c>
      <c r="E296">
        <v>5862</v>
      </c>
      <c r="F296" t="s">
        <v>651</v>
      </c>
      <c r="G296" t="s">
        <v>93</v>
      </c>
      <c r="H296">
        <v>1</v>
      </c>
      <c r="I296">
        <v>1</v>
      </c>
      <c r="J296">
        <v>2005</v>
      </c>
      <c r="K296" t="s">
        <v>265</v>
      </c>
      <c r="L296">
        <v>151</v>
      </c>
      <c r="M296" t="s">
        <v>649</v>
      </c>
      <c r="N296" t="s">
        <v>338</v>
      </c>
      <c r="O296" t="s">
        <v>339</v>
      </c>
      <c r="P296" t="s">
        <v>340</v>
      </c>
      <c r="R296" t="s">
        <v>341</v>
      </c>
      <c r="S296" t="s">
        <v>342</v>
      </c>
      <c r="T296" t="s">
        <v>343</v>
      </c>
      <c r="U296" t="s">
        <v>288</v>
      </c>
      <c r="V296" t="s">
        <v>288</v>
      </c>
      <c r="W296" t="s">
        <v>344</v>
      </c>
      <c r="X296" t="s">
        <v>345</v>
      </c>
      <c r="Y296" t="s">
        <v>119</v>
      </c>
    </row>
    <row r="297" spans="1:25">
      <c r="A297">
        <v>10382</v>
      </c>
      <c r="B297">
        <v>37</v>
      </c>
      <c r="C297">
        <v>100</v>
      </c>
      <c r="D297">
        <v>11</v>
      </c>
      <c r="E297">
        <v>4071.85</v>
      </c>
      <c r="F297" t="s">
        <v>383</v>
      </c>
      <c r="G297" t="s">
        <v>93</v>
      </c>
      <c r="H297">
        <v>1</v>
      </c>
      <c r="I297">
        <v>2</v>
      </c>
      <c r="J297">
        <v>2005</v>
      </c>
      <c r="K297" t="s">
        <v>265</v>
      </c>
      <c r="L297">
        <v>151</v>
      </c>
      <c r="M297" t="s">
        <v>649</v>
      </c>
      <c r="N297" t="s">
        <v>367</v>
      </c>
      <c r="O297">
        <v>4155551450</v>
      </c>
      <c r="P297" t="s">
        <v>368</v>
      </c>
      <c r="R297" t="s">
        <v>369</v>
      </c>
      <c r="S297" t="s">
        <v>124</v>
      </c>
      <c r="T297">
        <v>97562</v>
      </c>
      <c r="U297" t="s">
        <v>100</v>
      </c>
      <c r="V297" t="s">
        <v>101</v>
      </c>
      <c r="W297" t="s">
        <v>370</v>
      </c>
      <c r="X297" t="s">
        <v>371</v>
      </c>
      <c r="Y297" t="s">
        <v>119</v>
      </c>
    </row>
    <row r="298" spans="1:25">
      <c r="A298">
        <v>10413</v>
      </c>
      <c r="B298">
        <v>47</v>
      </c>
      <c r="C298">
        <v>100</v>
      </c>
      <c r="D298">
        <v>3</v>
      </c>
      <c r="E298">
        <v>8236.75</v>
      </c>
      <c r="F298" s="4">
        <v>38477</v>
      </c>
      <c r="G298" t="s">
        <v>93</v>
      </c>
      <c r="H298">
        <v>2</v>
      </c>
      <c r="I298">
        <v>5</v>
      </c>
      <c r="J298">
        <v>2005</v>
      </c>
      <c r="K298" t="s">
        <v>265</v>
      </c>
      <c r="L298">
        <v>151</v>
      </c>
      <c r="M298" t="s">
        <v>649</v>
      </c>
      <c r="N298" t="s">
        <v>184</v>
      </c>
      <c r="O298">
        <v>2035552570</v>
      </c>
      <c r="P298" t="s">
        <v>185</v>
      </c>
      <c r="R298" t="s">
        <v>186</v>
      </c>
      <c r="S298" t="s">
        <v>187</v>
      </c>
      <c r="T298">
        <v>97562</v>
      </c>
      <c r="U298" t="s">
        <v>100</v>
      </c>
      <c r="V298" t="s">
        <v>101</v>
      </c>
      <c r="W298" t="s">
        <v>188</v>
      </c>
      <c r="X298" t="s">
        <v>126</v>
      </c>
      <c r="Y298" t="s">
        <v>232</v>
      </c>
    </row>
    <row r="299" spans="1:25">
      <c r="A299">
        <v>10108</v>
      </c>
      <c r="B299">
        <v>45</v>
      </c>
      <c r="C299">
        <v>100</v>
      </c>
      <c r="D299">
        <v>4</v>
      </c>
      <c r="E299">
        <v>6130.35</v>
      </c>
      <c r="F299" s="4">
        <v>37683</v>
      </c>
      <c r="G299" t="s">
        <v>93</v>
      </c>
      <c r="H299">
        <v>1</v>
      </c>
      <c r="I299">
        <v>3</v>
      </c>
      <c r="J299">
        <v>2003</v>
      </c>
      <c r="K299" t="s">
        <v>265</v>
      </c>
      <c r="L299">
        <v>117</v>
      </c>
      <c r="M299" t="s">
        <v>652</v>
      </c>
      <c r="N299" t="s">
        <v>547</v>
      </c>
      <c r="O299" t="s">
        <v>548</v>
      </c>
      <c r="P299" t="s">
        <v>549</v>
      </c>
      <c r="R299" t="s">
        <v>550</v>
      </c>
      <c r="T299" t="s">
        <v>551</v>
      </c>
      <c r="U299" t="s">
        <v>552</v>
      </c>
      <c r="V299" t="s">
        <v>288</v>
      </c>
      <c r="W299" t="s">
        <v>553</v>
      </c>
      <c r="X299" t="s">
        <v>554</v>
      </c>
      <c r="Y299" t="s">
        <v>119</v>
      </c>
    </row>
    <row r="300" spans="1:25">
      <c r="A300">
        <v>10122</v>
      </c>
      <c r="B300">
        <v>37</v>
      </c>
      <c r="C300">
        <v>99.82</v>
      </c>
      <c r="D300">
        <v>8</v>
      </c>
      <c r="E300">
        <v>3693.34</v>
      </c>
      <c r="F300" s="4">
        <v>37838</v>
      </c>
      <c r="G300" t="s">
        <v>93</v>
      </c>
      <c r="H300">
        <v>2</v>
      </c>
      <c r="I300">
        <v>5</v>
      </c>
      <c r="J300">
        <v>2003</v>
      </c>
      <c r="K300" t="s">
        <v>265</v>
      </c>
      <c r="L300">
        <v>117</v>
      </c>
      <c r="M300" t="s">
        <v>652</v>
      </c>
      <c r="N300" t="s">
        <v>555</v>
      </c>
      <c r="O300" t="s">
        <v>556</v>
      </c>
      <c r="P300" t="s">
        <v>557</v>
      </c>
      <c r="R300" t="s">
        <v>558</v>
      </c>
      <c r="T300">
        <v>13008</v>
      </c>
      <c r="U300" t="s">
        <v>109</v>
      </c>
      <c r="V300" t="s">
        <v>110</v>
      </c>
      <c r="W300" t="s">
        <v>559</v>
      </c>
      <c r="X300" t="s">
        <v>560</v>
      </c>
      <c r="Y300" t="s">
        <v>119</v>
      </c>
    </row>
    <row r="301" spans="1:25">
      <c r="A301">
        <v>10135</v>
      </c>
      <c r="B301">
        <v>48</v>
      </c>
      <c r="C301">
        <v>100</v>
      </c>
      <c r="D301">
        <v>5</v>
      </c>
      <c r="E301">
        <v>6031.68</v>
      </c>
      <c r="F301" s="4">
        <v>37659</v>
      </c>
      <c r="G301" t="s">
        <v>93</v>
      </c>
      <c r="H301">
        <v>3</v>
      </c>
      <c r="I301">
        <v>7</v>
      </c>
      <c r="J301">
        <v>2003</v>
      </c>
      <c r="K301" t="s">
        <v>265</v>
      </c>
      <c r="L301">
        <v>117</v>
      </c>
      <c r="M301" t="s">
        <v>652</v>
      </c>
      <c r="N301" t="s">
        <v>367</v>
      </c>
      <c r="O301">
        <v>4155551450</v>
      </c>
      <c r="P301" t="s">
        <v>368</v>
      </c>
      <c r="R301" t="s">
        <v>369</v>
      </c>
      <c r="S301" t="s">
        <v>124</v>
      </c>
      <c r="T301">
        <v>97562</v>
      </c>
      <c r="U301" t="s">
        <v>100</v>
      </c>
      <c r="V301" t="s">
        <v>101</v>
      </c>
      <c r="W301" t="s">
        <v>370</v>
      </c>
      <c r="X301" t="s">
        <v>371</v>
      </c>
      <c r="Y301" t="s">
        <v>119</v>
      </c>
    </row>
    <row r="302" spans="1:25">
      <c r="A302">
        <v>10147</v>
      </c>
      <c r="B302">
        <v>31</v>
      </c>
      <c r="C302">
        <v>100</v>
      </c>
      <c r="D302">
        <v>5</v>
      </c>
      <c r="E302">
        <v>3494.94</v>
      </c>
      <c r="F302" s="4">
        <v>37750</v>
      </c>
      <c r="G302" t="s">
        <v>93</v>
      </c>
      <c r="H302">
        <v>3</v>
      </c>
      <c r="I302">
        <v>9</v>
      </c>
      <c r="J302">
        <v>2003</v>
      </c>
      <c r="K302" t="s">
        <v>265</v>
      </c>
      <c r="L302">
        <v>117</v>
      </c>
      <c r="M302" t="s">
        <v>652</v>
      </c>
      <c r="N302" t="s">
        <v>379</v>
      </c>
      <c r="O302">
        <v>6175558555</v>
      </c>
      <c r="P302" t="s">
        <v>380</v>
      </c>
      <c r="R302" t="s">
        <v>381</v>
      </c>
      <c r="S302" t="s">
        <v>200</v>
      </c>
      <c r="T302">
        <v>58339</v>
      </c>
      <c r="U302" t="s">
        <v>100</v>
      </c>
      <c r="V302" t="s">
        <v>101</v>
      </c>
      <c r="W302" t="s">
        <v>370</v>
      </c>
      <c r="X302" t="s">
        <v>382</v>
      </c>
      <c r="Y302" t="s">
        <v>119</v>
      </c>
    </row>
    <row r="303" spans="1:25">
      <c r="A303">
        <v>10160</v>
      </c>
      <c r="B303">
        <v>46</v>
      </c>
      <c r="C303">
        <v>100</v>
      </c>
      <c r="D303">
        <v>6</v>
      </c>
      <c r="E303">
        <v>5294.14</v>
      </c>
      <c r="F303" s="4">
        <v>37935</v>
      </c>
      <c r="G303" t="s">
        <v>93</v>
      </c>
      <c r="H303">
        <v>4</v>
      </c>
      <c r="I303">
        <v>10</v>
      </c>
      <c r="J303">
        <v>2003</v>
      </c>
      <c r="K303" t="s">
        <v>265</v>
      </c>
      <c r="L303">
        <v>117</v>
      </c>
      <c r="M303" t="s">
        <v>652</v>
      </c>
      <c r="N303" t="s">
        <v>465</v>
      </c>
      <c r="O303">
        <v>2155554369</v>
      </c>
      <c r="P303" t="s">
        <v>466</v>
      </c>
      <c r="R303" t="s">
        <v>467</v>
      </c>
      <c r="S303" t="s">
        <v>124</v>
      </c>
      <c r="U303" t="s">
        <v>100</v>
      </c>
      <c r="V303" t="s">
        <v>101</v>
      </c>
      <c r="W303" t="s">
        <v>468</v>
      </c>
      <c r="X303" t="s">
        <v>176</v>
      </c>
      <c r="Y303" t="s">
        <v>119</v>
      </c>
    </row>
    <row r="304" spans="1:25">
      <c r="A304">
        <v>10170</v>
      </c>
      <c r="B304">
        <v>47</v>
      </c>
      <c r="C304">
        <v>100</v>
      </c>
      <c r="D304">
        <v>4</v>
      </c>
      <c r="E304">
        <v>5464.69</v>
      </c>
      <c r="F304" s="4">
        <v>37722</v>
      </c>
      <c r="G304" t="s">
        <v>93</v>
      </c>
      <c r="H304">
        <v>4</v>
      </c>
      <c r="I304">
        <v>11</v>
      </c>
      <c r="J304">
        <v>2003</v>
      </c>
      <c r="K304" t="s">
        <v>265</v>
      </c>
      <c r="L304">
        <v>117</v>
      </c>
      <c r="M304" t="s">
        <v>652</v>
      </c>
      <c r="N304" t="s">
        <v>527</v>
      </c>
      <c r="O304" t="s">
        <v>528</v>
      </c>
      <c r="P304" t="s">
        <v>529</v>
      </c>
      <c r="R304" t="s">
        <v>530</v>
      </c>
      <c r="T304">
        <v>8010</v>
      </c>
      <c r="U304" t="s">
        <v>229</v>
      </c>
      <c r="V304" t="s">
        <v>110</v>
      </c>
      <c r="W304" t="s">
        <v>531</v>
      </c>
      <c r="X304" t="s">
        <v>532</v>
      </c>
      <c r="Y304" t="s">
        <v>119</v>
      </c>
    </row>
    <row r="305" spans="1:25">
      <c r="A305">
        <v>10181</v>
      </c>
      <c r="B305">
        <v>28</v>
      </c>
      <c r="C305">
        <v>100</v>
      </c>
      <c r="D305">
        <v>12</v>
      </c>
      <c r="E305">
        <v>2860.76</v>
      </c>
      <c r="F305" s="4">
        <v>37966</v>
      </c>
      <c r="G305" t="s">
        <v>93</v>
      </c>
      <c r="H305">
        <v>4</v>
      </c>
      <c r="I305">
        <v>11</v>
      </c>
      <c r="J305">
        <v>2003</v>
      </c>
      <c r="K305" t="s">
        <v>265</v>
      </c>
      <c r="L305">
        <v>117</v>
      </c>
      <c r="M305" t="s">
        <v>652</v>
      </c>
      <c r="N305" t="s">
        <v>144</v>
      </c>
      <c r="O305" t="s">
        <v>145</v>
      </c>
      <c r="P305" t="s">
        <v>146</v>
      </c>
      <c r="R305" t="s">
        <v>147</v>
      </c>
      <c r="T305" t="s">
        <v>148</v>
      </c>
      <c r="U305" t="s">
        <v>149</v>
      </c>
      <c r="V305" t="s">
        <v>110</v>
      </c>
      <c r="W305" t="s">
        <v>150</v>
      </c>
      <c r="X305" t="s">
        <v>151</v>
      </c>
      <c r="Y305" t="s">
        <v>104</v>
      </c>
    </row>
    <row r="306" spans="1:25">
      <c r="A306">
        <v>10191</v>
      </c>
      <c r="B306">
        <v>40</v>
      </c>
      <c r="C306">
        <v>100</v>
      </c>
      <c r="D306">
        <v>1</v>
      </c>
      <c r="E306">
        <v>5590</v>
      </c>
      <c r="F306" t="s">
        <v>561</v>
      </c>
      <c r="G306" t="s">
        <v>93</v>
      </c>
      <c r="H306">
        <v>4</v>
      </c>
      <c r="I306">
        <v>11</v>
      </c>
      <c r="J306">
        <v>2003</v>
      </c>
      <c r="K306" t="s">
        <v>265</v>
      </c>
      <c r="L306">
        <v>117</v>
      </c>
      <c r="M306" t="s">
        <v>652</v>
      </c>
      <c r="N306" t="s">
        <v>562</v>
      </c>
      <c r="O306" t="s">
        <v>563</v>
      </c>
      <c r="P306" t="s">
        <v>564</v>
      </c>
      <c r="R306" t="s">
        <v>565</v>
      </c>
      <c r="T306">
        <v>50739</v>
      </c>
      <c r="U306" t="s">
        <v>566</v>
      </c>
      <c r="V306" t="s">
        <v>110</v>
      </c>
      <c r="W306" t="s">
        <v>567</v>
      </c>
      <c r="X306" t="s">
        <v>568</v>
      </c>
      <c r="Y306" t="s">
        <v>119</v>
      </c>
    </row>
    <row r="307" spans="1:25">
      <c r="A307">
        <v>10203</v>
      </c>
      <c r="B307">
        <v>20</v>
      </c>
      <c r="C307">
        <v>100</v>
      </c>
      <c r="D307">
        <v>6</v>
      </c>
      <c r="E307">
        <v>2254.8000000000002</v>
      </c>
      <c r="F307" s="4">
        <v>37664</v>
      </c>
      <c r="G307" t="s">
        <v>93</v>
      </c>
      <c r="H307">
        <v>4</v>
      </c>
      <c r="I307">
        <v>12</v>
      </c>
      <c r="J307">
        <v>2003</v>
      </c>
      <c r="K307" t="s">
        <v>265</v>
      </c>
      <c r="L307">
        <v>117</v>
      </c>
      <c r="M307" t="s">
        <v>652</v>
      </c>
      <c r="N307" t="s">
        <v>257</v>
      </c>
      <c r="O307" t="s">
        <v>258</v>
      </c>
      <c r="P307" t="s">
        <v>259</v>
      </c>
      <c r="R307" t="s">
        <v>260</v>
      </c>
      <c r="T307">
        <v>28034</v>
      </c>
      <c r="U307" t="s">
        <v>261</v>
      </c>
      <c r="V307" t="s">
        <v>110</v>
      </c>
      <c r="W307" t="s">
        <v>262</v>
      </c>
      <c r="X307" t="s">
        <v>263</v>
      </c>
      <c r="Y307" t="s">
        <v>104</v>
      </c>
    </row>
    <row r="308" spans="1:25">
      <c r="A308">
        <v>10212</v>
      </c>
      <c r="B308">
        <v>39</v>
      </c>
      <c r="C308">
        <v>100</v>
      </c>
      <c r="D308">
        <v>16</v>
      </c>
      <c r="E308">
        <v>4946.76</v>
      </c>
      <c r="F308" t="s">
        <v>653</v>
      </c>
      <c r="G308" t="s">
        <v>93</v>
      </c>
      <c r="H308">
        <v>1</v>
      </c>
      <c r="I308">
        <v>1</v>
      </c>
      <c r="J308">
        <v>2004</v>
      </c>
      <c r="K308" t="s">
        <v>265</v>
      </c>
      <c r="L308">
        <v>117</v>
      </c>
      <c r="M308" t="s">
        <v>652</v>
      </c>
      <c r="N308" t="s">
        <v>257</v>
      </c>
      <c r="O308" t="s">
        <v>258</v>
      </c>
      <c r="P308" t="s">
        <v>259</v>
      </c>
      <c r="R308" t="s">
        <v>260</v>
      </c>
      <c r="T308">
        <v>28034</v>
      </c>
      <c r="U308" t="s">
        <v>261</v>
      </c>
      <c r="V308" t="s">
        <v>110</v>
      </c>
      <c r="W308" t="s">
        <v>262</v>
      </c>
      <c r="X308" t="s">
        <v>263</v>
      </c>
      <c r="Y308" t="s">
        <v>119</v>
      </c>
    </row>
    <row r="309" spans="1:25">
      <c r="A309">
        <v>10225</v>
      </c>
      <c r="B309">
        <v>25</v>
      </c>
      <c r="C309">
        <v>99.82</v>
      </c>
      <c r="D309">
        <v>7</v>
      </c>
      <c r="E309">
        <v>2495.5</v>
      </c>
      <c r="F309" t="s">
        <v>569</v>
      </c>
      <c r="G309" t="s">
        <v>93</v>
      </c>
      <c r="H309">
        <v>1</v>
      </c>
      <c r="I309">
        <v>2</v>
      </c>
      <c r="J309">
        <v>2004</v>
      </c>
      <c r="K309" t="s">
        <v>265</v>
      </c>
      <c r="L309">
        <v>117</v>
      </c>
      <c r="M309" t="s">
        <v>652</v>
      </c>
      <c r="N309" t="s">
        <v>570</v>
      </c>
      <c r="O309" t="s">
        <v>571</v>
      </c>
      <c r="P309" t="s">
        <v>572</v>
      </c>
      <c r="R309" t="s">
        <v>573</v>
      </c>
      <c r="T309">
        <v>1203</v>
      </c>
      <c r="U309" t="s">
        <v>574</v>
      </c>
      <c r="V309" t="s">
        <v>110</v>
      </c>
      <c r="W309" t="s">
        <v>575</v>
      </c>
      <c r="X309" t="s">
        <v>176</v>
      </c>
      <c r="Y309" t="s">
        <v>104</v>
      </c>
    </row>
    <row r="310" spans="1:25">
      <c r="A310">
        <v>10238</v>
      </c>
      <c r="B310">
        <v>29</v>
      </c>
      <c r="C310">
        <v>100</v>
      </c>
      <c r="D310">
        <v>1</v>
      </c>
      <c r="E310">
        <v>3167.38</v>
      </c>
      <c r="F310" s="4">
        <v>38234</v>
      </c>
      <c r="G310" t="s">
        <v>93</v>
      </c>
      <c r="H310">
        <v>2</v>
      </c>
      <c r="I310">
        <v>4</v>
      </c>
      <c r="J310">
        <v>2004</v>
      </c>
      <c r="K310" t="s">
        <v>265</v>
      </c>
      <c r="L310">
        <v>117</v>
      </c>
      <c r="M310" t="s">
        <v>652</v>
      </c>
      <c r="N310" t="s">
        <v>425</v>
      </c>
      <c r="O310" t="s">
        <v>426</v>
      </c>
      <c r="P310" t="s">
        <v>427</v>
      </c>
      <c r="R310" t="s">
        <v>428</v>
      </c>
      <c r="T310">
        <v>1734</v>
      </c>
      <c r="U310" t="s">
        <v>429</v>
      </c>
      <c r="V310" t="s">
        <v>110</v>
      </c>
      <c r="W310" t="s">
        <v>430</v>
      </c>
      <c r="X310" t="s">
        <v>431</v>
      </c>
      <c r="Y310" t="s">
        <v>119</v>
      </c>
    </row>
    <row r="311" spans="1:25">
      <c r="A311">
        <v>10253</v>
      </c>
      <c r="B311">
        <v>22</v>
      </c>
      <c r="C311">
        <v>100</v>
      </c>
      <c r="D311">
        <v>11</v>
      </c>
      <c r="E311">
        <v>2402.84</v>
      </c>
      <c r="F311" s="4">
        <v>37992</v>
      </c>
      <c r="G311" t="s">
        <v>444</v>
      </c>
      <c r="H311">
        <v>2</v>
      </c>
      <c r="I311">
        <v>6</v>
      </c>
      <c r="J311">
        <v>2004</v>
      </c>
      <c r="K311" t="s">
        <v>265</v>
      </c>
      <c r="L311">
        <v>117</v>
      </c>
      <c r="M311" t="s">
        <v>652</v>
      </c>
      <c r="N311" t="s">
        <v>247</v>
      </c>
      <c r="O311" t="s">
        <v>248</v>
      </c>
      <c r="P311" t="s">
        <v>249</v>
      </c>
      <c r="R311" t="s">
        <v>250</v>
      </c>
      <c r="T311" t="s">
        <v>251</v>
      </c>
      <c r="U311" t="s">
        <v>252</v>
      </c>
      <c r="V311" t="s">
        <v>110</v>
      </c>
      <c r="W311" t="s">
        <v>253</v>
      </c>
      <c r="X311" t="s">
        <v>254</v>
      </c>
      <c r="Y311" t="s">
        <v>104</v>
      </c>
    </row>
    <row r="312" spans="1:25">
      <c r="A312">
        <v>10266</v>
      </c>
      <c r="B312">
        <v>22</v>
      </c>
      <c r="C312">
        <v>100</v>
      </c>
      <c r="D312">
        <v>12</v>
      </c>
      <c r="E312">
        <v>2454.54</v>
      </c>
      <c r="F312" s="4">
        <v>38145</v>
      </c>
      <c r="G312" t="s">
        <v>93</v>
      </c>
      <c r="H312">
        <v>3</v>
      </c>
      <c r="I312">
        <v>7</v>
      </c>
      <c r="J312">
        <v>2004</v>
      </c>
      <c r="K312" t="s">
        <v>265</v>
      </c>
      <c r="L312">
        <v>117</v>
      </c>
      <c r="M312" t="s">
        <v>652</v>
      </c>
      <c r="N312" t="s">
        <v>576</v>
      </c>
      <c r="O312" t="s">
        <v>577</v>
      </c>
      <c r="P312" t="s">
        <v>578</v>
      </c>
      <c r="R312" t="s">
        <v>579</v>
      </c>
      <c r="T312">
        <v>42100</v>
      </c>
      <c r="U312" t="s">
        <v>352</v>
      </c>
      <c r="V312" t="s">
        <v>110</v>
      </c>
      <c r="W312" t="s">
        <v>580</v>
      </c>
      <c r="X312" t="s">
        <v>581</v>
      </c>
      <c r="Y312" t="s">
        <v>104</v>
      </c>
    </row>
    <row r="313" spans="1:25">
      <c r="A313">
        <v>10276</v>
      </c>
      <c r="B313">
        <v>47</v>
      </c>
      <c r="C313">
        <v>100</v>
      </c>
      <c r="D313">
        <v>1</v>
      </c>
      <c r="E313">
        <v>5464.69</v>
      </c>
      <c r="F313" s="4">
        <v>38025</v>
      </c>
      <c r="G313" t="s">
        <v>93</v>
      </c>
      <c r="H313">
        <v>3</v>
      </c>
      <c r="I313">
        <v>8</v>
      </c>
      <c r="J313">
        <v>2004</v>
      </c>
      <c r="K313" t="s">
        <v>265</v>
      </c>
      <c r="L313">
        <v>117</v>
      </c>
      <c r="M313" t="s">
        <v>652</v>
      </c>
      <c r="N313" t="s">
        <v>582</v>
      </c>
      <c r="O313">
        <v>6175557555</v>
      </c>
      <c r="P313" t="s">
        <v>583</v>
      </c>
      <c r="R313" t="s">
        <v>381</v>
      </c>
      <c r="S313" t="s">
        <v>200</v>
      </c>
      <c r="T313">
        <v>58339</v>
      </c>
      <c r="U313" t="s">
        <v>100</v>
      </c>
      <c r="V313" t="s">
        <v>101</v>
      </c>
      <c r="W313" t="s">
        <v>584</v>
      </c>
      <c r="X313" t="s">
        <v>585</v>
      </c>
      <c r="Y313" t="s">
        <v>119</v>
      </c>
    </row>
    <row r="314" spans="1:25">
      <c r="A314">
        <v>10287</v>
      </c>
      <c r="B314">
        <v>45</v>
      </c>
      <c r="C314">
        <v>100</v>
      </c>
      <c r="D314">
        <v>10</v>
      </c>
      <c r="E314">
        <v>4756.5</v>
      </c>
      <c r="F314" t="s">
        <v>586</v>
      </c>
      <c r="G314" t="s">
        <v>93</v>
      </c>
      <c r="H314">
        <v>3</v>
      </c>
      <c r="I314">
        <v>8</v>
      </c>
      <c r="J314">
        <v>2004</v>
      </c>
      <c r="K314" t="s">
        <v>265</v>
      </c>
      <c r="L314">
        <v>117</v>
      </c>
      <c r="M314" t="s">
        <v>652</v>
      </c>
      <c r="N314" t="s">
        <v>570</v>
      </c>
      <c r="O314" t="s">
        <v>571</v>
      </c>
      <c r="P314" t="s">
        <v>572</v>
      </c>
      <c r="R314" t="s">
        <v>573</v>
      </c>
      <c r="T314">
        <v>1203</v>
      </c>
      <c r="U314" t="s">
        <v>574</v>
      </c>
      <c r="V314" t="s">
        <v>110</v>
      </c>
      <c r="W314" t="s">
        <v>575</v>
      </c>
      <c r="X314" t="s">
        <v>176</v>
      </c>
      <c r="Y314" t="s">
        <v>119</v>
      </c>
    </row>
    <row r="315" spans="1:25">
      <c r="A315">
        <v>10300</v>
      </c>
      <c r="B315">
        <v>29</v>
      </c>
      <c r="C315">
        <v>100</v>
      </c>
      <c r="D315">
        <v>3</v>
      </c>
      <c r="E315">
        <v>3984.6</v>
      </c>
      <c r="F315" s="4">
        <v>37721</v>
      </c>
      <c r="G315" t="s">
        <v>93</v>
      </c>
      <c r="H315">
        <v>4</v>
      </c>
      <c r="I315">
        <v>10</v>
      </c>
      <c r="J315">
        <v>2003</v>
      </c>
      <c r="K315" t="s">
        <v>265</v>
      </c>
      <c r="L315">
        <v>117</v>
      </c>
      <c r="M315" t="s">
        <v>652</v>
      </c>
      <c r="N315" t="s">
        <v>587</v>
      </c>
      <c r="O315" t="s">
        <v>588</v>
      </c>
      <c r="P315" t="s">
        <v>589</v>
      </c>
      <c r="R315" t="s">
        <v>590</v>
      </c>
      <c r="T315">
        <v>60528</v>
      </c>
      <c r="U315" t="s">
        <v>566</v>
      </c>
      <c r="V315" t="s">
        <v>110</v>
      </c>
      <c r="W315" t="s">
        <v>591</v>
      </c>
      <c r="X315" t="s">
        <v>532</v>
      </c>
      <c r="Y315" t="s">
        <v>119</v>
      </c>
    </row>
    <row r="316" spans="1:25">
      <c r="A316">
        <v>10310</v>
      </c>
      <c r="B316">
        <v>24</v>
      </c>
      <c r="C316">
        <v>100</v>
      </c>
      <c r="D316">
        <v>8</v>
      </c>
      <c r="E316">
        <v>3100.32</v>
      </c>
      <c r="F316" t="s">
        <v>592</v>
      </c>
      <c r="G316" t="s">
        <v>93</v>
      </c>
      <c r="H316">
        <v>4</v>
      </c>
      <c r="I316">
        <v>10</v>
      </c>
      <c r="J316">
        <v>2004</v>
      </c>
      <c r="K316" t="s">
        <v>265</v>
      </c>
      <c r="L316">
        <v>117</v>
      </c>
      <c r="M316" t="s">
        <v>652</v>
      </c>
      <c r="N316" t="s">
        <v>562</v>
      </c>
      <c r="O316" t="s">
        <v>563</v>
      </c>
      <c r="P316" t="s">
        <v>564</v>
      </c>
      <c r="R316" t="s">
        <v>565</v>
      </c>
      <c r="T316">
        <v>50739</v>
      </c>
      <c r="U316" t="s">
        <v>566</v>
      </c>
      <c r="V316" t="s">
        <v>110</v>
      </c>
      <c r="W316" t="s">
        <v>567</v>
      </c>
      <c r="X316" t="s">
        <v>568</v>
      </c>
      <c r="Y316" t="s">
        <v>119</v>
      </c>
    </row>
    <row r="317" spans="1:25">
      <c r="A317">
        <v>10320</v>
      </c>
      <c r="B317">
        <v>35</v>
      </c>
      <c r="C317">
        <v>100</v>
      </c>
      <c r="D317">
        <v>1</v>
      </c>
      <c r="E317">
        <v>4850.3</v>
      </c>
      <c r="F317" s="4">
        <v>38057</v>
      </c>
      <c r="G317" t="s">
        <v>93</v>
      </c>
      <c r="H317">
        <v>4</v>
      </c>
      <c r="I317">
        <v>11</v>
      </c>
      <c r="J317">
        <v>2004</v>
      </c>
      <c r="K317" t="s">
        <v>265</v>
      </c>
      <c r="L317">
        <v>117</v>
      </c>
      <c r="M317" t="s">
        <v>652</v>
      </c>
      <c r="N317" t="s">
        <v>268</v>
      </c>
      <c r="O317" t="s">
        <v>269</v>
      </c>
      <c r="P317" t="s">
        <v>270</v>
      </c>
      <c r="R317" t="s">
        <v>271</v>
      </c>
      <c r="T317" t="s">
        <v>272</v>
      </c>
      <c r="U317" t="s">
        <v>273</v>
      </c>
      <c r="V317" t="s">
        <v>110</v>
      </c>
      <c r="W317" t="s">
        <v>274</v>
      </c>
      <c r="X317" t="s">
        <v>275</v>
      </c>
      <c r="Y317" t="s">
        <v>119</v>
      </c>
    </row>
    <row r="318" spans="1:25">
      <c r="A318">
        <v>10329</v>
      </c>
      <c r="B318">
        <v>46</v>
      </c>
      <c r="C318">
        <v>83.63</v>
      </c>
      <c r="D318">
        <v>13</v>
      </c>
      <c r="E318">
        <v>3846.98</v>
      </c>
      <c r="F318" t="s">
        <v>223</v>
      </c>
      <c r="G318" t="s">
        <v>93</v>
      </c>
      <c r="H318">
        <v>4</v>
      </c>
      <c r="I318">
        <v>11</v>
      </c>
      <c r="J318">
        <v>2004</v>
      </c>
      <c r="K318" t="s">
        <v>265</v>
      </c>
      <c r="L318">
        <v>117</v>
      </c>
      <c r="M318" t="s">
        <v>652</v>
      </c>
      <c r="N318" t="s">
        <v>96</v>
      </c>
      <c r="O318">
        <v>2125557818</v>
      </c>
      <c r="P318" t="s">
        <v>97</v>
      </c>
      <c r="R318" t="s">
        <v>98</v>
      </c>
      <c r="S318" t="s">
        <v>99</v>
      </c>
      <c r="T318">
        <v>10022</v>
      </c>
      <c r="U318" t="s">
        <v>100</v>
      </c>
      <c r="V318" t="s">
        <v>101</v>
      </c>
      <c r="W318" t="s">
        <v>102</v>
      </c>
      <c r="X318" t="s">
        <v>103</v>
      </c>
      <c r="Y318" t="s">
        <v>119</v>
      </c>
    </row>
    <row r="319" spans="1:25">
      <c r="A319">
        <v>10341</v>
      </c>
      <c r="B319">
        <v>44</v>
      </c>
      <c r="C319">
        <v>95.93</v>
      </c>
      <c r="D319">
        <v>1</v>
      </c>
      <c r="E319">
        <v>4220.92</v>
      </c>
      <c r="F319" t="s">
        <v>224</v>
      </c>
      <c r="G319" t="s">
        <v>93</v>
      </c>
      <c r="H319">
        <v>4</v>
      </c>
      <c r="I319">
        <v>11</v>
      </c>
      <c r="J319">
        <v>2004</v>
      </c>
      <c r="K319" t="s">
        <v>265</v>
      </c>
      <c r="L319">
        <v>117</v>
      </c>
      <c r="M319" t="s">
        <v>652</v>
      </c>
      <c r="N319" t="s">
        <v>225</v>
      </c>
      <c r="O319" t="s">
        <v>226</v>
      </c>
      <c r="P319" t="s">
        <v>227</v>
      </c>
      <c r="R319" t="s">
        <v>228</v>
      </c>
      <c r="T319">
        <v>5020</v>
      </c>
      <c r="U319" t="s">
        <v>229</v>
      </c>
      <c r="V319" t="s">
        <v>110</v>
      </c>
      <c r="W319" t="s">
        <v>230</v>
      </c>
      <c r="X319" t="s">
        <v>231</v>
      </c>
      <c r="Y319" t="s">
        <v>119</v>
      </c>
    </row>
    <row r="320" spans="1:25">
      <c r="A320">
        <v>10363</v>
      </c>
      <c r="B320">
        <v>34</v>
      </c>
      <c r="C320">
        <v>96.73</v>
      </c>
      <c r="D320">
        <v>4</v>
      </c>
      <c r="E320">
        <v>3288.82</v>
      </c>
      <c r="F320" s="4">
        <v>38504</v>
      </c>
      <c r="G320" t="s">
        <v>93</v>
      </c>
      <c r="H320">
        <v>1</v>
      </c>
      <c r="I320">
        <v>1</v>
      </c>
      <c r="J320">
        <v>2005</v>
      </c>
      <c r="K320" t="s">
        <v>265</v>
      </c>
      <c r="L320">
        <v>117</v>
      </c>
      <c r="M320" t="s">
        <v>652</v>
      </c>
      <c r="N320" t="s">
        <v>593</v>
      </c>
      <c r="O320" t="s">
        <v>594</v>
      </c>
      <c r="P320" t="s">
        <v>595</v>
      </c>
      <c r="R320" t="s">
        <v>596</v>
      </c>
      <c r="T320" t="s">
        <v>597</v>
      </c>
      <c r="U320" t="s">
        <v>208</v>
      </c>
      <c r="V320" t="s">
        <v>110</v>
      </c>
      <c r="W320" t="s">
        <v>598</v>
      </c>
      <c r="X320" t="s">
        <v>599</v>
      </c>
      <c r="Y320" t="s">
        <v>119</v>
      </c>
    </row>
    <row r="321" spans="1:25">
      <c r="A321">
        <v>10376</v>
      </c>
      <c r="B321">
        <v>35</v>
      </c>
      <c r="C321">
        <v>100</v>
      </c>
      <c r="D321">
        <v>1</v>
      </c>
      <c r="E321">
        <v>3987.2</v>
      </c>
      <c r="F321" s="4">
        <v>38566</v>
      </c>
      <c r="G321" t="s">
        <v>93</v>
      </c>
      <c r="H321">
        <v>1</v>
      </c>
      <c r="I321">
        <v>2</v>
      </c>
      <c r="J321">
        <v>2005</v>
      </c>
      <c r="K321" t="s">
        <v>265</v>
      </c>
      <c r="L321">
        <v>117</v>
      </c>
      <c r="M321" t="s">
        <v>652</v>
      </c>
      <c r="N321" t="s">
        <v>654</v>
      </c>
      <c r="O321">
        <v>3105552373</v>
      </c>
      <c r="P321" t="s">
        <v>655</v>
      </c>
      <c r="R321" t="s">
        <v>656</v>
      </c>
      <c r="S321" t="s">
        <v>124</v>
      </c>
      <c r="T321">
        <v>92561</v>
      </c>
      <c r="U321" t="s">
        <v>100</v>
      </c>
      <c r="V321" t="s">
        <v>101</v>
      </c>
      <c r="W321" t="s">
        <v>125</v>
      </c>
      <c r="X321" t="s">
        <v>336</v>
      </c>
      <c r="Y321" t="s">
        <v>119</v>
      </c>
    </row>
    <row r="322" spans="1:25">
      <c r="A322">
        <v>10389</v>
      </c>
      <c r="B322">
        <v>25</v>
      </c>
      <c r="C322">
        <v>72.38</v>
      </c>
      <c r="D322">
        <v>6</v>
      </c>
      <c r="E322">
        <v>1809.5</v>
      </c>
      <c r="F322" s="4">
        <v>38414</v>
      </c>
      <c r="G322" t="s">
        <v>93</v>
      </c>
      <c r="H322">
        <v>1</v>
      </c>
      <c r="I322">
        <v>3</v>
      </c>
      <c r="J322">
        <v>2005</v>
      </c>
      <c r="K322" t="s">
        <v>265</v>
      </c>
      <c r="L322">
        <v>117</v>
      </c>
      <c r="M322" t="s">
        <v>652</v>
      </c>
      <c r="N322" t="s">
        <v>355</v>
      </c>
      <c r="O322" t="s">
        <v>356</v>
      </c>
      <c r="P322" t="s">
        <v>357</v>
      </c>
      <c r="R322" t="s">
        <v>358</v>
      </c>
      <c r="T322" t="s">
        <v>359</v>
      </c>
      <c r="U322" t="s">
        <v>273</v>
      </c>
      <c r="V322" t="s">
        <v>110</v>
      </c>
      <c r="W322" t="s">
        <v>360</v>
      </c>
      <c r="X322" t="s">
        <v>295</v>
      </c>
      <c r="Y322" t="s">
        <v>104</v>
      </c>
    </row>
    <row r="323" spans="1:25">
      <c r="A323">
        <v>10419</v>
      </c>
      <c r="B323">
        <v>10</v>
      </c>
      <c r="C323">
        <v>100</v>
      </c>
      <c r="D323">
        <v>11</v>
      </c>
      <c r="E323">
        <v>1092.2</v>
      </c>
      <c r="F323" t="s">
        <v>600</v>
      </c>
      <c r="G323" t="s">
        <v>93</v>
      </c>
      <c r="H323">
        <v>2</v>
      </c>
      <c r="I323">
        <v>5</v>
      </c>
      <c r="J323">
        <v>2005</v>
      </c>
      <c r="K323" t="s">
        <v>265</v>
      </c>
      <c r="L323">
        <v>117</v>
      </c>
      <c r="M323" t="s">
        <v>652</v>
      </c>
      <c r="N323" t="s">
        <v>225</v>
      </c>
      <c r="O323" t="s">
        <v>226</v>
      </c>
      <c r="P323" t="s">
        <v>227</v>
      </c>
      <c r="R323" t="s">
        <v>228</v>
      </c>
      <c r="T323">
        <v>5020</v>
      </c>
      <c r="U323" t="s">
        <v>229</v>
      </c>
      <c r="V323" t="s">
        <v>110</v>
      </c>
      <c r="W323" t="s">
        <v>230</v>
      </c>
      <c r="X323" t="s">
        <v>231</v>
      </c>
      <c r="Y323" t="s">
        <v>104</v>
      </c>
    </row>
    <row r="324" spans="1:25">
      <c r="A324">
        <v>10105</v>
      </c>
      <c r="B324">
        <v>29</v>
      </c>
      <c r="C324">
        <v>100</v>
      </c>
      <c r="D324">
        <v>14</v>
      </c>
      <c r="E324">
        <v>4566.05</v>
      </c>
      <c r="F324" s="4">
        <v>37927</v>
      </c>
      <c r="G324" t="s">
        <v>93</v>
      </c>
      <c r="H324">
        <v>1</v>
      </c>
      <c r="I324">
        <v>2</v>
      </c>
      <c r="J324">
        <v>2003</v>
      </c>
      <c r="K324" t="s">
        <v>265</v>
      </c>
      <c r="L324">
        <v>173</v>
      </c>
      <c r="M324" t="s">
        <v>657</v>
      </c>
      <c r="N324" t="s">
        <v>425</v>
      </c>
      <c r="O324" t="s">
        <v>426</v>
      </c>
      <c r="P324" t="s">
        <v>427</v>
      </c>
      <c r="R324" t="s">
        <v>428</v>
      </c>
      <c r="T324">
        <v>1734</v>
      </c>
      <c r="U324" t="s">
        <v>429</v>
      </c>
      <c r="V324" t="s">
        <v>110</v>
      </c>
      <c r="W324" t="s">
        <v>430</v>
      </c>
      <c r="X324" t="s">
        <v>431</v>
      </c>
      <c r="Y324" t="s">
        <v>119</v>
      </c>
    </row>
    <row r="325" spans="1:25">
      <c r="A325">
        <v>10117</v>
      </c>
      <c r="B325">
        <v>39</v>
      </c>
      <c r="C325">
        <v>100</v>
      </c>
      <c r="D325">
        <v>8</v>
      </c>
      <c r="E325">
        <v>5938.14</v>
      </c>
      <c r="F325" t="s">
        <v>602</v>
      </c>
      <c r="G325" t="s">
        <v>93</v>
      </c>
      <c r="H325">
        <v>2</v>
      </c>
      <c r="I325">
        <v>4</v>
      </c>
      <c r="J325">
        <v>2003</v>
      </c>
      <c r="K325" t="s">
        <v>265</v>
      </c>
      <c r="L325">
        <v>173</v>
      </c>
      <c r="M325" t="s">
        <v>657</v>
      </c>
      <c r="N325" t="s">
        <v>284</v>
      </c>
      <c r="O325" t="s">
        <v>285</v>
      </c>
      <c r="P325" t="s">
        <v>286</v>
      </c>
      <c r="R325" t="s">
        <v>287</v>
      </c>
      <c r="T325">
        <v>79903</v>
      </c>
      <c r="U325" t="s">
        <v>287</v>
      </c>
      <c r="V325" t="s">
        <v>288</v>
      </c>
      <c r="W325" t="s">
        <v>289</v>
      </c>
      <c r="X325" t="s">
        <v>290</v>
      </c>
      <c r="Y325" t="s">
        <v>119</v>
      </c>
    </row>
    <row r="326" spans="1:25">
      <c r="A326">
        <v>10127</v>
      </c>
      <c r="B326">
        <v>42</v>
      </c>
      <c r="C326">
        <v>100</v>
      </c>
      <c r="D326">
        <v>1</v>
      </c>
      <c r="E326">
        <v>8138.76</v>
      </c>
      <c r="F326" s="4">
        <v>37686</v>
      </c>
      <c r="G326" t="s">
        <v>93</v>
      </c>
      <c r="H326">
        <v>2</v>
      </c>
      <c r="I326">
        <v>6</v>
      </c>
      <c r="J326">
        <v>2003</v>
      </c>
      <c r="K326" t="s">
        <v>265</v>
      </c>
      <c r="L326">
        <v>173</v>
      </c>
      <c r="M326" t="s">
        <v>657</v>
      </c>
      <c r="N326" t="s">
        <v>603</v>
      </c>
      <c r="O326">
        <v>2125557413</v>
      </c>
      <c r="P326" t="s">
        <v>604</v>
      </c>
      <c r="Q326" t="s">
        <v>605</v>
      </c>
      <c r="R326" t="s">
        <v>98</v>
      </c>
      <c r="S326" t="s">
        <v>99</v>
      </c>
      <c r="T326">
        <v>10022</v>
      </c>
      <c r="U326" t="s">
        <v>100</v>
      </c>
      <c r="V326" t="s">
        <v>101</v>
      </c>
      <c r="W326" t="s">
        <v>125</v>
      </c>
      <c r="X326" t="s">
        <v>606</v>
      </c>
      <c r="Y326" t="s">
        <v>232</v>
      </c>
    </row>
    <row r="327" spans="1:25">
      <c r="A327">
        <v>10142</v>
      </c>
      <c r="B327">
        <v>46</v>
      </c>
      <c r="C327">
        <v>100</v>
      </c>
      <c r="D327">
        <v>11</v>
      </c>
      <c r="E327">
        <v>9470.94</v>
      </c>
      <c r="F327" s="4">
        <v>37841</v>
      </c>
      <c r="G327" t="s">
        <v>93</v>
      </c>
      <c r="H327">
        <v>3</v>
      </c>
      <c r="I327">
        <v>8</v>
      </c>
      <c r="J327">
        <v>2003</v>
      </c>
      <c r="K327" t="s">
        <v>265</v>
      </c>
      <c r="L327">
        <v>173</v>
      </c>
      <c r="M327" t="s">
        <v>657</v>
      </c>
      <c r="N327" t="s">
        <v>367</v>
      </c>
      <c r="O327">
        <v>4155551450</v>
      </c>
      <c r="P327" t="s">
        <v>368</v>
      </c>
      <c r="R327" t="s">
        <v>369</v>
      </c>
      <c r="S327" t="s">
        <v>124</v>
      </c>
      <c r="T327">
        <v>97562</v>
      </c>
      <c r="U327" t="s">
        <v>100</v>
      </c>
      <c r="V327" t="s">
        <v>101</v>
      </c>
      <c r="W327" t="s">
        <v>370</v>
      </c>
      <c r="X327" t="s">
        <v>371</v>
      </c>
      <c r="Y327" t="s">
        <v>232</v>
      </c>
    </row>
    <row r="328" spans="1:25">
      <c r="A328">
        <v>10153</v>
      </c>
      <c r="B328">
        <v>49</v>
      </c>
      <c r="C328">
        <v>100</v>
      </c>
      <c r="D328">
        <v>10</v>
      </c>
      <c r="E328">
        <v>7036.89</v>
      </c>
      <c r="F328" t="s">
        <v>607</v>
      </c>
      <c r="G328" t="s">
        <v>93</v>
      </c>
      <c r="H328">
        <v>3</v>
      </c>
      <c r="I328">
        <v>9</v>
      </c>
      <c r="J328">
        <v>2003</v>
      </c>
      <c r="K328" t="s">
        <v>265</v>
      </c>
      <c r="L328">
        <v>173</v>
      </c>
      <c r="M328" t="s">
        <v>657</v>
      </c>
      <c r="N328" t="s">
        <v>257</v>
      </c>
      <c r="O328" t="s">
        <v>258</v>
      </c>
      <c r="P328" t="s">
        <v>259</v>
      </c>
      <c r="R328" t="s">
        <v>260</v>
      </c>
      <c r="T328">
        <v>28034</v>
      </c>
      <c r="U328" t="s">
        <v>261</v>
      </c>
      <c r="V328" t="s">
        <v>110</v>
      </c>
      <c r="W328" t="s">
        <v>262</v>
      </c>
      <c r="X328" t="s">
        <v>263</v>
      </c>
      <c r="Y328" t="s">
        <v>232</v>
      </c>
    </row>
    <row r="329" spans="1:25">
      <c r="A329">
        <v>10165</v>
      </c>
      <c r="B329">
        <v>27</v>
      </c>
      <c r="C329">
        <v>100</v>
      </c>
      <c r="D329">
        <v>2</v>
      </c>
      <c r="E329">
        <v>5559.03</v>
      </c>
      <c r="F329" t="s">
        <v>608</v>
      </c>
      <c r="G329" t="s">
        <v>93</v>
      </c>
      <c r="H329">
        <v>4</v>
      </c>
      <c r="I329">
        <v>10</v>
      </c>
      <c r="J329">
        <v>2003</v>
      </c>
      <c r="K329" t="s">
        <v>265</v>
      </c>
      <c r="L329">
        <v>173</v>
      </c>
      <c r="M329" t="s">
        <v>657</v>
      </c>
      <c r="N329" t="s">
        <v>284</v>
      </c>
      <c r="O329" t="s">
        <v>285</v>
      </c>
      <c r="P329" t="s">
        <v>286</v>
      </c>
      <c r="R329" t="s">
        <v>287</v>
      </c>
      <c r="T329">
        <v>79903</v>
      </c>
      <c r="U329" t="s">
        <v>287</v>
      </c>
      <c r="V329" t="s">
        <v>288</v>
      </c>
      <c r="W329" t="s">
        <v>289</v>
      </c>
      <c r="X329" t="s">
        <v>290</v>
      </c>
      <c r="Y329" t="s">
        <v>119</v>
      </c>
    </row>
    <row r="330" spans="1:25">
      <c r="A330">
        <v>10176</v>
      </c>
      <c r="B330">
        <v>50</v>
      </c>
      <c r="C330">
        <v>100</v>
      </c>
      <c r="D330">
        <v>1</v>
      </c>
      <c r="E330">
        <v>7872.5</v>
      </c>
      <c r="F330" s="4">
        <v>37783</v>
      </c>
      <c r="G330" t="s">
        <v>93</v>
      </c>
      <c r="H330">
        <v>4</v>
      </c>
      <c r="I330">
        <v>11</v>
      </c>
      <c r="J330">
        <v>2003</v>
      </c>
      <c r="K330" t="s">
        <v>265</v>
      </c>
      <c r="L330">
        <v>173</v>
      </c>
      <c r="M330" t="s">
        <v>657</v>
      </c>
      <c r="N330" t="s">
        <v>576</v>
      </c>
      <c r="O330" t="s">
        <v>577</v>
      </c>
      <c r="P330" t="s">
        <v>578</v>
      </c>
      <c r="R330" t="s">
        <v>579</v>
      </c>
      <c r="T330">
        <v>42100</v>
      </c>
      <c r="U330" t="s">
        <v>352</v>
      </c>
      <c r="V330" t="s">
        <v>110</v>
      </c>
      <c r="W330" t="s">
        <v>580</v>
      </c>
      <c r="X330" t="s">
        <v>581</v>
      </c>
      <c r="Y330" t="s">
        <v>232</v>
      </c>
    </row>
    <row r="331" spans="1:25">
      <c r="A331">
        <v>10185</v>
      </c>
      <c r="B331">
        <v>43</v>
      </c>
      <c r="C331">
        <v>100</v>
      </c>
      <c r="D331">
        <v>12</v>
      </c>
      <c r="E331">
        <v>7886.2</v>
      </c>
      <c r="F331" t="s">
        <v>451</v>
      </c>
      <c r="G331" t="s">
        <v>93</v>
      </c>
      <c r="H331">
        <v>4</v>
      </c>
      <c r="I331">
        <v>11</v>
      </c>
      <c r="J331">
        <v>2003</v>
      </c>
      <c r="K331" t="s">
        <v>265</v>
      </c>
      <c r="L331">
        <v>173</v>
      </c>
      <c r="M331" t="s">
        <v>657</v>
      </c>
      <c r="N331" t="s">
        <v>439</v>
      </c>
      <c r="O331">
        <v>5085559555</v>
      </c>
      <c r="P331" t="s">
        <v>440</v>
      </c>
      <c r="R331" t="s">
        <v>244</v>
      </c>
      <c r="S331" t="s">
        <v>200</v>
      </c>
      <c r="T331">
        <v>50553</v>
      </c>
      <c r="U331" t="s">
        <v>100</v>
      </c>
      <c r="V331" t="s">
        <v>101</v>
      </c>
      <c r="W331" t="s">
        <v>441</v>
      </c>
      <c r="X331" t="s">
        <v>442</v>
      </c>
      <c r="Y331" t="s">
        <v>232</v>
      </c>
    </row>
    <row r="332" spans="1:25">
      <c r="A332">
        <v>10196</v>
      </c>
      <c r="B332">
        <v>38</v>
      </c>
      <c r="C332">
        <v>100</v>
      </c>
      <c r="D332">
        <v>4</v>
      </c>
      <c r="E332">
        <v>7232.16</v>
      </c>
      <c r="F332" t="s">
        <v>458</v>
      </c>
      <c r="G332" t="s">
        <v>93</v>
      </c>
      <c r="H332">
        <v>4</v>
      </c>
      <c r="I332">
        <v>11</v>
      </c>
      <c r="J332">
        <v>2003</v>
      </c>
      <c r="K332" t="s">
        <v>265</v>
      </c>
      <c r="L332">
        <v>173</v>
      </c>
      <c r="M332" t="s">
        <v>657</v>
      </c>
      <c r="N332" t="s">
        <v>333</v>
      </c>
      <c r="O332">
        <v>2035559545</v>
      </c>
      <c r="P332" t="s">
        <v>334</v>
      </c>
      <c r="R332" t="s">
        <v>335</v>
      </c>
      <c r="S332" t="s">
        <v>187</v>
      </c>
      <c r="T332">
        <v>97823</v>
      </c>
      <c r="U332" t="s">
        <v>100</v>
      </c>
      <c r="V332" t="s">
        <v>101</v>
      </c>
      <c r="W332" t="s">
        <v>154</v>
      </c>
      <c r="X332" t="s">
        <v>336</v>
      </c>
      <c r="Y332" t="s">
        <v>232</v>
      </c>
    </row>
    <row r="333" spans="1:25">
      <c r="A333">
        <v>10208</v>
      </c>
      <c r="B333">
        <v>20</v>
      </c>
      <c r="C333">
        <v>100</v>
      </c>
      <c r="D333">
        <v>12</v>
      </c>
      <c r="E333">
        <v>3114.4</v>
      </c>
      <c r="F333" s="4">
        <v>38018</v>
      </c>
      <c r="G333" t="s">
        <v>93</v>
      </c>
      <c r="H333">
        <v>1</v>
      </c>
      <c r="I333">
        <v>1</v>
      </c>
      <c r="J333">
        <v>2004</v>
      </c>
      <c r="K333" t="s">
        <v>265</v>
      </c>
      <c r="L333">
        <v>173</v>
      </c>
      <c r="M333" t="s">
        <v>657</v>
      </c>
      <c r="N333" t="s">
        <v>310</v>
      </c>
      <c r="O333" t="s">
        <v>311</v>
      </c>
      <c r="P333" t="s">
        <v>312</v>
      </c>
      <c r="R333" t="s">
        <v>313</v>
      </c>
      <c r="T333">
        <v>69004</v>
      </c>
      <c r="U333" t="s">
        <v>109</v>
      </c>
      <c r="V333" t="s">
        <v>110</v>
      </c>
      <c r="W333" t="s">
        <v>314</v>
      </c>
      <c r="X333" t="s">
        <v>315</v>
      </c>
      <c r="Y333" t="s">
        <v>119</v>
      </c>
    </row>
    <row r="334" spans="1:25">
      <c r="A334">
        <v>10220</v>
      </c>
      <c r="B334">
        <v>27</v>
      </c>
      <c r="C334">
        <v>100</v>
      </c>
      <c r="D334">
        <v>1</v>
      </c>
      <c r="E334">
        <v>5045.22</v>
      </c>
      <c r="F334" s="4">
        <v>38323</v>
      </c>
      <c r="G334" t="s">
        <v>93</v>
      </c>
      <c r="H334">
        <v>1</v>
      </c>
      <c r="I334">
        <v>2</v>
      </c>
      <c r="J334">
        <v>2004</v>
      </c>
      <c r="K334" t="s">
        <v>265</v>
      </c>
      <c r="L334">
        <v>173</v>
      </c>
      <c r="M334" t="s">
        <v>657</v>
      </c>
      <c r="N334" t="s">
        <v>609</v>
      </c>
      <c r="O334" t="s">
        <v>610</v>
      </c>
      <c r="P334" t="s">
        <v>611</v>
      </c>
      <c r="Q334" t="s">
        <v>612</v>
      </c>
      <c r="R334" t="s">
        <v>613</v>
      </c>
      <c r="T334">
        <v>2</v>
      </c>
      <c r="U334" t="s">
        <v>614</v>
      </c>
      <c r="V334" t="s">
        <v>110</v>
      </c>
      <c r="W334" t="s">
        <v>615</v>
      </c>
      <c r="X334" t="s">
        <v>616</v>
      </c>
      <c r="Y334" t="s">
        <v>119</v>
      </c>
    </row>
    <row r="335" spans="1:25">
      <c r="A335">
        <v>10231</v>
      </c>
      <c r="B335">
        <v>49</v>
      </c>
      <c r="C335">
        <v>100</v>
      </c>
      <c r="D335">
        <v>1</v>
      </c>
      <c r="E335">
        <v>6952.12</v>
      </c>
      <c r="F335" t="s">
        <v>617</v>
      </c>
      <c r="G335" t="s">
        <v>93</v>
      </c>
      <c r="H335">
        <v>1</v>
      </c>
      <c r="I335">
        <v>3</v>
      </c>
      <c r="J335">
        <v>2004</v>
      </c>
      <c r="K335" t="s">
        <v>265</v>
      </c>
      <c r="L335">
        <v>173</v>
      </c>
      <c r="M335" t="s">
        <v>657</v>
      </c>
      <c r="N335" t="s">
        <v>618</v>
      </c>
      <c r="O335" t="s">
        <v>619</v>
      </c>
      <c r="P335" t="s">
        <v>620</v>
      </c>
      <c r="R335" t="s">
        <v>260</v>
      </c>
      <c r="T335">
        <v>28023</v>
      </c>
      <c r="U335" t="s">
        <v>261</v>
      </c>
      <c r="V335" t="s">
        <v>110</v>
      </c>
      <c r="W335" t="s">
        <v>621</v>
      </c>
      <c r="X335" t="s">
        <v>622</v>
      </c>
      <c r="Y335" t="s">
        <v>119</v>
      </c>
    </row>
    <row r="336" spans="1:25">
      <c r="A336">
        <v>10247</v>
      </c>
      <c r="B336">
        <v>27</v>
      </c>
      <c r="C336">
        <v>100</v>
      </c>
      <c r="D336">
        <v>1</v>
      </c>
      <c r="E336">
        <v>4157.7299999999996</v>
      </c>
      <c r="F336" s="4">
        <v>38112</v>
      </c>
      <c r="G336" t="s">
        <v>93</v>
      </c>
      <c r="H336">
        <v>2</v>
      </c>
      <c r="I336">
        <v>5</v>
      </c>
      <c r="J336">
        <v>2004</v>
      </c>
      <c r="K336" t="s">
        <v>265</v>
      </c>
      <c r="L336">
        <v>173</v>
      </c>
      <c r="M336" t="s">
        <v>657</v>
      </c>
      <c r="N336" t="s">
        <v>593</v>
      </c>
      <c r="O336" t="s">
        <v>594</v>
      </c>
      <c r="P336" t="s">
        <v>595</v>
      </c>
      <c r="R336" t="s">
        <v>596</v>
      </c>
      <c r="T336" t="s">
        <v>597</v>
      </c>
      <c r="U336" t="s">
        <v>208</v>
      </c>
      <c r="V336" t="s">
        <v>110</v>
      </c>
      <c r="W336" t="s">
        <v>598</v>
      </c>
      <c r="X336" t="s">
        <v>599</v>
      </c>
      <c r="Y336" t="s">
        <v>119</v>
      </c>
    </row>
    <row r="337" spans="1:25">
      <c r="A337">
        <v>10272</v>
      </c>
      <c r="B337">
        <v>39</v>
      </c>
      <c r="C337">
        <v>100</v>
      </c>
      <c r="D337">
        <v>1</v>
      </c>
      <c r="E337">
        <v>7962.24</v>
      </c>
      <c r="F337" t="s">
        <v>623</v>
      </c>
      <c r="G337" t="s">
        <v>93</v>
      </c>
      <c r="H337">
        <v>3</v>
      </c>
      <c r="I337">
        <v>7</v>
      </c>
      <c r="J337">
        <v>2004</v>
      </c>
      <c r="K337" t="s">
        <v>265</v>
      </c>
      <c r="L337">
        <v>173</v>
      </c>
      <c r="M337" t="s">
        <v>657</v>
      </c>
      <c r="N337" t="s">
        <v>218</v>
      </c>
      <c r="O337">
        <v>2155551555</v>
      </c>
      <c r="P337" t="s">
        <v>219</v>
      </c>
      <c r="R337" t="s">
        <v>220</v>
      </c>
      <c r="S337" t="s">
        <v>221</v>
      </c>
      <c r="T337">
        <v>70267</v>
      </c>
      <c r="U337" t="s">
        <v>100</v>
      </c>
      <c r="V337" t="s">
        <v>101</v>
      </c>
      <c r="W337" t="s">
        <v>102</v>
      </c>
      <c r="X337" t="s">
        <v>222</v>
      </c>
      <c r="Y337" t="s">
        <v>232</v>
      </c>
    </row>
    <row r="338" spans="1:25">
      <c r="A338">
        <v>10282</v>
      </c>
      <c r="B338">
        <v>24</v>
      </c>
      <c r="C338">
        <v>100</v>
      </c>
      <c r="D338">
        <v>4</v>
      </c>
      <c r="E338">
        <v>3778.8</v>
      </c>
      <c r="F338" t="s">
        <v>483</v>
      </c>
      <c r="G338" t="s">
        <v>93</v>
      </c>
      <c r="H338">
        <v>3</v>
      </c>
      <c r="I338">
        <v>8</v>
      </c>
      <c r="J338">
        <v>2004</v>
      </c>
      <c r="K338" t="s">
        <v>265</v>
      </c>
      <c r="L338">
        <v>173</v>
      </c>
      <c r="M338" t="s">
        <v>657</v>
      </c>
      <c r="N338" t="s">
        <v>367</v>
      </c>
      <c r="O338">
        <v>4155551450</v>
      </c>
      <c r="P338" t="s">
        <v>368</v>
      </c>
      <c r="R338" t="s">
        <v>369</v>
      </c>
      <c r="S338" t="s">
        <v>124</v>
      </c>
      <c r="T338">
        <v>97562</v>
      </c>
      <c r="U338" t="s">
        <v>100</v>
      </c>
      <c r="V338" t="s">
        <v>101</v>
      </c>
      <c r="W338" t="s">
        <v>370</v>
      </c>
      <c r="X338" t="s">
        <v>371</v>
      </c>
      <c r="Y338" t="s">
        <v>119</v>
      </c>
    </row>
    <row r="339" spans="1:25">
      <c r="A339">
        <v>10293</v>
      </c>
      <c r="B339">
        <v>45</v>
      </c>
      <c r="C339">
        <v>100</v>
      </c>
      <c r="D339">
        <v>7</v>
      </c>
      <c r="E339">
        <v>8253</v>
      </c>
      <c r="F339" s="4">
        <v>38239</v>
      </c>
      <c r="G339" t="s">
        <v>93</v>
      </c>
      <c r="H339">
        <v>3</v>
      </c>
      <c r="I339">
        <v>9</v>
      </c>
      <c r="J339">
        <v>2004</v>
      </c>
      <c r="K339" t="s">
        <v>265</v>
      </c>
      <c r="L339">
        <v>173</v>
      </c>
      <c r="M339" t="s">
        <v>657</v>
      </c>
      <c r="N339" t="s">
        <v>348</v>
      </c>
      <c r="O339" t="s">
        <v>349</v>
      </c>
      <c r="P339" t="s">
        <v>350</v>
      </c>
      <c r="R339" t="s">
        <v>351</v>
      </c>
      <c r="T339">
        <v>10100</v>
      </c>
      <c r="U339" t="s">
        <v>352</v>
      </c>
      <c r="V339" t="s">
        <v>110</v>
      </c>
      <c r="W339" t="s">
        <v>353</v>
      </c>
      <c r="X339" t="s">
        <v>354</v>
      </c>
      <c r="Y339" t="s">
        <v>232</v>
      </c>
    </row>
    <row r="340" spans="1:25">
      <c r="A340">
        <v>10306</v>
      </c>
      <c r="B340">
        <v>20</v>
      </c>
      <c r="C340">
        <v>100</v>
      </c>
      <c r="D340">
        <v>12</v>
      </c>
      <c r="E340">
        <v>3633.4</v>
      </c>
      <c r="F340" t="s">
        <v>494</v>
      </c>
      <c r="G340" t="s">
        <v>93</v>
      </c>
      <c r="H340">
        <v>4</v>
      </c>
      <c r="I340">
        <v>10</v>
      </c>
      <c r="J340">
        <v>2004</v>
      </c>
      <c r="K340" t="s">
        <v>265</v>
      </c>
      <c r="L340">
        <v>173</v>
      </c>
      <c r="M340" t="s">
        <v>657</v>
      </c>
      <c r="N340" t="s">
        <v>624</v>
      </c>
      <c r="O340" t="s">
        <v>625</v>
      </c>
      <c r="P340" t="s">
        <v>626</v>
      </c>
      <c r="R340" t="s">
        <v>627</v>
      </c>
      <c r="T340" t="s">
        <v>628</v>
      </c>
      <c r="U340" t="s">
        <v>252</v>
      </c>
      <c r="V340" t="s">
        <v>110</v>
      </c>
      <c r="W340" t="s">
        <v>629</v>
      </c>
      <c r="X340" t="s">
        <v>167</v>
      </c>
      <c r="Y340" t="s">
        <v>119</v>
      </c>
    </row>
    <row r="341" spans="1:25">
      <c r="A341">
        <v>10314</v>
      </c>
      <c r="B341">
        <v>36</v>
      </c>
      <c r="C341">
        <v>100</v>
      </c>
      <c r="D341">
        <v>4</v>
      </c>
      <c r="E341">
        <v>6913.8</v>
      </c>
      <c r="F341" t="s">
        <v>544</v>
      </c>
      <c r="G341" t="s">
        <v>93</v>
      </c>
      <c r="H341">
        <v>4</v>
      </c>
      <c r="I341">
        <v>10</v>
      </c>
      <c r="J341">
        <v>2004</v>
      </c>
      <c r="K341" t="s">
        <v>265</v>
      </c>
      <c r="L341">
        <v>173</v>
      </c>
      <c r="M341" t="s">
        <v>657</v>
      </c>
      <c r="N341" t="s">
        <v>630</v>
      </c>
      <c r="O341" t="s">
        <v>631</v>
      </c>
      <c r="P341" t="s">
        <v>632</v>
      </c>
      <c r="R341" t="s">
        <v>633</v>
      </c>
      <c r="T341">
        <v>8200</v>
      </c>
      <c r="U341" t="s">
        <v>429</v>
      </c>
      <c r="V341" t="s">
        <v>110</v>
      </c>
      <c r="W341" t="s">
        <v>634</v>
      </c>
      <c r="X341" t="s">
        <v>635</v>
      </c>
      <c r="Y341" t="s">
        <v>119</v>
      </c>
    </row>
    <row r="342" spans="1:25">
      <c r="A342">
        <v>10325</v>
      </c>
      <c r="B342">
        <v>24</v>
      </c>
      <c r="C342">
        <v>100</v>
      </c>
      <c r="D342">
        <v>1</v>
      </c>
      <c r="E342">
        <v>2583.6</v>
      </c>
      <c r="F342" s="4">
        <v>38118</v>
      </c>
      <c r="G342" t="s">
        <v>93</v>
      </c>
      <c r="H342">
        <v>4</v>
      </c>
      <c r="I342">
        <v>11</v>
      </c>
      <c r="J342">
        <v>2004</v>
      </c>
      <c r="K342" t="s">
        <v>265</v>
      </c>
      <c r="L342">
        <v>173</v>
      </c>
      <c r="M342" t="s">
        <v>657</v>
      </c>
      <c r="N342" t="s">
        <v>212</v>
      </c>
      <c r="O342" t="s">
        <v>213</v>
      </c>
      <c r="P342" t="s">
        <v>214</v>
      </c>
      <c r="R342" t="s">
        <v>215</v>
      </c>
      <c r="T342">
        <v>4110</v>
      </c>
      <c r="U342" t="s">
        <v>149</v>
      </c>
      <c r="V342" t="s">
        <v>110</v>
      </c>
      <c r="W342" t="s">
        <v>216</v>
      </c>
      <c r="X342" t="s">
        <v>217</v>
      </c>
      <c r="Y342" t="s">
        <v>104</v>
      </c>
    </row>
    <row r="343" spans="1:25">
      <c r="A343">
        <v>10336</v>
      </c>
      <c r="B343">
        <v>49</v>
      </c>
      <c r="C343">
        <v>63.38</v>
      </c>
      <c r="D343">
        <v>1</v>
      </c>
      <c r="E343">
        <v>3105.62</v>
      </c>
      <c r="F343" t="s">
        <v>636</v>
      </c>
      <c r="G343" t="s">
        <v>93</v>
      </c>
      <c r="H343">
        <v>4</v>
      </c>
      <c r="I343">
        <v>11</v>
      </c>
      <c r="J343">
        <v>2004</v>
      </c>
      <c r="K343" t="s">
        <v>265</v>
      </c>
      <c r="L343">
        <v>173</v>
      </c>
      <c r="M343" t="s">
        <v>657</v>
      </c>
      <c r="N343" t="s">
        <v>520</v>
      </c>
      <c r="O343" t="s">
        <v>521</v>
      </c>
      <c r="P343" t="s">
        <v>522</v>
      </c>
      <c r="R343" t="s">
        <v>116</v>
      </c>
      <c r="T343">
        <v>75012</v>
      </c>
      <c r="U343" t="s">
        <v>109</v>
      </c>
      <c r="V343" t="s">
        <v>110</v>
      </c>
      <c r="W343" t="s">
        <v>523</v>
      </c>
      <c r="X343" t="s">
        <v>524</v>
      </c>
      <c r="Y343" t="s">
        <v>119</v>
      </c>
    </row>
    <row r="344" spans="1:25">
      <c r="A344">
        <v>10349</v>
      </c>
      <c r="B344">
        <v>26</v>
      </c>
      <c r="C344">
        <v>100</v>
      </c>
      <c r="D344">
        <v>10</v>
      </c>
      <c r="E344">
        <v>4408.5600000000004</v>
      </c>
      <c r="F344" s="4">
        <v>37998</v>
      </c>
      <c r="G344" t="s">
        <v>93</v>
      </c>
      <c r="H344">
        <v>4</v>
      </c>
      <c r="I344">
        <v>12</v>
      </c>
      <c r="J344">
        <v>2004</v>
      </c>
      <c r="K344" t="s">
        <v>265</v>
      </c>
      <c r="L344">
        <v>173</v>
      </c>
      <c r="M344" t="s">
        <v>657</v>
      </c>
      <c r="N344" t="s">
        <v>603</v>
      </c>
      <c r="O344">
        <v>2125557413</v>
      </c>
      <c r="P344" t="s">
        <v>604</v>
      </c>
      <c r="Q344" t="s">
        <v>605</v>
      </c>
      <c r="R344" t="s">
        <v>98</v>
      </c>
      <c r="S344" t="s">
        <v>99</v>
      </c>
      <c r="T344">
        <v>10022</v>
      </c>
      <c r="U344" t="s">
        <v>100</v>
      </c>
      <c r="V344" t="s">
        <v>101</v>
      </c>
      <c r="W344" t="s">
        <v>125</v>
      </c>
      <c r="X344" t="s">
        <v>606</v>
      </c>
      <c r="Y344" t="s">
        <v>119</v>
      </c>
    </row>
    <row r="345" spans="1:25">
      <c r="A345">
        <v>10359</v>
      </c>
      <c r="B345">
        <v>49</v>
      </c>
      <c r="C345">
        <v>62.09</v>
      </c>
      <c r="D345">
        <v>5</v>
      </c>
      <c r="E345">
        <v>3042.41</v>
      </c>
      <c r="F345" t="s">
        <v>504</v>
      </c>
      <c r="G345" t="s">
        <v>93</v>
      </c>
      <c r="H345">
        <v>4</v>
      </c>
      <c r="I345">
        <v>12</v>
      </c>
      <c r="J345">
        <v>2004</v>
      </c>
      <c r="K345" t="s">
        <v>265</v>
      </c>
      <c r="L345">
        <v>173</v>
      </c>
      <c r="M345" t="s">
        <v>657</v>
      </c>
      <c r="N345" t="s">
        <v>105</v>
      </c>
      <c r="O345" t="s">
        <v>106</v>
      </c>
      <c r="P345" t="s">
        <v>107</v>
      </c>
      <c r="R345" t="s">
        <v>108</v>
      </c>
      <c r="T345">
        <v>51100</v>
      </c>
      <c r="U345" t="s">
        <v>109</v>
      </c>
      <c r="V345" t="s">
        <v>110</v>
      </c>
      <c r="W345" t="s">
        <v>111</v>
      </c>
      <c r="X345" t="s">
        <v>112</v>
      </c>
      <c r="Y345" t="s">
        <v>119</v>
      </c>
    </row>
    <row r="346" spans="1:25">
      <c r="A346">
        <v>10372</v>
      </c>
      <c r="B346">
        <v>34</v>
      </c>
      <c r="C346">
        <v>100</v>
      </c>
      <c r="D346">
        <v>1</v>
      </c>
      <c r="E346">
        <v>5941.5</v>
      </c>
      <c r="F346" t="s">
        <v>651</v>
      </c>
      <c r="G346" t="s">
        <v>93</v>
      </c>
      <c r="H346">
        <v>1</v>
      </c>
      <c r="I346">
        <v>1</v>
      </c>
      <c r="J346">
        <v>2005</v>
      </c>
      <c r="K346" t="s">
        <v>265</v>
      </c>
      <c r="L346">
        <v>173</v>
      </c>
      <c r="M346" t="s">
        <v>657</v>
      </c>
      <c r="N346" t="s">
        <v>338</v>
      </c>
      <c r="O346" t="s">
        <v>339</v>
      </c>
      <c r="P346" t="s">
        <v>340</v>
      </c>
      <c r="R346" t="s">
        <v>341</v>
      </c>
      <c r="S346" t="s">
        <v>342</v>
      </c>
      <c r="T346" t="s">
        <v>343</v>
      </c>
      <c r="U346" t="s">
        <v>288</v>
      </c>
      <c r="V346" t="s">
        <v>288</v>
      </c>
      <c r="W346" t="s">
        <v>344</v>
      </c>
      <c r="X346" t="s">
        <v>345</v>
      </c>
      <c r="Y346" t="s">
        <v>119</v>
      </c>
    </row>
    <row r="347" spans="1:25">
      <c r="A347">
        <v>10382</v>
      </c>
      <c r="B347">
        <v>34</v>
      </c>
      <c r="C347">
        <v>95.35</v>
      </c>
      <c r="D347">
        <v>12</v>
      </c>
      <c r="E347">
        <v>3241.9</v>
      </c>
      <c r="F347" t="s">
        <v>383</v>
      </c>
      <c r="G347" t="s">
        <v>93</v>
      </c>
      <c r="H347">
        <v>1</v>
      </c>
      <c r="I347">
        <v>2</v>
      </c>
      <c r="J347">
        <v>2005</v>
      </c>
      <c r="K347" t="s">
        <v>265</v>
      </c>
      <c r="L347">
        <v>173</v>
      </c>
      <c r="M347" t="s">
        <v>657</v>
      </c>
      <c r="N347" t="s">
        <v>367</v>
      </c>
      <c r="O347">
        <v>4155551450</v>
      </c>
      <c r="P347" t="s">
        <v>368</v>
      </c>
      <c r="R347" t="s">
        <v>369</v>
      </c>
      <c r="S347" t="s">
        <v>124</v>
      </c>
      <c r="T347">
        <v>97562</v>
      </c>
      <c r="U347" t="s">
        <v>100</v>
      </c>
      <c r="V347" t="s">
        <v>101</v>
      </c>
      <c r="W347" t="s">
        <v>370</v>
      </c>
      <c r="X347" t="s">
        <v>371</v>
      </c>
      <c r="Y347" t="s">
        <v>119</v>
      </c>
    </row>
    <row r="348" spans="1:25">
      <c r="A348">
        <v>10396</v>
      </c>
      <c r="B348">
        <v>33</v>
      </c>
      <c r="C348">
        <v>100</v>
      </c>
      <c r="D348">
        <v>3</v>
      </c>
      <c r="E348">
        <v>6109.29</v>
      </c>
      <c r="F348" t="s">
        <v>658</v>
      </c>
      <c r="G348" t="s">
        <v>93</v>
      </c>
      <c r="H348">
        <v>1</v>
      </c>
      <c r="I348">
        <v>3</v>
      </c>
      <c r="J348">
        <v>2005</v>
      </c>
      <c r="K348" t="s">
        <v>265</v>
      </c>
      <c r="L348">
        <v>173</v>
      </c>
      <c r="M348" t="s">
        <v>657</v>
      </c>
      <c r="N348" t="s">
        <v>367</v>
      </c>
      <c r="O348">
        <v>4155551450</v>
      </c>
      <c r="P348" t="s">
        <v>368</v>
      </c>
      <c r="R348" t="s">
        <v>369</v>
      </c>
      <c r="S348" t="s">
        <v>124</v>
      </c>
      <c r="T348">
        <v>97562</v>
      </c>
      <c r="U348" t="s">
        <v>100</v>
      </c>
      <c r="V348" t="s">
        <v>101</v>
      </c>
      <c r="W348" t="s">
        <v>370</v>
      </c>
      <c r="X348" t="s">
        <v>371</v>
      </c>
      <c r="Y348" t="s">
        <v>119</v>
      </c>
    </row>
    <row r="349" spans="1:25">
      <c r="A349">
        <v>10413</v>
      </c>
      <c r="B349">
        <v>22</v>
      </c>
      <c r="C349">
        <v>100</v>
      </c>
      <c r="D349">
        <v>1</v>
      </c>
      <c r="E349">
        <v>3387.78</v>
      </c>
      <c r="F349" s="4">
        <v>38477</v>
      </c>
      <c r="G349" t="s">
        <v>93</v>
      </c>
      <c r="H349">
        <v>2</v>
      </c>
      <c r="I349">
        <v>5</v>
      </c>
      <c r="J349">
        <v>2005</v>
      </c>
      <c r="K349" t="s">
        <v>265</v>
      </c>
      <c r="L349">
        <v>173</v>
      </c>
      <c r="M349" t="s">
        <v>657</v>
      </c>
      <c r="N349" t="s">
        <v>184</v>
      </c>
      <c r="O349">
        <v>2035552570</v>
      </c>
      <c r="P349" t="s">
        <v>185</v>
      </c>
      <c r="R349" t="s">
        <v>186</v>
      </c>
      <c r="S349" t="s">
        <v>187</v>
      </c>
      <c r="T349">
        <v>97562</v>
      </c>
      <c r="U349" t="s">
        <v>100</v>
      </c>
      <c r="V349" t="s">
        <v>101</v>
      </c>
      <c r="W349" t="s">
        <v>188</v>
      </c>
      <c r="X349" t="s">
        <v>126</v>
      </c>
      <c r="Y349" t="s">
        <v>119</v>
      </c>
    </row>
    <row r="350" spans="1:25">
      <c r="A350">
        <v>10108</v>
      </c>
      <c r="B350">
        <v>39</v>
      </c>
      <c r="C350">
        <v>89.38</v>
      </c>
      <c r="D350">
        <v>7</v>
      </c>
      <c r="E350">
        <v>3485.82</v>
      </c>
      <c r="F350" s="4">
        <v>37683</v>
      </c>
      <c r="G350" t="s">
        <v>93</v>
      </c>
      <c r="H350">
        <v>1</v>
      </c>
      <c r="I350">
        <v>3</v>
      </c>
      <c r="J350">
        <v>2003</v>
      </c>
      <c r="K350" t="s">
        <v>265</v>
      </c>
      <c r="L350">
        <v>79</v>
      </c>
      <c r="M350" t="s">
        <v>659</v>
      </c>
      <c r="N350" t="s">
        <v>547</v>
      </c>
      <c r="O350" t="s">
        <v>548</v>
      </c>
      <c r="P350" t="s">
        <v>549</v>
      </c>
      <c r="R350" t="s">
        <v>550</v>
      </c>
      <c r="T350" t="s">
        <v>551</v>
      </c>
      <c r="U350" t="s">
        <v>552</v>
      </c>
      <c r="V350" t="s">
        <v>288</v>
      </c>
      <c r="W350" t="s">
        <v>553</v>
      </c>
      <c r="X350" t="s">
        <v>554</v>
      </c>
      <c r="Y350" t="s">
        <v>119</v>
      </c>
    </row>
    <row r="351" spans="1:25">
      <c r="A351">
        <v>10122</v>
      </c>
      <c r="B351">
        <v>32</v>
      </c>
      <c r="C351">
        <v>63.84</v>
      </c>
      <c r="D351">
        <v>11</v>
      </c>
      <c r="E351">
        <v>2042.88</v>
      </c>
      <c r="F351" s="4">
        <v>37838</v>
      </c>
      <c r="G351" t="s">
        <v>93</v>
      </c>
      <c r="H351">
        <v>2</v>
      </c>
      <c r="I351">
        <v>5</v>
      </c>
      <c r="J351">
        <v>2003</v>
      </c>
      <c r="K351" t="s">
        <v>265</v>
      </c>
      <c r="L351">
        <v>79</v>
      </c>
      <c r="M351" t="s">
        <v>659</v>
      </c>
      <c r="N351" t="s">
        <v>555</v>
      </c>
      <c r="O351" t="s">
        <v>556</v>
      </c>
      <c r="P351" t="s">
        <v>557</v>
      </c>
      <c r="R351" t="s">
        <v>558</v>
      </c>
      <c r="T351">
        <v>13008</v>
      </c>
      <c r="U351" t="s">
        <v>109</v>
      </c>
      <c r="V351" t="s">
        <v>110</v>
      </c>
      <c r="W351" t="s">
        <v>559</v>
      </c>
      <c r="X351" t="s">
        <v>560</v>
      </c>
      <c r="Y351" t="s">
        <v>104</v>
      </c>
    </row>
    <row r="352" spans="1:25">
      <c r="A352">
        <v>10135</v>
      </c>
      <c r="B352">
        <v>24</v>
      </c>
      <c r="C352">
        <v>75.010000000000005</v>
      </c>
      <c r="D352">
        <v>8</v>
      </c>
      <c r="E352">
        <v>1800.24</v>
      </c>
      <c r="F352" s="4">
        <v>37659</v>
      </c>
      <c r="G352" t="s">
        <v>93</v>
      </c>
      <c r="H352">
        <v>3</v>
      </c>
      <c r="I352">
        <v>7</v>
      </c>
      <c r="J352">
        <v>2003</v>
      </c>
      <c r="K352" t="s">
        <v>265</v>
      </c>
      <c r="L352">
        <v>79</v>
      </c>
      <c r="M352" t="s">
        <v>659</v>
      </c>
      <c r="N352" t="s">
        <v>367</v>
      </c>
      <c r="O352">
        <v>4155551450</v>
      </c>
      <c r="P352" t="s">
        <v>368</v>
      </c>
      <c r="R352" t="s">
        <v>369</v>
      </c>
      <c r="S352" t="s">
        <v>124</v>
      </c>
      <c r="T352">
        <v>97562</v>
      </c>
      <c r="U352" t="s">
        <v>100</v>
      </c>
      <c r="V352" t="s">
        <v>101</v>
      </c>
      <c r="W352" t="s">
        <v>370</v>
      </c>
      <c r="X352" t="s">
        <v>371</v>
      </c>
      <c r="Y352" t="s">
        <v>104</v>
      </c>
    </row>
    <row r="353" spans="1:25">
      <c r="A353">
        <v>10147</v>
      </c>
      <c r="B353">
        <v>21</v>
      </c>
      <c r="C353">
        <v>63.84</v>
      </c>
      <c r="D353">
        <v>8</v>
      </c>
      <c r="E353">
        <v>1340.64</v>
      </c>
      <c r="F353" s="4">
        <v>37750</v>
      </c>
      <c r="G353" t="s">
        <v>93</v>
      </c>
      <c r="H353">
        <v>3</v>
      </c>
      <c r="I353">
        <v>9</v>
      </c>
      <c r="J353">
        <v>2003</v>
      </c>
      <c r="K353" t="s">
        <v>265</v>
      </c>
      <c r="L353">
        <v>79</v>
      </c>
      <c r="M353" t="s">
        <v>659</v>
      </c>
      <c r="N353" t="s">
        <v>379</v>
      </c>
      <c r="O353">
        <v>6175558555</v>
      </c>
      <c r="P353" t="s">
        <v>380</v>
      </c>
      <c r="R353" t="s">
        <v>381</v>
      </c>
      <c r="S353" t="s">
        <v>200</v>
      </c>
      <c r="T353">
        <v>58339</v>
      </c>
      <c r="U353" t="s">
        <v>100</v>
      </c>
      <c r="V353" t="s">
        <v>101</v>
      </c>
      <c r="W353" t="s">
        <v>370</v>
      </c>
      <c r="X353" t="s">
        <v>382</v>
      </c>
      <c r="Y353" t="s">
        <v>104</v>
      </c>
    </row>
    <row r="354" spans="1:25">
      <c r="A354">
        <v>10159</v>
      </c>
      <c r="B354">
        <v>24</v>
      </c>
      <c r="C354">
        <v>73.42</v>
      </c>
      <c r="D354">
        <v>3</v>
      </c>
      <c r="E354">
        <v>1762.08</v>
      </c>
      <c r="F354" s="4">
        <v>37904</v>
      </c>
      <c r="G354" t="s">
        <v>93</v>
      </c>
      <c r="H354">
        <v>4</v>
      </c>
      <c r="I354">
        <v>10</v>
      </c>
      <c r="J354">
        <v>2003</v>
      </c>
      <c r="K354" t="s">
        <v>265</v>
      </c>
      <c r="L354">
        <v>79</v>
      </c>
      <c r="M354" t="s">
        <v>659</v>
      </c>
      <c r="N354" t="s">
        <v>127</v>
      </c>
      <c r="O354">
        <v>6505551386</v>
      </c>
      <c r="P354" t="s">
        <v>128</v>
      </c>
      <c r="R354" t="s">
        <v>129</v>
      </c>
      <c r="S354" t="s">
        <v>124</v>
      </c>
      <c r="U354" t="s">
        <v>100</v>
      </c>
      <c r="V354" t="s">
        <v>101</v>
      </c>
      <c r="W354" t="s">
        <v>130</v>
      </c>
      <c r="X354" t="s">
        <v>126</v>
      </c>
      <c r="Y354" t="s">
        <v>104</v>
      </c>
    </row>
    <row r="355" spans="1:25">
      <c r="A355">
        <v>10169</v>
      </c>
      <c r="B355">
        <v>36</v>
      </c>
      <c r="C355">
        <v>63.84</v>
      </c>
      <c r="D355">
        <v>3</v>
      </c>
      <c r="E355">
        <v>2298.2399999999998</v>
      </c>
      <c r="F355" s="4">
        <v>37722</v>
      </c>
      <c r="G355" t="s">
        <v>93</v>
      </c>
      <c r="H355">
        <v>4</v>
      </c>
      <c r="I355">
        <v>11</v>
      </c>
      <c r="J355">
        <v>2003</v>
      </c>
      <c r="K355" t="s">
        <v>265</v>
      </c>
      <c r="L355">
        <v>79</v>
      </c>
      <c r="M355" t="s">
        <v>659</v>
      </c>
      <c r="N355" t="s">
        <v>384</v>
      </c>
      <c r="O355" t="s">
        <v>385</v>
      </c>
      <c r="P355" t="s">
        <v>386</v>
      </c>
      <c r="Q355" t="s">
        <v>387</v>
      </c>
      <c r="R355" t="s">
        <v>388</v>
      </c>
      <c r="S355" t="s">
        <v>239</v>
      </c>
      <c r="T355">
        <v>2060</v>
      </c>
      <c r="U355" t="s">
        <v>168</v>
      </c>
      <c r="V355" t="s">
        <v>169</v>
      </c>
      <c r="W355" t="s">
        <v>389</v>
      </c>
      <c r="X355" t="s">
        <v>390</v>
      </c>
      <c r="Y355" t="s">
        <v>104</v>
      </c>
    </row>
    <row r="356" spans="1:25">
      <c r="A356">
        <v>10181</v>
      </c>
      <c r="B356">
        <v>20</v>
      </c>
      <c r="C356">
        <v>81.400000000000006</v>
      </c>
      <c r="D356">
        <v>15</v>
      </c>
      <c r="E356">
        <v>1628</v>
      </c>
      <c r="F356" s="4">
        <v>37966</v>
      </c>
      <c r="G356" t="s">
        <v>93</v>
      </c>
      <c r="H356">
        <v>4</v>
      </c>
      <c r="I356">
        <v>11</v>
      </c>
      <c r="J356">
        <v>2003</v>
      </c>
      <c r="K356" t="s">
        <v>265</v>
      </c>
      <c r="L356">
        <v>79</v>
      </c>
      <c r="M356" t="s">
        <v>659</v>
      </c>
      <c r="N356" t="s">
        <v>144</v>
      </c>
      <c r="O356" t="s">
        <v>145</v>
      </c>
      <c r="P356" t="s">
        <v>146</v>
      </c>
      <c r="R356" t="s">
        <v>147</v>
      </c>
      <c r="T356" t="s">
        <v>148</v>
      </c>
      <c r="U356" t="s">
        <v>149</v>
      </c>
      <c r="V356" t="s">
        <v>110</v>
      </c>
      <c r="W356" t="s">
        <v>150</v>
      </c>
      <c r="X356" t="s">
        <v>151</v>
      </c>
      <c r="Y356" t="s">
        <v>104</v>
      </c>
    </row>
    <row r="357" spans="1:25">
      <c r="A357">
        <v>10191</v>
      </c>
      <c r="B357">
        <v>30</v>
      </c>
      <c r="C357">
        <v>64.64</v>
      </c>
      <c r="D357">
        <v>4</v>
      </c>
      <c r="E357">
        <v>1939.2</v>
      </c>
      <c r="F357" t="s">
        <v>561</v>
      </c>
      <c r="G357" t="s">
        <v>93</v>
      </c>
      <c r="H357">
        <v>4</v>
      </c>
      <c r="I357">
        <v>11</v>
      </c>
      <c r="J357">
        <v>2003</v>
      </c>
      <c r="K357" t="s">
        <v>265</v>
      </c>
      <c r="L357">
        <v>79</v>
      </c>
      <c r="M357" t="s">
        <v>659</v>
      </c>
      <c r="N357" t="s">
        <v>562</v>
      </c>
      <c r="O357" t="s">
        <v>563</v>
      </c>
      <c r="P357" t="s">
        <v>564</v>
      </c>
      <c r="R357" t="s">
        <v>565</v>
      </c>
      <c r="T357">
        <v>50739</v>
      </c>
      <c r="U357" t="s">
        <v>566</v>
      </c>
      <c r="V357" t="s">
        <v>110</v>
      </c>
      <c r="W357" t="s">
        <v>567</v>
      </c>
      <c r="X357" t="s">
        <v>568</v>
      </c>
      <c r="Y357" t="s">
        <v>104</v>
      </c>
    </row>
    <row r="358" spans="1:25">
      <c r="A358">
        <v>10203</v>
      </c>
      <c r="B358">
        <v>44</v>
      </c>
      <c r="C358">
        <v>82.99</v>
      </c>
      <c r="D358">
        <v>9</v>
      </c>
      <c r="E358">
        <v>3651.56</v>
      </c>
      <c r="F358" s="4">
        <v>37664</v>
      </c>
      <c r="G358" t="s">
        <v>93</v>
      </c>
      <c r="H358">
        <v>4</v>
      </c>
      <c r="I358">
        <v>12</v>
      </c>
      <c r="J358">
        <v>2003</v>
      </c>
      <c r="K358" t="s">
        <v>265</v>
      </c>
      <c r="L358">
        <v>79</v>
      </c>
      <c r="M358" t="s">
        <v>659</v>
      </c>
      <c r="N358" t="s">
        <v>257</v>
      </c>
      <c r="O358" t="s">
        <v>258</v>
      </c>
      <c r="P358" t="s">
        <v>259</v>
      </c>
      <c r="R358" t="s">
        <v>260</v>
      </c>
      <c r="T358">
        <v>28034</v>
      </c>
      <c r="U358" t="s">
        <v>261</v>
      </c>
      <c r="V358" t="s">
        <v>110</v>
      </c>
      <c r="W358" t="s">
        <v>262</v>
      </c>
      <c r="X358" t="s">
        <v>263</v>
      </c>
      <c r="Y358" t="s">
        <v>119</v>
      </c>
    </row>
    <row r="359" spans="1:25">
      <c r="A359">
        <v>10211</v>
      </c>
      <c r="B359">
        <v>28</v>
      </c>
      <c r="C359">
        <v>92.57</v>
      </c>
      <c r="D359">
        <v>3</v>
      </c>
      <c r="E359">
        <v>2591.96</v>
      </c>
      <c r="F359" t="s">
        <v>155</v>
      </c>
      <c r="G359" t="s">
        <v>93</v>
      </c>
      <c r="H359">
        <v>1</v>
      </c>
      <c r="I359">
        <v>1</v>
      </c>
      <c r="J359">
        <v>2004</v>
      </c>
      <c r="K359" t="s">
        <v>265</v>
      </c>
      <c r="L359">
        <v>79</v>
      </c>
      <c r="M359" t="s">
        <v>659</v>
      </c>
      <c r="N359" t="s">
        <v>156</v>
      </c>
      <c r="O359" t="s">
        <v>157</v>
      </c>
      <c r="P359" t="s">
        <v>158</v>
      </c>
      <c r="R359" t="s">
        <v>116</v>
      </c>
      <c r="T359">
        <v>75016</v>
      </c>
      <c r="U359" t="s">
        <v>109</v>
      </c>
      <c r="V359" t="s">
        <v>110</v>
      </c>
      <c r="W359" t="s">
        <v>159</v>
      </c>
      <c r="X359" t="s">
        <v>160</v>
      </c>
      <c r="Y359" t="s">
        <v>104</v>
      </c>
    </row>
    <row r="360" spans="1:25">
      <c r="A360">
        <v>10225</v>
      </c>
      <c r="B360">
        <v>37</v>
      </c>
      <c r="C360">
        <v>77.41</v>
      </c>
      <c r="D360">
        <v>10</v>
      </c>
      <c r="E360">
        <v>2864.17</v>
      </c>
      <c r="F360" t="s">
        <v>569</v>
      </c>
      <c r="G360" t="s">
        <v>93</v>
      </c>
      <c r="H360">
        <v>1</v>
      </c>
      <c r="I360">
        <v>2</v>
      </c>
      <c r="J360">
        <v>2004</v>
      </c>
      <c r="K360" t="s">
        <v>265</v>
      </c>
      <c r="L360">
        <v>79</v>
      </c>
      <c r="M360" t="s">
        <v>659</v>
      </c>
      <c r="N360" t="s">
        <v>570</v>
      </c>
      <c r="O360" t="s">
        <v>571</v>
      </c>
      <c r="P360" t="s">
        <v>572</v>
      </c>
      <c r="R360" t="s">
        <v>573</v>
      </c>
      <c r="T360">
        <v>1203</v>
      </c>
      <c r="U360" t="s">
        <v>574</v>
      </c>
      <c r="V360" t="s">
        <v>110</v>
      </c>
      <c r="W360" t="s">
        <v>575</v>
      </c>
      <c r="X360" t="s">
        <v>176</v>
      </c>
      <c r="Y360" t="s">
        <v>104</v>
      </c>
    </row>
    <row r="361" spans="1:25">
      <c r="A361">
        <v>10238</v>
      </c>
      <c r="B361">
        <v>20</v>
      </c>
      <c r="C361">
        <v>74.209999999999994</v>
      </c>
      <c r="D361">
        <v>4</v>
      </c>
      <c r="E361">
        <v>1484.2</v>
      </c>
      <c r="F361" s="4">
        <v>38234</v>
      </c>
      <c r="G361" t="s">
        <v>93</v>
      </c>
      <c r="H361">
        <v>2</v>
      </c>
      <c r="I361">
        <v>4</v>
      </c>
      <c r="J361">
        <v>2004</v>
      </c>
      <c r="K361" t="s">
        <v>265</v>
      </c>
      <c r="L361">
        <v>79</v>
      </c>
      <c r="M361" t="s">
        <v>659</v>
      </c>
      <c r="N361" t="s">
        <v>425</v>
      </c>
      <c r="O361" t="s">
        <v>426</v>
      </c>
      <c r="P361" t="s">
        <v>427</v>
      </c>
      <c r="R361" t="s">
        <v>428</v>
      </c>
      <c r="T361">
        <v>1734</v>
      </c>
      <c r="U361" t="s">
        <v>429</v>
      </c>
      <c r="V361" t="s">
        <v>110</v>
      </c>
      <c r="W361" t="s">
        <v>430</v>
      </c>
      <c r="X361" t="s">
        <v>431</v>
      </c>
      <c r="Y361" t="s">
        <v>104</v>
      </c>
    </row>
    <row r="362" spans="1:25">
      <c r="A362">
        <v>10253</v>
      </c>
      <c r="B362">
        <v>25</v>
      </c>
      <c r="C362">
        <v>90.17</v>
      </c>
      <c r="D362">
        <v>14</v>
      </c>
      <c r="E362">
        <v>2254.25</v>
      </c>
      <c r="F362" s="4">
        <v>37992</v>
      </c>
      <c r="G362" t="s">
        <v>444</v>
      </c>
      <c r="H362">
        <v>2</v>
      </c>
      <c r="I362">
        <v>6</v>
      </c>
      <c r="J362">
        <v>2004</v>
      </c>
      <c r="K362" t="s">
        <v>265</v>
      </c>
      <c r="L362">
        <v>79</v>
      </c>
      <c r="M362" t="s">
        <v>659</v>
      </c>
      <c r="N362" t="s">
        <v>247</v>
      </c>
      <c r="O362" t="s">
        <v>248</v>
      </c>
      <c r="P362" t="s">
        <v>249</v>
      </c>
      <c r="R362" t="s">
        <v>250</v>
      </c>
      <c r="T362" t="s">
        <v>251</v>
      </c>
      <c r="U362" t="s">
        <v>252</v>
      </c>
      <c r="V362" t="s">
        <v>110</v>
      </c>
      <c r="W362" t="s">
        <v>253</v>
      </c>
      <c r="X362" t="s">
        <v>254</v>
      </c>
      <c r="Y362" t="s">
        <v>104</v>
      </c>
    </row>
    <row r="363" spans="1:25">
      <c r="A363">
        <v>10266</v>
      </c>
      <c r="B363">
        <v>35</v>
      </c>
      <c r="C363">
        <v>76.61</v>
      </c>
      <c r="D363">
        <v>15</v>
      </c>
      <c r="E363">
        <v>2681.35</v>
      </c>
      <c r="F363" s="4">
        <v>38145</v>
      </c>
      <c r="G363" t="s">
        <v>93</v>
      </c>
      <c r="H363">
        <v>3</v>
      </c>
      <c r="I363">
        <v>7</v>
      </c>
      <c r="J363">
        <v>2004</v>
      </c>
      <c r="K363" t="s">
        <v>265</v>
      </c>
      <c r="L363">
        <v>79</v>
      </c>
      <c r="M363" t="s">
        <v>659</v>
      </c>
      <c r="N363" t="s">
        <v>576</v>
      </c>
      <c r="O363" t="s">
        <v>577</v>
      </c>
      <c r="P363" t="s">
        <v>578</v>
      </c>
      <c r="R363" t="s">
        <v>579</v>
      </c>
      <c r="T363">
        <v>42100</v>
      </c>
      <c r="U363" t="s">
        <v>352</v>
      </c>
      <c r="V363" t="s">
        <v>110</v>
      </c>
      <c r="W363" t="s">
        <v>580</v>
      </c>
      <c r="X363" t="s">
        <v>581</v>
      </c>
      <c r="Y363" t="s">
        <v>104</v>
      </c>
    </row>
    <row r="364" spans="1:25">
      <c r="A364">
        <v>10276</v>
      </c>
      <c r="B364">
        <v>38</v>
      </c>
      <c r="C364">
        <v>83.79</v>
      </c>
      <c r="D364">
        <v>4</v>
      </c>
      <c r="E364">
        <v>3184.02</v>
      </c>
      <c r="F364" s="4">
        <v>38025</v>
      </c>
      <c r="G364" t="s">
        <v>93</v>
      </c>
      <c r="H364">
        <v>3</v>
      </c>
      <c r="I364">
        <v>8</v>
      </c>
      <c r="J364">
        <v>2004</v>
      </c>
      <c r="K364" t="s">
        <v>265</v>
      </c>
      <c r="L364">
        <v>79</v>
      </c>
      <c r="M364" t="s">
        <v>659</v>
      </c>
      <c r="N364" t="s">
        <v>582</v>
      </c>
      <c r="O364">
        <v>6175557555</v>
      </c>
      <c r="P364" t="s">
        <v>583</v>
      </c>
      <c r="R364" t="s">
        <v>381</v>
      </c>
      <c r="S364" t="s">
        <v>200</v>
      </c>
      <c r="T364">
        <v>58339</v>
      </c>
      <c r="U364" t="s">
        <v>100</v>
      </c>
      <c r="V364" t="s">
        <v>101</v>
      </c>
      <c r="W364" t="s">
        <v>584</v>
      </c>
      <c r="X364" t="s">
        <v>585</v>
      </c>
      <c r="Y364" t="s">
        <v>119</v>
      </c>
    </row>
    <row r="365" spans="1:25">
      <c r="A365">
        <v>10287</v>
      </c>
      <c r="B365">
        <v>41</v>
      </c>
      <c r="C365">
        <v>69.430000000000007</v>
      </c>
      <c r="D365">
        <v>13</v>
      </c>
      <c r="E365">
        <v>2846.63</v>
      </c>
      <c r="F365" t="s">
        <v>586</v>
      </c>
      <c r="G365" t="s">
        <v>93</v>
      </c>
      <c r="H365">
        <v>3</v>
      </c>
      <c r="I365">
        <v>8</v>
      </c>
      <c r="J365">
        <v>2004</v>
      </c>
      <c r="K365" t="s">
        <v>265</v>
      </c>
      <c r="L365">
        <v>79</v>
      </c>
      <c r="M365" t="s">
        <v>659</v>
      </c>
      <c r="N365" t="s">
        <v>570</v>
      </c>
      <c r="O365" t="s">
        <v>571</v>
      </c>
      <c r="P365" t="s">
        <v>572</v>
      </c>
      <c r="R365" t="s">
        <v>573</v>
      </c>
      <c r="T365">
        <v>1203</v>
      </c>
      <c r="U365" t="s">
        <v>574</v>
      </c>
      <c r="V365" t="s">
        <v>110</v>
      </c>
      <c r="W365" t="s">
        <v>575</v>
      </c>
      <c r="X365" t="s">
        <v>176</v>
      </c>
      <c r="Y365" t="s">
        <v>104</v>
      </c>
    </row>
    <row r="366" spans="1:25">
      <c r="A366">
        <v>10300</v>
      </c>
      <c r="B366">
        <v>22</v>
      </c>
      <c r="C366">
        <v>76.61</v>
      </c>
      <c r="D366">
        <v>6</v>
      </c>
      <c r="E366">
        <v>1685.42</v>
      </c>
      <c r="F366" s="4">
        <v>37721</v>
      </c>
      <c r="G366" t="s">
        <v>93</v>
      </c>
      <c r="H366">
        <v>4</v>
      </c>
      <c r="I366">
        <v>10</v>
      </c>
      <c r="J366">
        <v>2003</v>
      </c>
      <c r="K366" t="s">
        <v>265</v>
      </c>
      <c r="L366">
        <v>79</v>
      </c>
      <c r="M366" t="s">
        <v>659</v>
      </c>
      <c r="N366" t="s">
        <v>587</v>
      </c>
      <c r="O366" t="s">
        <v>588</v>
      </c>
      <c r="P366" t="s">
        <v>589</v>
      </c>
      <c r="R366" t="s">
        <v>590</v>
      </c>
      <c r="T366">
        <v>60528</v>
      </c>
      <c r="U366" t="s">
        <v>566</v>
      </c>
      <c r="V366" t="s">
        <v>110</v>
      </c>
      <c r="W366" t="s">
        <v>591</v>
      </c>
      <c r="X366" t="s">
        <v>532</v>
      </c>
      <c r="Y366" t="s">
        <v>104</v>
      </c>
    </row>
    <row r="367" spans="1:25">
      <c r="A367">
        <v>10310</v>
      </c>
      <c r="B367">
        <v>49</v>
      </c>
      <c r="C367">
        <v>81.400000000000006</v>
      </c>
      <c r="D367">
        <v>11</v>
      </c>
      <c r="E367">
        <v>3988.6</v>
      </c>
      <c r="F367" t="s">
        <v>592</v>
      </c>
      <c r="G367" t="s">
        <v>93</v>
      </c>
      <c r="H367">
        <v>4</v>
      </c>
      <c r="I367">
        <v>10</v>
      </c>
      <c r="J367">
        <v>2004</v>
      </c>
      <c r="K367" t="s">
        <v>265</v>
      </c>
      <c r="L367">
        <v>79</v>
      </c>
      <c r="M367" t="s">
        <v>659</v>
      </c>
      <c r="N367" t="s">
        <v>562</v>
      </c>
      <c r="O367" t="s">
        <v>563</v>
      </c>
      <c r="P367" t="s">
        <v>564</v>
      </c>
      <c r="R367" t="s">
        <v>565</v>
      </c>
      <c r="T367">
        <v>50739</v>
      </c>
      <c r="U367" t="s">
        <v>566</v>
      </c>
      <c r="V367" t="s">
        <v>110</v>
      </c>
      <c r="W367" t="s">
        <v>567</v>
      </c>
      <c r="X367" t="s">
        <v>568</v>
      </c>
      <c r="Y367" t="s">
        <v>119</v>
      </c>
    </row>
    <row r="368" spans="1:25">
      <c r="A368">
        <v>10320</v>
      </c>
      <c r="B368">
        <v>38</v>
      </c>
      <c r="C368">
        <v>73.42</v>
      </c>
      <c r="D368">
        <v>4</v>
      </c>
      <c r="E368">
        <v>2789.96</v>
      </c>
      <c r="F368" s="4">
        <v>38057</v>
      </c>
      <c r="G368" t="s">
        <v>93</v>
      </c>
      <c r="H368">
        <v>4</v>
      </c>
      <c r="I368">
        <v>11</v>
      </c>
      <c r="J368">
        <v>2004</v>
      </c>
      <c r="K368" t="s">
        <v>265</v>
      </c>
      <c r="L368">
        <v>79</v>
      </c>
      <c r="M368" t="s">
        <v>659</v>
      </c>
      <c r="N368" t="s">
        <v>268</v>
      </c>
      <c r="O368" t="s">
        <v>269</v>
      </c>
      <c r="P368" t="s">
        <v>270</v>
      </c>
      <c r="R368" t="s">
        <v>271</v>
      </c>
      <c r="T368" t="s">
        <v>272</v>
      </c>
      <c r="U368" t="s">
        <v>273</v>
      </c>
      <c r="V368" t="s">
        <v>110</v>
      </c>
      <c r="W368" t="s">
        <v>274</v>
      </c>
      <c r="X368" t="s">
        <v>275</v>
      </c>
      <c r="Y368" t="s">
        <v>104</v>
      </c>
    </row>
    <row r="369" spans="1:25">
      <c r="A369">
        <v>10329</v>
      </c>
      <c r="B369">
        <v>33</v>
      </c>
      <c r="C369">
        <v>100</v>
      </c>
      <c r="D369">
        <v>14</v>
      </c>
      <c r="E369">
        <v>3607.56</v>
      </c>
      <c r="F369" t="s">
        <v>223</v>
      </c>
      <c r="G369" t="s">
        <v>93</v>
      </c>
      <c r="H369">
        <v>4</v>
      </c>
      <c r="I369">
        <v>11</v>
      </c>
      <c r="J369">
        <v>2004</v>
      </c>
      <c r="K369" t="s">
        <v>265</v>
      </c>
      <c r="L369">
        <v>79</v>
      </c>
      <c r="M369" t="s">
        <v>659</v>
      </c>
      <c r="N369" t="s">
        <v>96</v>
      </c>
      <c r="O369">
        <v>2125557818</v>
      </c>
      <c r="P369" t="s">
        <v>97</v>
      </c>
      <c r="R369" t="s">
        <v>98</v>
      </c>
      <c r="S369" t="s">
        <v>99</v>
      </c>
      <c r="T369">
        <v>10022</v>
      </c>
      <c r="U369" t="s">
        <v>100</v>
      </c>
      <c r="V369" t="s">
        <v>101</v>
      </c>
      <c r="W369" t="s">
        <v>102</v>
      </c>
      <c r="X369" t="s">
        <v>103</v>
      </c>
      <c r="Y369" t="s">
        <v>119</v>
      </c>
    </row>
    <row r="370" spans="1:25">
      <c r="A370">
        <v>10341</v>
      </c>
      <c r="B370">
        <v>36</v>
      </c>
      <c r="C370">
        <v>93.56</v>
      </c>
      <c r="D370">
        <v>10</v>
      </c>
      <c r="E370">
        <v>3368.16</v>
      </c>
      <c r="F370" t="s">
        <v>224</v>
      </c>
      <c r="G370" t="s">
        <v>93</v>
      </c>
      <c r="H370">
        <v>4</v>
      </c>
      <c r="I370">
        <v>11</v>
      </c>
      <c r="J370">
        <v>2004</v>
      </c>
      <c r="K370" t="s">
        <v>265</v>
      </c>
      <c r="L370">
        <v>79</v>
      </c>
      <c r="M370" t="s">
        <v>659</v>
      </c>
      <c r="N370" t="s">
        <v>225</v>
      </c>
      <c r="O370" t="s">
        <v>226</v>
      </c>
      <c r="P370" t="s">
        <v>227</v>
      </c>
      <c r="R370" t="s">
        <v>228</v>
      </c>
      <c r="T370">
        <v>5020</v>
      </c>
      <c r="U370" t="s">
        <v>229</v>
      </c>
      <c r="V370" t="s">
        <v>110</v>
      </c>
      <c r="W370" t="s">
        <v>230</v>
      </c>
      <c r="X370" t="s">
        <v>231</v>
      </c>
      <c r="Y370" t="s">
        <v>119</v>
      </c>
    </row>
    <row r="371" spans="1:25">
      <c r="A371">
        <v>10363</v>
      </c>
      <c r="B371">
        <v>34</v>
      </c>
      <c r="C371">
        <v>81.62</v>
      </c>
      <c r="D371">
        <v>5</v>
      </c>
      <c r="E371">
        <v>2775.08</v>
      </c>
      <c r="F371" s="4">
        <v>38504</v>
      </c>
      <c r="G371" t="s">
        <v>93</v>
      </c>
      <c r="H371">
        <v>1</v>
      </c>
      <c r="I371">
        <v>1</v>
      </c>
      <c r="J371">
        <v>2005</v>
      </c>
      <c r="K371" t="s">
        <v>265</v>
      </c>
      <c r="L371">
        <v>79</v>
      </c>
      <c r="M371" t="s">
        <v>659</v>
      </c>
      <c r="N371" t="s">
        <v>593</v>
      </c>
      <c r="O371" t="s">
        <v>594</v>
      </c>
      <c r="P371" t="s">
        <v>595</v>
      </c>
      <c r="R371" t="s">
        <v>596</v>
      </c>
      <c r="T371" t="s">
        <v>597</v>
      </c>
      <c r="U371" t="s">
        <v>208</v>
      </c>
      <c r="V371" t="s">
        <v>110</v>
      </c>
      <c r="W371" t="s">
        <v>598</v>
      </c>
      <c r="X371" t="s">
        <v>599</v>
      </c>
      <c r="Y371" t="s">
        <v>104</v>
      </c>
    </row>
    <row r="372" spans="1:25">
      <c r="A372">
        <v>10377</v>
      </c>
      <c r="B372">
        <v>24</v>
      </c>
      <c r="C372">
        <v>67.83</v>
      </c>
      <c r="D372">
        <v>5</v>
      </c>
      <c r="E372">
        <v>1627.92</v>
      </c>
      <c r="F372" s="4">
        <v>38597</v>
      </c>
      <c r="G372" t="s">
        <v>93</v>
      </c>
      <c r="H372">
        <v>1</v>
      </c>
      <c r="I372">
        <v>2</v>
      </c>
      <c r="J372">
        <v>2005</v>
      </c>
      <c r="K372" t="s">
        <v>265</v>
      </c>
      <c r="L372">
        <v>79</v>
      </c>
      <c r="M372" t="s">
        <v>659</v>
      </c>
      <c r="N372" t="s">
        <v>204</v>
      </c>
      <c r="O372" t="s">
        <v>205</v>
      </c>
      <c r="P372" t="s">
        <v>206</v>
      </c>
      <c r="R372" t="s">
        <v>207</v>
      </c>
      <c r="T372">
        <v>21240</v>
      </c>
      <c r="U372" t="s">
        <v>208</v>
      </c>
      <c r="V372" t="s">
        <v>110</v>
      </c>
      <c r="W372" t="s">
        <v>209</v>
      </c>
      <c r="X372" t="s">
        <v>210</v>
      </c>
      <c r="Y372" t="s">
        <v>104</v>
      </c>
    </row>
    <row r="373" spans="1:25">
      <c r="A373">
        <v>10389</v>
      </c>
      <c r="B373">
        <v>36</v>
      </c>
      <c r="C373">
        <v>70.260000000000005</v>
      </c>
      <c r="D373">
        <v>7</v>
      </c>
      <c r="E373">
        <v>2529.36</v>
      </c>
      <c r="F373" s="4">
        <v>38414</v>
      </c>
      <c r="G373" t="s">
        <v>93</v>
      </c>
      <c r="H373">
        <v>1</v>
      </c>
      <c r="I373">
        <v>3</v>
      </c>
      <c r="J373">
        <v>2005</v>
      </c>
      <c r="K373" t="s">
        <v>265</v>
      </c>
      <c r="L373">
        <v>79</v>
      </c>
      <c r="M373" t="s">
        <v>659</v>
      </c>
      <c r="N373" t="s">
        <v>355</v>
      </c>
      <c r="O373" t="s">
        <v>356</v>
      </c>
      <c r="P373" t="s">
        <v>357</v>
      </c>
      <c r="R373" t="s">
        <v>358</v>
      </c>
      <c r="T373" t="s">
        <v>359</v>
      </c>
      <c r="U373" t="s">
        <v>273</v>
      </c>
      <c r="V373" t="s">
        <v>110</v>
      </c>
      <c r="W373" t="s">
        <v>360</v>
      </c>
      <c r="X373" t="s">
        <v>295</v>
      </c>
      <c r="Y373" t="s">
        <v>104</v>
      </c>
    </row>
    <row r="374" spans="1:25">
      <c r="A374">
        <v>10419</v>
      </c>
      <c r="B374">
        <v>34</v>
      </c>
      <c r="C374">
        <v>90.17</v>
      </c>
      <c r="D374">
        <v>14</v>
      </c>
      <c r="E374">
        <v>3065.78</v>
      </c>
      <c r="F374" t="s">
        <v>600</v>
      </c>
      <c r="G374" t="s">
        <v>93</v>
      </c>
      <c r="H374">
        <v>2</v>
      </c>
      <c r="I374">
        <v>5</v>
      </c>
      <c r="J374">
        <v>2005</v>
      </c>
      <c r="K374" t="s">
        <v>265</v>
      </c>
      <c r="L374">
        <v>79</v>
      </c>
      <c r="M374" t="s">
        <v>659</v>
      </c>
      <c r="N374" t="s">
        <v>225</v>
      </c>
      <c r="O374" t="s">
        <v>226</v>
      </c>
      <c r="P374" t="s">
        <v>227</v>
      </c>
      <c r="R374" t="s">
        <v>228</v>
      </c>
      <c r="T374">
        <v>5020</v>
      </c>
      <c r="U374" t="s">
        <v>229</v>
      </c>
      <c r="V374" t="s">
        <v>110</v>
      </c>
      <c r="W374" t="s">
        <v>230</v>
      </c>
      <c r="X374" t="s">
        <v>231</v>
      </c>
      <c r="Y374" t="s">
        <v>119</v>
      </c>
    </row>
    <row r="375" spans="1:25">
      <c r="A375">
        <v>10104</v>
      </c>
      <c r="B375">
        <v>41</v>
      </c>
      <c r="C375">
        <v>100</v>
      </c>
      <c r="D375">
        <v>9</v>
      </c>
      <c r="E375">
        <v>4615.78</v>
      </c>
      <c r="F375" t="s">
        <v>648</v>
      </c>
      <c r="G375" t="s">
        <v>93</v>
      </c>
      <c r="H375">
        <v>1</v>
      </c>
      <c r="I375">
        <v>1</v>
      </c>
      <c r="J375">
        <v>2003</v>
      </c>
      <c r="K375" t="s">
        <v>638</v>
      </c>
      <c r="L375">
        <v>118</v>
      </c>
      <c r="M375" t="s">
        <v>660</v>
      </c>
      <c r="N375" t="s">
        <v>257</v>
      </c>
      <c r="O375" t="s">
        <v>258</v>
      </c>
      <c r="P375" t="s">
        <v>259</v>
      </c>
      <c r="R375" t="s">
        <v>260</v>
      </c>
      <c r="T375">
        <v>28034</v>
      </c>
      <c r="U375" t="s">
        <v>261</v>
      </c>
      <c r="V375" t="s">
        <v>110</v>
      </c>
      <c r="W375" t="s">
        <v>262</v>
      </c>
      <c r="X375" t="s">
        <v>263</v>
      </c>
      <c r="Y375" t="s">
        <v>119</v>
      </c>
    </row>
    <row r="376" spans="1:25">
      <c r="A376">
        <v>10115</v>
      </c>
      <c r="B376">
        <v>46</v>
      </c>
      <c r="C376">
        <v>100</v>
      </c>
      <c r="D376">
        <v>5</v>
      </c>
      <c r="E376">
        <v>5723.78</v>
      </c>
      <c r="F376" s="4">
        <v>37715</v>
      </c>
      <c r="G376" t="s">
        <v>93</v>
      </c>
      <c r="H376">
        <v>2</v>
      </c>
      <c r="I376">
        <v>4</v>
      </c>
      <c r="J376">
        <v>2003</v>
      </c>
      <c r="K376" t="s">
        <v>638</v>
      </c>
      <c r="L376">
        <v>118</v>
      </c>
      <c r="M376" t="s">
        <v>660</v>
      </c>
      <c r="N376" t="s">
        <v>292</v>
      </c>
      <c r="O376">
        <v>2125558493</v>
      </c>
      <c r="P376" t="s">
        <v>293</v>
      </c>
      <c r="Q376" t="s">
        <v>294</v>
      </c>
      <c r="R376" t="s">
        <v>98</v>
      </c>
      <c r="S376" t="s">
        <v>99</v>
      </c>
      <c r="T376">
        <v>10022</v>
      </c>
      <c r="U376" t="s">
        <v>100</v>
      </c>
      <c r="V376" t="s">
        <v>101</v>
      </c>
      <c r="W376" t="s">
        <v>201</v>
      </c>
      <c r="X376" t="s">
        <v>295</v>
      </c>
      <c r="Y376" t="s">
        <v>119</v>
      </c>
    </row>
    <row r="377" spans="1:25">
      <c r="A377">
        <v>10127</v>
      </c>
      <c r="B377">
        <v>24</v>
      </c>
      <c r="C377">
        <v>100</v>
      </c>
      <c r="D377">
        <v>11</v>
      </c>
      <c r="E377">
        <v>2559.6</v>
      </c>
      <c r="F377" s="4">
        <v>37686</v>
      </c>
      <c r="G377" t="s">
        <v>93</v>
      </c>
      <c r="H377">
        <v>2</v>
      </c>
      <c r="I377">
        <v>6</v>
      </c>
      <c r="J377">
        <v>2003</v>
      </c>
      <c r="K377" t="s">
        <v>638</v>
      </c>
      <c r="L377">
        <v>118</v>
      </c>
      <c r="M377" t="s">
        <v>660</v>
      </c>
      <c r="N377" t="s">
        <v>603</v>
      </c>
      <c r="O377">
        <v>2125557413</v>
      </c>
      <c r="P377" t="s">
        <v>604</v>
      </c>
      <c r="Q377" t="s">
        <v>605</v>
      </c>
      <c r="R377" t="s">
        <v>98</v>
      </c>
      <c r="S377" t="s">
        <v>99</v>
      </c>
      <c r="T377">
        <v>10022</v>
      </c>
      <c r="U377" t="s">
        <v>100</v>
      </c>
      <c r="V377" t="s">
        <v>101</v>
      </c>
      <c r="W377" t="s">
        <v>125</v>
      </c>
      <c r="X377" t="s">
        <v>606</v>
      </c>
      <c r="Y377" t="s">
        <v>104</v>
      </c>
    </row>
    <row r="378" spans="1:25">
      <c r="A378">
        <v>10141</v>
      </c>
      <c r="B378">
        <v>21</v>
      </c>
      <c r="C378">
        <v>100</v>
      </c>
      <c r="D378">
        <v>5</v>
      </c>
      <c r="E378">
        <v>2140.11</v>
      </c>
      <c r="F378" s="4">
        <v>37629</v>
      </c>
      <c r="G378" t="s">
        <v>93</v>
      </c>
      <c r="H378">
        <v>3</v>
      </c>
      <c r="I378">
        <v>8</v>
      </c>
      <c r="J378">
        <v>2003</v>
      </c>
      <c r="K378" t="s">
        <v>638</v>
      </c>
      <c r="L378">
        <v>118</v>
      </c>
      <c r="M378" t="s">
        <v>660</v>
      </c>
      <c r="N378" t="s">
        <v>593</v>
      </c>
      <c r="O378" t="s">
        <v>594</v>
      </c>
      <c r="P378" t="s">
        <v>595</v>
      </c>
      <c r="R378" t="s">
        <v>596</v>
      </c>
      <c r="T378" t="s">
        <v>597</v>
      </c>
      <c r="U378" t="s">
        <v>208</v>
      </c>
      <c r="V378" t="s">
        <v>110</v>
      </c>
      <c r="W378" t="s">
        <v>598</v>
      </c>
      <c r="X378" t="s">
        <v>599</v>
      </c>
      <c r="Y378" t="s">
        <v>104</v>
      </c>
    </row>
    <row r="379" spans="1:25">
      <c r="A379">
        <v>10151</v>
      </c>
      <c r="B379">
        <v>24</v>
      </c>
      <c r="C379">
        <v>100</v>
      </c>
      <c r="D379">
        <v>3</v>
      </c>
      <c r="E379">
        <v>3327.6</v>
      </c>
      <c r="F379" t="s">
        <v>661</v>
      </c>
      <c r="G379" t="s">
        <v>93</v>
      </c>
      <c r="H379">
        <v>3</v>
      </c>
      <c r="I379">
        <v>9</v>
      </c>
      <c r="J379">
        <v>2003</v>
      </c>
      <c r="K379" t="s">
        <v>638</v>
      </c>
      <c r="L379">
        <v>118</v>
      </c>
      <c r="M379" t="s">
        <v>660</v>
      </c>
      <c r="N379" t="s">
        <v>506</v>
      </c>
      <c r="O379" t="s">
        <v>507</v>
      </c>
      <c r="P379" t="s">
        <v>508</v>
      </c>
      <c r="R379" t="s">
        <v>509</v>
      </c>
      <c r="T379">
        <v>90110</v>
      </c>
      <c r="U379" t="s">
        <v>208</v>
      </c>
      <c r="V379" t="s">
        <v>110</v>
      </c>
      <c r="W379" t="s">
        <v>510</v>
      </c>
      <c r="X379" t="s">
        <v>511</v>
      </c>
      <c r="Y379" t="s">
        <v>119</v>
      </c>
    </row>
    <row r="380" spans="1:25">
      <c r="A380">
        <v>10165</v>
      </c>
      <c r="B380">
        <v>48</v>
      </c>
      <c r="C380">
        <v>100</v>
      </c>
      <c r="D380">
        <v>12</v>
      </c>
      <c r="E380">
        <v>6825.6</v>
      </c>
      <c r="F380" t="s">
        <v>608</v>
      </c>
      <c r="G380" t="s">
        <v>93</v>
      </c>
      <c r="H380">
        <v>4</v>
      </c>
      <c r="I380">
        <v>10</v>
      </c>
      <c r="J380">
        <v>2003</v>
      </c>
      <c r="K380" t="s">
        <v>638</v>
      </c>
      <c r="L380">
        <v>118</v>
      </c>
      <c r="M380" t="s">
        <v>660</v>
      </c>
      <c r="N380" t="s">
        <v>284</v>
      </c>
      <c r="O380" t="s">
        <v>285</v>
      </c>
      <c r="P380" t="s">
        <v>286</v>
      </c>
      <c r="R380" t="s">
        <v>287</v>
      </c>
      <c r="T380">
        <v>79903</v>
      </c>
      <c r="U380" t="s">
        <v>287</v>
      </c>
      <c r="V380" t="s">
        <v>288</v>
      </c>
      <c r="W380" t="s">
        <v>289</v>
      </c>
      <c r="X380" t="s">
        <v>290</v>
      </c>
      <c r="Y380" t="s">
        <v>119</v>
      </c>
    </row>
    <row r="381" spans="1:25">
      <c r="A381">
        <v>10175</v>
      </c>
      <c r="B381">
        <v>26</v>
      </c>
      <c r="C381">
        <v>100</v>
      </c>
      <c r="D381">
        <v>1</v>
      </c>
      <c r="E381">
        <v>3543.28</v>
      </c>
      <c r="F381" s="4">
        <v>37783</v>
      </c>
      <c r="G381" t="s">
        <v>93</v>
      </c>
      <c r="H381">
        <v>4</v>
      </c>
      <c r="I381">
        <v>11</v>
      </c>
      <c r="J381">
        <v>2003</v>
      </c>
      <c r="K381" t="s">
        <v>638</v>
      </c>
      <c r="L381">
        <v>118</v>
      </c>
      <c r="M381" t="s">
        <v>660</v>
      </c>
      <c r="N381" t="s">
        <v>433</v>
      </c>
      <c r="O381" t="s">
        <v>434</v>
      </c>
      <c r="P381" t="s">
        <v>435</v>
      </c>
      <c r="R381" t="s">
        <v>436</v>
      </c>
      <c r="T381" t="s">
        <v>437</v>
      </c>
      <c r="U381" t="s">
        <v>252</v>
      </c>
      <c r="V381" t="s">
        <v>110</v>
      </c>
      <c r="W381" t="s">
        <v>130</v>
      </c>
      <c r="X381" t="s">
        <v>438</v>
      </c>
      <c r="Y381" t="s">
        <v>119</v>
      </c>
    </row>
    <row r="382" spans="1:25">
      <c r="A382">
        <v>10184</v>
      </c>
      <c r="B382">
        <v>37</v>
      </c>
      <c r="C382">
        <v>100</v>
      </c>
      <c r="D382">
        <v>6</v>
      </c>
      <c r="E382">
        <v>4516.22</v>
      </c>
      <c r="F382" t="s">
        <v>451</v>
      </c>
      <c r="G382" t="s">
        <v>93</v>
      </c>
      <c r="H382">
        <v>4</v>
      </c>
      <c r="I382">
        <v>11</v>
      </c>
      <c r="J382">
        <v>2003</v>
      </c>
      <c r="K382" t="s">
        <v>638</v>
      </c>
      <c r="L382">
        <v>118</v>
      </c>
      <c r="M382" t="s">
        <v>660</v>
      </c>
      <c r="N382" t="s">
        <v>662</v>
      </c>
      <c r="O382" t="s">
        <v>663</v>
      </c>
      <c r="P382" t="s">
        <v>664</v>
      </c>
      <c r="R382" t="s">
        <v>665</v>
      </c>
      <c r="T382">
        <v>41101</v>
      </c>
      <c r="U382" t="s">
        <v>261</v>
      </c>
      <c r="V382" t="s">
        <v>110</v>
      </c>
      <c r="W382" t="s">
        <v>666</v>
      </c>
      <c r="X382" t="s">
        <v>667</v>
      </c>
      <c r="Y382" t="s">
        <v>119</v>
      </c>
    </row>
    <row r="383" spans="1:25">
      <c r="A383">
        <v>10195</v>
      </c>
      <c r="B383">
        <v>49</v>
      </c>
      <c r="C383">
        <v>100</v>
      </c>
      <c r="D383">
        <v>6</v>
      </c>
      <c r="E383">
        <v>6445.46</v>
      </c>
      <c r="F383" t="s">
        <v>309</v>
      </c>
      <c r="G383" t="s">
        <v>93</v>
      </c>
      <c r="H383">
        <v>4</v>
      </c>
      <c r="I383">
        <v>11</v>
      </c>
      <c r="J383">
        <v>2003</v>
      </c>
      <c r="K383" t="s">
        <v>638</v>
      </c>
      <c r="L383">
        <v>118</v>
      </c>
      <c r="M383" t="s">
        <v>660</v>
      </c>
      <c r="N383" t="s">
        <v>419</v>
      </c>
      <c r="O383">
        <v>9145554562</v>
      </c>
      <c r="P383" t="s">
        <v>420</v>
      </c>
      <c r="R383" t="s">
        <v>421</v>
      </c>
      <c r="S383" t="s">
        <v>99</v>
      </c>
      <c r="T383">
        <v>24067</v>
      </c>
      <c r="U383" t="s">
        <v>100</v>
      </c>
      <c r="V383" t="s">
        <v>101</v>
      </c>
      <c r="W383" t="s">
        <v>175</v>
      </c>
      <c r="X383" t="s">
        <v>329</v>
      </c>
      <c r="Y383" t="s">
        <v>119</v>
      </c>
    </row>
    <row r="384" spans="1:25">
      <c r="A384">
        <v>10207</v>
      </c>
      <c r="B384">
        <v>34</v>
      </c>
      <c r="C384">
        <v>99.54</v>
      </c>
      <c r="D384">
        <v>7</v>
      </c>
      <c r="E384">
        <v>3384.36</v>
      </c>
      <c r="F384" s="4">
        <v>37876</v>
      </c>
      <c r="G384" t="s">
        <v>93</v>
      </c>
      <c r="H384">
        <v>4</v>
      </c>
      <c r="I384">
        <v>12</v>
      </c>
      <c r="J384">
        <v>2003</v>
      </c>
      <c r="K384" t="s">
        <v>638</v>
      </c>
      <c r="L384">
        <v>118</v>
      </c>
      <c r="M384" t="s">
        <v>660</v>
      </c>
      <c r="N384" t="s">
        <v>533</v>
      </c>
      <c r="O384">
        <v>6175552555</v>
      </c>
      <c r="P384" t="s">
        <v>534</v>
      </c>
      <c r="R384" t="s">
        <v>492</v>
      </c>
      <c r="S384" t="s">
        <v>200</v>
      </c>
      <c r="T384">
        <v>51003</v>
      </c>
      <c r="U384" t="s">
        <v>100</v>
      </c>
      <c r="V384" t="s">
        <v>101</v>
      </c>
      <c r="W384" t="s">
        <v>535</v>
      </c>
      <c r="X384" t="s">
        <v>371</v>
      </c>
      <c r="Y384" t="s">
        <v>119</v>
      </c>
    </row>
    <row r="385" spans="1:25">
      <c r="A385">
        <v>10219</v>
      </c>
      <c r="B385">
        <v>48</v>
      </c>
      <c r="C385">
        <v>100</v>
      </c>
      <c r="D385">
        <v>2</v>
      </c>
      <c r="E385">
        <v>4891.68</v>
      </c>
      <c r="F385" s="4">
        <v>38262</v>
      </c>
      <c r="G385" t="s">
        <v>93</v>
      </c>
      <c r="H385">
        <v>1</v>
      </c>
      <c r="I385">
        <v>2</v>
      </c>
      <c r="J385">
        <v>2004</v>
      </c>
      <c r="K385" t="s">
        <v>638</v>
      </c>
      <c r="L385">
        <v>118</v>
      </c>
      <c r="M385" t="s">
        <v>660</v>
      </c>
      <c r="N385" t="s">
        <v>668</v>
      </c>
      <c r="O385">
        <v>4155554312</v>
      </c>
      <c r="P385" t="s">
        <v>669</v>
      </c>
      <c r="R385" t="s">
        <v>670</v>
      </c>
      <c r="S385" t="s">
        <v>124</v>
      </c>
      <c r="T385">
        <v>94217</v>
      </c>
      <c r="U385" t="s">
        <v>100</v>
      </c>
      <c r="V385" t="s">
        <v>101</v>
      </c>
      <c r="W385" t="s">
        <v>671</v>
      </c>
      <c r="X385" t="s">
        <v>517</v>
      </c>
      <c r="Y385" t="s">
        <v>119</v>
      </c>
    </row>
    <row r="386" spans="1:25">
      <c r="A386">
        <v>10229</v>
      </c>
      <c r="B386">
        <v>36</v>
      </c>
      <c r="C386">
        <v>100</v>
      </c>
      <c r="D386">
        <v>1</v>
      </c>
      <c r="E386">
        <v>4521.96</v>
      </c>
      <c r="F386" s="4">
        <v>38294</v>
      </c>
      <c r="G386" t="s">
        <v>93</v>
      </c>
      <c r="H386">
        <v>1</v>
      </c>
      <c r="I386">
        <v>3</v>
      </c>
      <c r="J386">
        <v>2004</v>
      </c>
      <c r="K386" t="s">
        <v>638</v>
      </c>
      <c r="L386">
        <v>118</v>
      </c>
      <c r="M386" t="s">
        <v>660</v>
      </c>
      <c r="N386" t="s">
        <v>367</v>
      </c>
      <c r="O386">
        <v>4155551450</v>
      </c>
      <c r="P386" t="s">
        <v>368</v>
      </c>
      <c r="R386" t="s">
        <v>369</v>
      </c>
      <c r="S386" t="s">
        <v>124</v>
      </c>
      <c r="T386">
        <v>97562</v>
      </c>
      <c r="U386" t="s">
        <v>100</v>
      </c>
      <c r="V386" t="s">
        <v>101</v>
      </c>
      <c r="W386" t="s">
        <v>370</v>
      </c>
      <c r="X386" t="s">
        <v>371</v>
      </c>
      <c r="Y386" t="s">
        <v>119</v>
      </c>
    </row>
    <row r="387" spans="1:25">
      <c r="A387">
        <v>10246</v>
      </c>
      <c r="B387">
        <v>46</v>
      </c>
      <c r="C387">
        <v>100</v>
      </c>
      <c r="D387">
        <v>5</v>
      </c>
      <c r="E387">
        <v>5069.66</v>
      </c>
      <c r="F387" s="4">
        <v>38112</v>
      </c>
      <c r="G387" t="s">
        <v>93</v>
      </c>
      <c r="H387">
        <v>2</v>
      </c>
      <c r="I387">
        <v>5</v>
      </c>
      <c r="J387">
        <v>2004</v>
      </c>
      <c r="K387" t="s">
        <v>638</v>
      </c>
      <c r="L387">
        <v>118</v>
      </c>
      <c r="M387" t="s">
        <v>660</v>
      </c>
      <c r="N387" t="s">
        <v>257</v>
      </c>
      <c r="O387" t="s">
        <v>258</v>
      </c>
      <c r="P387" t="s">
        <v>259</v>
      </c>
      <c r="R387" t="s">
        <v>260</v>
      </c>
      <c r="T387">
        <v>28034</v>
      </c>
      <c r="U387" t="s">
        <v>261</v>
      </c>
      <c r="V387" t="s">
        <v>110</v>
      </c>
      <c r="W387" t="s">
        <v>262</v>
      </c>
      <c r="X387" t="s">
        <v>263</v>
      </c>
      <c r="Y387" t="s">
        <v>119</v>
      </c>
    </row>
    <row r="388" spans="1:25">
      <c r="A388">
        <v>10259</v>
      </c>
      <c r="B388">
        <v>46</v>
      </c>
      <c r="C388">
        <v>100</v>
      </c>
      <c r="D388">
        <v>4</v>
      </c>
      <c r="E388">
        <v>6541.2</v>
      </c>
      <c r="F388" t="s">
        <v>337</v>
      </c>
      <c r="G388" t="s">
        <v>93</v>
      </c>
      <c r="H388">
        <v>2</v>
      </c>
      <c r="I388">
        <v>6</v>
      </c>
      <c r="J388">
        <v>2004</v>
      </c>
      <c r="K388" t="s">
        <v>638</v>
      </c>
      <c r="L388">
        <v>118</v>
      </c>
      <c r="M388" t="s">
        <v>660</v>
      </c>
      <c r="N388" t="s">
        <v>536</v>
      </c>
      <c r="O388" t="s">
        <v>537</v>
      </c>
      <c r="P388" t="s">
        <v>538</v>
      </c>
      <c r="Q388" t="s">
        <v>539</v>
      </c>
      <c r="R388" t="s">
        <v>287</v>
      </c>
      <c r="T388">
        <v>69045</v>
      </c>
      <c r="U388" t="s">
        <v>287</v>
      </c>
      <c r="V388" t="s">
        <v>169</v>
      </c>
      <c r="W388" t="s">
        <v>540</v>
      </c>
      <c r="X388" t="s">
        <v>541</v>
      </c>
      <c r="Y388" t="s">
        <v>119</v>
      </c>
    </row>
    <row r="389" spans="1:25">
      <c r="A389">
        <v>10271</v>
      </c>
      <c r="B389">
        <v>31</v>
      </c>
      <c r="C389">
        <v>97.17</v>
      </c>
      <c r="D389">
        <v>5</v>
      </c>
      <c r="E389">
        <v>3012.27</v>
      </c>
      <c r="F389" t="s">
        <v>623</v>
      </c>
      <c r="G389" t="s">
        <v>93</v>
      </c>
      <c r="H389">
        <v>3</v>
      </c>
      <c r="I389">
        <v>7</v>
      </c>
      <c r="J389">
        <v>2004</v>
      </c>
      <c r="K389" t="s">
        <v>638</v>
      </c>
      <c r="L389">
        <v>118</v>
      </c>
      <c r="M389" t="s">
        <v>660</v>
      </c>
      <c r="N389" t="s">
        <v>367</v>
      </c>
      <c r="O389">
        <v>4155551450</v>
      </c>
      <c r="P389" t="s">
        <v>368</v>
      </c>
      <c r="R389" t="s">
        <v>369</v>
      </c>
      <c r="S389" t="s">
        <v>124</v>
      </c>
      <c r="T389">
        <v>97562</v>
      </c>
      <c r="U389" t="s">
        <v>100</v>
      </c>
      <c r="V389" t="s">
        <v>101</v>
      </c>
      <c r="W389" t="s">
        <v>370</v>
      </c>
      <c r="X389" t="s">
        <v>371</v>
      </c>
      <c r="Y389" t="s">
        <v>119</v>
      </c>
    </row>
    <row r="390" spans="1:25">
      <c r="A390">
        <v>10281</v>
      </c>
      <c r="B390">
        <v>41</v>
      </c>
      <c r="C390">
        <v>100</v>
      </c>
      <c r="D390">
        <v>1</v>
      </c>
      <c r="E390">
        <v>5247.18</v>
      </c>
      <c r="F390" t="s">
        <v>542</v>
      </c>
      <c r="G390" t="s">
        <v>93</v>
      </c>
      <c r="H390">
        <v>3</v>
      </c>
      <c r="I390">
        <v>8</v>
      </c>
      <c r="J390">
        <v>2004</v>
      </c>
      <c r="K390" t="s">
        <v>638</v>
      </c>
      <c r="L390">
        <v>118</v>
      </c>
      <c r="M390" t="s">
        <v>660</v>
      </c>
      <c r="N390" t="s">
        <v>218</v>
      </c>
      <c r="O390">
        <v>2155551555</v>
      </c>
      <c r="P390" t="s">
        <v>219</v>
      </c>
      <c r="R390" t="s">
        <v>220</v>
      </c>
      <c r="S390" t="s">
        <v>221</v>
      </c>
      <c r="T390">
        <v>70267</v>
      </c>
      <c r="U390" t="s">
        <v>100</v>
      </c>
      <c r="V390" t="s">
        <v>101</v>
      </c>
      <c r="W390" t="s">
        <v>102</v>
      </c>
      <c r="X390" t="s">
        <v>222</v>
      </c>
      <c r="Y390" t="s">
        <v>119</v>
      </c>
    </row>
    <row r="391" spans="1:25">
      <c r="A391">
        <v>10292</v>
      </c>
      <c r="B391">
        <v>21</v>
      </c>
      <c r="C391">
        <v>100</v>
      </c>
      <c r="D391">
        <v>8</v>
      </c>
      <c r="E391">
        <v>2214.87</v>
      </c>
      <c r="F391" s="4">
        <v>38208</v>
      </c>
      <c r="G391" t="s">
        <v>93</v>
      </c>
      <c r="H391">
        <v>3</v>
      </c>
      <c r="I391">
        <v>9</v>
      </c>
      <c r="J391">
        <v>2004</v>
      </c>
      <c r="K391" t="s">
        <v>638</v>
      </c>
      <c r="L391">
        <v>118</v>
      </c>
      <c r="M391" t="s">
        <v>660</v>
      </c>
      <c r="N391" t="s">
        <v>96</v>
      </c>
      <c r="O391">
        <v>2125557818</v>
      </c>
      <c r="P391" t="s">
        <v>97</v>
      </c>
      <c r="R391" t="s">
        <v>98</v>
      </c>
      <c r="S391" t="s">
        <v>99</v>
      </c>
      <c r="T391">
        <v>10022</v>
      </c>
      <c r="U391" t="s">
        <v>100</v>
      </c>
      <c r="V391" t="s">
        <v>101</v>
      </c>
      <c r="W391" t="s">
        <v>102</v>
      </c>
      <c r="X391" t="s">
        <v>103</v>
      </c>
      <c r="Y391" t="s">
        <v>104</v>
      </c>
    </row>
    <row r="392" spans="1:25">
      <c r="A392">
        <v>10305</v>
      </c>
      <c r="B392">
        <v>38</v>
      </c>
      <c r="C392">
        <v>100</v>
      </c>
      <c r="D392">
        <v>5</v>
      </c>
      <c r="E392">
        <v>4773.18</v>
      </c>
      <c r="F392" t="s">
        <v>543</v>
      </c>
      <c r="G392" t="s">
        <v>93</v>
      </c>
      <c r="H392">
        <v>4</v>
      </c>
      <c r="I392">
        <v>10</v>
      </c>
      <c r="J392">
        <v>2004</v>
      </c>
      <c r="K392" t="s">
        <v>638</v>
      </c>
      <c r="L392">
        <v>118</v>
      </c>
      <c r="M392" t="s">
        <v>660</v>
      </c>
      <c r="N392" t="s">
        <v>197</v>
      </c>
      <c r="O392">
        <v>6175558555</v>
      </c>
      <c r="P392" t="s">
        <v>198</v>
      </c>
      <c r="R392" t="s">
        <v>199</v>
      </c>
      <c r="S392" t="s">
        <v>200</v>
      </c>
      <c r="T392">
        <v>51247</v>
      </c>
      <c r="U392" t="s">
        <v>100</v>
      </c>
      <c r="V392" t="s">
        <v>101</v>
      </c>
      <c r="W392" t="s">
        <v>201</v>
      </c>
      <c r="X392" t="s">
        <v>202</v>
      </c>
      <c r="Y392" t="s">
        <v>119</v>
      </c>
    </row>
    <row r="393" spans="1:25">
      <c r="A393">
        <v>10314</v>
      </c>
      <c r="B393">
        <v>45</v>
      </c>
      <c r="C393">
        <v>100</v>
      </c>
      <c r="D393">
        <v>14</v>
      </c>
      <c r="E393">
        <v>6185.7</v>
      </c>
      <c r="F393" t="s">
        <v>544</v>
      </c>
      <c r="G393" t="s">
        <v>93</v>
      </c>
      <c r="H393">
        <v>4</v>
      </c>
      <c r="I393">
        <v>10</v>
      </c>
      <c r="J393">
        <v>2004</v>
      </c>
      <c r="K393" t="s">
        <v>638</v>
      </c>
      <c r="L393">
        <v>118</v>
      </c>
      <c r="M393" t="s">
        <v>660</v>
      </c>
      <c r="N393" t="s">
        <v>630</v>
      </c>
      <c r="O393" t="s">
        <v>631</v>
      </c>
      <c r="P393" t="s">
        <v>632</v>
      </c>
      <c r="R393" t="s">
        <v>633</v>
      </c>
      <c r="T393">
        <v>8200</v>
      </c>
      <c r="U393" t="s">
        <v>429</v>
      </c>
      <c r="V393" t="s">
        <v>110</v>
      </c>
      <c r="W393" t="s">
        <v>634</v>
      </c>
      <c r="X393" t="s">
        <v>635</v>
      </c>
      <c r="Y393" t="s">
        <v>119</v>
      </c>
    </row>
    <row r="394" spans="1:25">
      <c r="A394">
        <v>10324</v>
      </c>
      <c r="B394">
        <v>26</v>
      </c>
      <c r="C394">
        <v>58.38</v>
      </c>
      <c r="D394">
        <v>7</v>
      </c>
      <c r="E394">
        <v>1517.88</v>
      </c>
      <c r="F394" s="4">
        <v>38118</v>
      </c>
      <c r="G394" t="s">
        <v>93</v>
      </c>
      <c r="H394">
        <v>4</v>
      </c>
      <c r="I394">
        <v>11</v>
      </c>
      <c r="J394">
        <v>2004</v>
      </c>
      <c r="K394" t="s">
        <v>638</v>
      </c>
      <c r="L394">
        <v>118</v>
      </c>
      <c r="M394" t="s">
        <v>660</v>
      </c>
      <c r="N394" t="s">
        <v>172</v>
      </c>
      <c r="O394">
        <v>2125551500</v>
      </c>
      <c r="P394" t="s">
        <v>173</v>
      </c>
      <c r="Q394" t="s">
        <v>174</v>
      </c>
      <c r="R394" t="s">
        <v>98</v>
      </c>
      <c r="S394" t="s">
        <v>99</v>
      </c>
      <c r="T394">
        <v>10022</v>
      </c>
      <c r="U394" t="s">
        <v>100</v>
      </c>
      <c r="V394" t="s">
        <v>101</v>
      </c>
      <c r="W394" t="s">
        <v>175</v>
      </c>
      <c r="X394" t="s">
        <v>176</v>
      </c>
      <c r="Y394" t="s">
        <v>104</v>
      </c>
    </row>
    <row r="395" spans="1:25">
      <c r="A395">
        <v>10336</v>
      </c>
      <c r="B395">
        <v>38</v>
      </c>
      <c r="C395">
        <v>100</v>
      </c>
      <c r="D395">
        <v>3</v>
      </c>
      <c r="E395">
        <v>6372.6</v>
      </c>
      <c r="F395" t="s">
        <v>636</v>
      </c>
      <c r="G395" t="s">
        <v>93</v>
      </c>
      <c r="H395">
        <v>4</v>
      </c>
      <c r="I395">
        <v>11</v>
      </c>
      <c r="J395">
        <v>2004</v>
      </c>
      <c r="K395" t="s">
        <v>638</v>
      </c>
      <c r="L395">
        <v>118</v>
      </c>
      <c r="M395" t="s">
        <v>660</v>
      </c>
      <c r="N395" t="s">
        <v>520</v>
      </c>
      <c r="O395" t="s">
        <v>521</v>
      </c>
      <c r="P395" t="s">
        <v>522</v>
      </c>
      <c r="R395" t="s">
        <v>116</v>
      </c>
      <c r="T395">
        <v>75012</v>
      </c>
      <c r="U395" t="s">
        <v>109</v>
      </c>
      <c r="V395" t="s">
        <v>110</v>
      </c>
      <c r="W395" t="s">
        <v>523</v>
      </c>
      <c r="X395" t="s">
        <v>524</v>
      </c>
      <c r="Y395" t="s">
        <v>119</v>
      </c>
    </row>
    <row r="396" spans="1:25">
      <c r="A396">
        <v>10349</v>
      </c>
      <c r="B396">
        <v>48</v>
      </c>
      <c r="C396">
        <v>100</v>
      </c>
      <c r="D396">
        <v>9</v>
      </c>
      <c r="E396">
        <v>5232.96</v>
      </c>
      <c r="F396" s="4">
        <v>37998</v>
      </c>
      <c r="G396" t="s">
        <v>93</v>
      </c>
      <c r="H396">
        <v>4</v>
      </c>
      <c r="I396">
        <v>12</v>
      </c>
      <c r="J396">
        <v>2004</v>
      </c>
      <c r="K396" t="s">
        <v>638</v>
      </c>
      <c r="L396">
        <v>118</v>
      </c>
      <c r="M396" t="s">
        <v>660</v>
      </c>
      <c r="N396" t="s">
        <v>603</v>
      </c>
      <c r="O396">
        <v>2125557413</v>
      </c>
      <c r="P396" t="s">
        <v>604</v>
      </c>
      <c r="Q396" t="s">
        <v>605</v>
      </c>
      <c r="R396" t="s">
        <v>98</v>
      </c>
      <c r="S396" t="s">
        <v>99</v>
      </c>
      <c r="T396">
        <v>10022</v>
      </c>
      <c r="U396" t="s">
        <v>100</v>
      </c>
      <c r="V396" t="s">
        <v>101</v>
      </c>
      <c r="W396" t="s">
        <v>125</v>
      </c>
      <c r="X396" t="s">
        <v>606</v>
      </c>
      <c r="Y396" t="s">
        <v>119</v>
      </c>
    </row>
    <row r="397" spans="1:25">
      <c r="A397">
        <v>10358</v>
      </c>
      <c r="B397">
        <v>42</v>
      </c>
      <c r="C397">
        <v>64.16</v>
      </c>
      <c r="D397">
        <v>9</v>
      </c>
      <c r="E397">
        <v>2694.72</v>
      </c>
      <c r="F397" s="4">
        <v>38272</v>
      </c>
      <c r="G397" t="s">
        <v>93</v>
      </c>
      <c r="H397">
        <v>4</v>
      </c>
      <c r="I397">
        <v>12</v>
      </c>
      <c r="J397">
        <v>2004</v>
      </c>
      <c r="K397" t="s">
        <v>638</v>
      </c>
      <c r="L397">
        <v>118</v>
      </c>
      <c r="M397" t="s">
        <v>660</v>
      </c>
      <c r="N397" t="s">
        <v>257</v>
      </c>
      <c r="O397" t="s">
        <v>258</v>
      </c>
      <c r="P397" t="s">
        <v>259</v>
      </c>
      <c r="R397" t="s">
        <v>260</v>
      </c>
      <c r="T397">
        <v>28034</v>
      </c>
      <c r="U397" t="s">
        <v>261</v>
      </c>
      <c r="V397" t="s">
        <v>110</v>
      </c>
      <c r="W397" t="s">
        <v>262</v>
      </c>
      <c r="X397" t="s">
        <v>263</v>
      </c>
      <c r="Y397" t="s">
        <v>104</v>
      </c>
    </row>
    <row r="398" spans="1:25">
      <c r="A398">
        <v>10371</v>
      </c>
      <c r="B398">
        <v>49</v>
      </c>
      <c r="C398">
        <v>35.71</v>
      </c>
      <c r="D398">
        <v>4</v>
      </c>
      <c r="E398">
        <v>1749.79</v>
      </c>
      <c r="F398" t="s">
        <v>637</v>
      </c>
      <c r="G398" t="s">
        <v>93</v>
      </c>
      <c r="H398">
        <v>1</v>
      </c>
      <c r="I398">
        <v>1</v>
      </c>
      <c r="J398">
        <v>2005</v>
      </c>
      <c r="K398" t="s">
        <v>638</v>
      </c>
      <c r="L398">
        <v>118</v>
      </c>
      <c r="M398" t="s">
        <v>660</v>
      </c>
      <c r="N398" t="s">
        <v>367</v>
      </c>
      <c r="O398">
        <v>4155551450</v>
      </c>
      <c r="P398" t="s">
        <v>368</v>
      </c>
      <c r="R398" t="s">
        <v>369</v>
      </c>
      <c r="S398" t="s">
        <v>124</v>
      </c>
      <c r="T398">
        <v>97562</v>
      </c>
      <c r="U398" t="s">
        <v>100</v>
      </c>
      <c r="V398" t="s">
        <v>101</v>
      </c>
      <c r="W398" t="s">
        <v>370</v>
      </c>
      <c r="X398" t="s">
        <v>371</v>
      </c>
      <c r="Y398" t="s">
        <v>104</v>
      </c>
    </row>
    <row r="399" spans="1:25">
      <c r="A399">
        <v>10382</v>
      </c>
      <c r="B399">
        <v>32</v>
      </c>
      <c r="C399">
        <v>66.58</v>
      </c>
      <c r="D399">
        <v>13</v>
      </c>
      <c r="E399">
        <v>2130.56</v>
      </c>
      <c r="F399" t="s">
        <v>383</v>
      </c>
      <c r="G399" t="s">
        <v>93</v>
      </c>
      <c r="H399">
        <v>1</v>
      </c>
      <c r="I399">
        <v>2</v>
      </c>
      <c r="J399">
        <v>2005</v>
      </c>
      <c r="K399" t="s">
        <v>638</v>
      </c>
      <c r="L399">
        <v>118</v>
      </c>
      <c r="M399" t="s">
        <v>660</v>
      </c>
      <c r="N399" t="s">
        <v>367</v>
      </c>
      <c r="O399">
        <v>4155551450</v>
      </c>
      <c r="P399" t="s">
        <v>368</v>
      </c>
      <c r="R399" t="s">
        <v>369</v>
      </c>
      <c r="S399" t="s">
        <v>124</v>
      </c>
      <c r="T399">
        <v>97562</v>
      </c>
      <c r="U399" t="s">
        <v>100</v>
      </c>
      <c r="V399" t="s">
        <v>101</v>
      </c>
      <c r="W399" t="s">
        <v>370</v>
      </c>
      <c r="X399" t="s">
        <v>371</v>
      </c>
      <c r="Y399" t="s">
        <v>104</v>
      </c>
    </row>
    <row r="400" spans="1:25">
      <c r="A400">
        <v>10412</v>
      </c>
      <c r="B400">
        <v>54</v>
      </c>
      <c r="C400">
        <v>100</v>
      </c>
      <c r="D400">
        <v>5</v>
      </c>
      <c r="E400">
        <v>5951.34</v>
      </c>
      <c r="F400" s="4">
        <v>38416</v>
      </c>
      <c r="G400" t="s">
        <v>93</v>
      </c>
      <c r="H400">
        <v>2</v>
      </c>
      <c r="I400">
        <v>5</v>
      </c>
      <c r="J400">
        <v>2005</v>
      </c>
      <c r="K400" t="s">
        <v>638</v>
      </c>
      <c r="L400">
        <v>118</v>
      </c>
      <c r="M400" t="s">
        <v>660</v>
      </c>
      <c r="N400" t="s">
        <v>257</v>
      </c>
      <c r="O400" t="s">
        <v>258</v>
      </c>
      <c r="P400" t="s">
        <v>259</v>
      </c>
      <c r="R400" t="s">
        <v>260</v>
      </c>
      <c r="T400">
        <v>28034</v>
      </c>
      <c r="U400" t="s">
        <v>261</v>
      </c>
      <c r="V400" t="s">
        <v>110</v>
      </c>
      <c r="W400" t="s">
        <v>262</v>
      </c>
      <c r="X400" t="s">
        <v>263</v>
      </c>
      <c r="Y400" t="s">
        <v>119</v>
      </c>
    </row>
    <row r="401" spans="1:25">
      <c r="A401">
        <v>10425</v>
      </c>
      <c r="B401">
        <v>33</v>
      </c>
      <c r="C401">
        <v>100</v>
      </c>
      <c r="D401">
        <v>4</v>
      </c>
      <c r="E401">
        <v>4692.6000000000004</v>
      </c>
      <c r="F401" t="s">
        <v>399</v>
      </c>
      <c r="G401" t="s">
        <v>400</v>
      </c>
      <c r="H401">
        <v>2</v>
      </c>
      <c r="I401">
        <v>5</v>
      </c>
      <c r="J401">
        <v>2005</v>
      </c>
      <c r="K401" t="s">
        <v>638</v>
      </c>
      <c r="L401">
        <v>118</v>
      </c>
      <c r="M401" t="s">
        <v>660</v>
      </c>
      <c r="N401" t="s">
        <v>190</v>
      </c>
      <c r="O401" t="s">
        <v>191</v>
      </c>
      <c r="P401" t="s">
        <v>192</v>
      </c>
      <c r="R401" t="s">
        <v>193</v>
      </c>
      <c r="T401">
        <v>44000</v>
      </c>
      <c r="U401" t="s">
        <v>109</v>
      </c>
      <c r="V401" t="s">
        <v>110</v>
      </c>
      <c r="W401" t="s">
        <v>194</v>
      </c>
      <c r="X401" t="s">
        <v>195</v>
      </c>
      <c r="Y401" t="s">
        <v>119</v>
      </c>
    </row>
    <row r="402" spans="1:25">
      <c r="A402">
        <v>10108</v>
      </c>
      <c r="B402">
        <v>36</v>
      </c>
      <c r="C402">
        <v>100</v>
      </c>
      <c r="D402">
        <v>3</v>
      </c>
      <c r="E402">
        <v>3731.04</v>
      </c>
      <c r="F402" s="4">
        <v>37683</v>
      </c>
      <c r="G402" t="s">
        <v>93</v>
      </c>
      <c r="H402">
        <v>1</v>
      </c>
      <c r="I402">
        <v>3</v>
      </c>
      <c r="J402">
        <v>2003</v>
      </c>
      <c r="K402" t="s">
        <v>265</v>
      </c>
      <c r="L402">
        <v>115</v>
      </c>
      <c r="M402" t="s">
        <v>672</v>
      </c>
      <c r="N402" t="s">
        <v>547</v>
      </c>
      <c r="O402" t="s">
        <v>548</v>
      </c>
      <c r="P402" t="s">
        <v>549</v>
      </c>
      <c r="R402" t="s">
        <v>550</v>
      </c>
      <c r="T402" t="s">
        <v>551</v>
      </c>
      <c r="U402" t="s">
        <v>552</v>
      </c>
      <c r="V402" t="s">
        <v>288</v>
      </c>
      <c r="W402" t="s">
        <v>553</v>
      </c>
      <c r="X402" t="s">
        <v>554</v>
      </c>
      <c r="Y402" t="s">
        <v>119</v>
      </c>
    </row>
    <row r="403" spans="1:25">
      <c r="A403">
        <v>10122</v>
      </c>
      <c r="B403">
        <v>20</v>
      </c>
      <c r="C403">
        <v>100</v>
      </c>
      <c r="D403">
        <v>7</v>
      </c>
      <c r="E403">
        <v>2142</v>
      </c>
      <c r="F403" s="4">
        <v>37838</v>
      </c>
      <c r="G403" t="s">
        <v>93</v>
      </c>
      <c r="H403">
        <v>2</v>
      </c>
      <c r="I403">
        <v>5</v>
      </c>
      <c r="J403">
        <v>2003</v>
      </c>
      <c r="K403" t="s">
        <v>265</v>
      </c>
      <c r="L403">
        <v>115</v>
      </c>
      <c r="M403" t="s">
        <v>672</v>
      </c>
      <c r="N403" t="s">
        <v>555</v>
      </c>
      <c r="O403" t="s">
        <v>556</v>
      </c>
      <c r="P403" t="s">
        <v>557</v>
      </c>
      <c r="R403" t="s">
        <v>558</v>
      </c>
      <c r="T403">
        <v>13008</v>
      </c>
      <c r="U403" t="s">
        <v>109</v>
      </c>
      <c r="V403" t="s">
        <v>110</v>
      </c>
      <c r="W403" t="s">
        <v>559</v>
      </c>
      <c r="X403" t="s">
        <v>560</v>
      </c>
      <c r="Y403" t="s">
        <v>104</v>
      </c>
    </row>
    <row r="404" spans="1:25">
      <c r="A404">
        <v>10135</v>
      </c>
      <c r="B404">
        <v>29</v>
      </c>
      <c r="C404">
        <v>97.89</v>
      </c>
      <c r="D404">
        <v>4</v>
      </c>
      <c r="E404">
        <v>2838.81</v>
      </c>
      <c r="F404" s="4">
        <v>37659</v>
      </c>
      <c r="G404" t="s">
        <v>93</v>
      </c>
      <c r="H404">
        <v>3</v>
      </c>
      <c r="I404">
        <v>7</v>
      </c>
      <c r="J404">
        <v>2003</v>
      </c>
      <c r="K404" t="s">
        <v>265</v>
      </c>
      <c r="L404">
        <v>115</v>
      </c>
      <c r="M404" t="s">
        <v>672</v>
      </c>
      <c r="N404" t="s">
        <v>367</v>
      </c>
      <c r="O404">
        <v>4155551450</v>
      </c>
      <c r="P404" t="s">
        <v>368</v>
      </c>
      <c r="R404" t="s">
        <v>369</v>
      </c>
      <c r="S404" t="s">
        <v>124</v>
      </c>
      <c r="T404">
        <v>97562</v>
      </c>
      <c r="U404" t="s">
        <v>100</v>
      </c>
      <c r="V404" t="s">
        <v>101</v>
      </c>
      <c r="W404" t="s">
        <v>370</v>
      </c>
      <c r="X404" t="s">
        <v>371</v>
      </c>
      <c r="Y404" t="s">
        <v>104</v>
      </c>
    </row>
    <row r="405" spans="1:25">
      <c r="A405">
        <v>10147</v>
      </c>
      <c r="B405">
        <v>33</v>
      </c>
      <c r="C405">
        <v>97.89</v>
      </c>
      <c r="D405">
        <v>4</v>
      </c>
      <c r="E405">
        <v>3230.37</v>
      </c>
      <c r="F405" s="4">
        <v>37750</v>
      </c>
      <c r="G405" t="s">
        <v>93</v>
      </c>
      <c r="H405">
        <v>3</v>
      </c>
      <c r="I405">
        <v>9</v>
      </c>
      <c r="J405">
        <v>2003</v>
      </c>
      <c r="K405" t="s">
        <v>265</v>
      </c>
      <c r="L405">
        <v>115</v>
      </c>
      <c r="M405" t="s">
        <v>672</v>
      </c>
      <c r="N405" t="s">
        <v>379</v>
      </c>
      <c r="O405">
        <v>6175558555</v>
      </c>
      <c r="P405" t="s">
        <v>380</v>
      </c>
      <c r="R405" t="s">
        <v>381</v>
      </c>
      <c r="S405" t="s">
        <v>200</v>
      </c>
      <c r="T405">
        <v>58339</v>
      </c>
      <c r="U405" t="s">
        <v>100</v>
      </c>
      <c r="V405" t="s">
        <v>101</v>
      </c>
      <c r="W405" t="s">
        <v>370</v>
      </c>
      <c r="X405" t="s">
        <v>382</v>
      </c>
      <c r="Y405" t="s">
        <v>119</v>
      </c>
    </row>
    <row r="406" spans="1:25">
      <c r="A406">
        <v>10160</v>
      </c>
      <c r="B406">
        <v>50</v>
      </c>
      <c r="C406">
        <v>100</v>
      </c>
      <c r="D406">
        <v>5</v>
      </c>
      <c r="E406">
        <v>5182</v>
      </c>
      <c r="F406" s="4">
        <v>37935</v>
      </c>
      <c r="G406" t="s">
        <v>93</v>
      </c>
      <c r="H406">
        <v>4</v>
      </c>
      <c r="I406">
        <v>10</v>
      </c>
      <c r="J406">
        <v>2003</v>
      </c>
      <c r="K406" t="s">
        <v>265</v>
      </c>
      <c r="L406">
        <v>115</v>
      </c>
      <c r="M406" t="s">
        <v>672</v>
      </c>
      <c r="N406" t="s">
        <v>465</v>
      </c>
      <c r="O406">
        <v>2155554369</v>
      </c>
      <c r="P406" t="s">
        <v>466</v>
      </c>
      <c r="R406" t="s">
        <v>467</v>
      </c>
      <c r="S406" t="s">
        <v>124</v>
      </c>
      <c r="U406" t="s">
        <v>100</v>
      </c>
      <c r="V406" t="s">
        <v>101</v>
      </c>
      <c r="W406" t="s">
        <v>468</v>
      </c>
      <c r="X406" t="s">
        <v>176</v>
      </c>
      <c r="Y406" t="s">
        <v>119</v>
      </c>
    </row>
    <row r="407" spans="1:25">
      <c r="A407">
        <v>10170</v>
      </c>
      <c r="B407">
        <v>41</v>
      </c>
      <c r="C407">
        <v>100</v>
      </c>
      <c r="D407">
        <v>3</v>
      </c>
      <c r="E407">
        <v>4391.1000000000004</v>
      </c>
      <c r="F407" s="4">
        <v>37722</v>
      </c>
      <c r="G407" t="s">
        <v>93</v>
      </c>
      <c r="H407">
        <v>4</v>
      </c>
      <c r="I407">
        <v>11</v>
      </c>
      <c r="J407">
        <v>2003</v>
      </c>
      <c r="K407" t="s">
        <v>265</v>
      </c>
      <c r="L407">
        <v>115</v>
      </c>
      <c r="M407" t="s">
        <v>672</v>
      </c>
      <c r="N407" t="s">
        <v>527</v>
      </c>
      <c r="O407" t="s">
        <v>528</v>
      </c>
      <c r="P407" t="s">
        <v>529</v>
      </c>
      <c r="R407" t="s">
        <v>530</v>
      </c>
      <c r="T407">
        <v>8010</v>
      </c>
      <c r="U407" t="s">
        <v>229</v>
      </c>
      <c r="V407" t="s">
        <v>110</v>
      </c>
      <c r="W407" t="s">
        <v>531</v>
      </c>
      <c r="X407" t="s">
        <v>532</v>
      </c>
      <c r="Y407" t="s">
        <v>119</v>
      </c>
    </row>
    <row r="408" spans="1:25">
      <c r="A408">
        <v>10181</v>
      </c>
      <c r="B408">
        <v>36</v>
      </c>
      <c r="C408">
        <v>100</v>
      </c>
      <c r="D408">
        <v>11</v>
      </c>
      <c r="E408">
        <v>4477.32</v>
      </c>
      <c r="F408" s="4">
        <v>37966</v>
      </c>
      <c r="G408" t="s">
        <v>93</v>
      </c>
      <c r="H408">
        <v>4</v>
      </c>
      <c r="I408">
        <v>11</v>
      </c>
      <c r="J408">
        <v>2003</v>
      </c>
      <c r="K408" t="s">
        <v>265</v>
      </c>
      <c r="L408">
        <v>115</v>
      </c>
      <c r="M408" t="s">
        <v>672</v>
      </c>
      <c r="N408" t="s">
        <v>144</v>
      </c>
      <c r="O408" t="s">
        <v>145</v>
      </c>
      <c r="P408" t="s">
        <v>146</v>
      </c>
      <c r="R408" t="s">
        <v>147</v>
      </c>
      <c r="T408" t="s">
        <v>148</v>
      </c>
      <c r="U408" t="s">
        <v>149</v>
      </c>
      <c r="V408" t="s">
        <v>110</v>
      </c>
      <c r="W408" t="s">
        <v>150</v>
      </c>
      <c r="X408" t="s">
        <v>151</v>
      </c>
      <c r="Y408" t="s">
        <v>119</v>
      </c>
    </row>
    <row r="409" spans="1:25">
      <c r="A409">
        <v>10192</v>
      </c>
      <c r="B409">
        <v>27</v>
      </c>
      <c r="C409">
        <v>100</v>
      </c>
      <c r="D409">
        <v>16</v>
      </c>
      <c r="E409">
        <v>3544.56</v>
      </c>
      <c r="F409" t="s">
        <v>561</v>
      </c>
      <c r="G409" t="s">
        <v>93</v>
      </c>
      <c r="H409">
        <v>4</v>
      </c>
      <c r="I409">
        <v>11</v>
      </c>
      <c r="J409">
        <v>2003</v>
      </c>
      <c r="K409" t="s">
        <v>265</v>
      </c>
      <c r="L409">
        <v>115</v>
      </c>
      <c r="M409" t="s">
        <v>672</v>
      </c>
      <c r="N409" t="s">
        <v>372</v>
      </c>
      <c r="O409">
        <v>6035558647</v>
      </c>
      <c r="P409" t="s">
        <v>373</v>
      </c>
      <c r="R409" t="s">
        <v>374</v>
      </c>
      <c r="S409" t="s">
        <v>375</v>
      </c>
      <c r="T409">
        <v>62005</v>
      </c>
      <c r="U409" t="s">
        <v>100</v>
      </c>
      <c r="V409" t="s">
        <v>101</v>
      </c>
      <c r="W409" t="s">
        <v>125</v>
      </c>
      <c r="X409" t="s">
        <v>371</v>
      </c>
      <c r="Y409" t="s">
        <v>119</v>
      </c>
    </row>
    <row r="410" spans="1:25">
      <c r="A410">
        <v>10203</v>
      </c>
      <c r="B410">
        <v>47</v>
      </c>
      <c r="C410">
        <v>100</v>
      </c>
      <c r="D410">
        <v>5</v>
      </c>
      <c r="E410">
        <v>5195.8500000000004</v>
      </c>
      <c r="F410" s="4">
        <v>37664</v>
      </c>
      <c r="G410" t="s">
        <v>93</v>
      </c>
      <c r="H410">
        <v>4</v>
      </c>
      <c r="I410">
        <v>12</v>
      </c>
      <c r="J410">
        <v>2003</v>
      </c>
      <c r="K410" t="s">
        <v>265</v>
      </c>
      <c r="L410">
        <v>115</v>
      </c>
      <c r="M410" t="s">
        <v>672</v>
      </c>
      <c r="N410" t="s">
        <v>257</v>
      </c>
      <c r="O410" t="s">
        <v>258</v>
      </c>
      <c r="P410" t="s">
        <v>259</v>
      </c>
      <c r="R410" t="s">
        <v>260</v>
      </c>
      <c r="T410">
        <v>28034</v>
      </c>
      <c r="U410" t="s">
        <v>261</v>
      </c>
      <c r="V410" t="s">
        <v>110</v>
      </c>
      <c r="W410" t="s">
        <v>262</v>
      </c>
      <c r="X410" t="s">
        <v>263</v>
      </c>
      <c r="Y410" t="s">
        <v>119</v>
      </c>
    </row>
    <row r="411" spans="1:25">
      <c r="A411">
        <v>10212</v>
      </c>
      <c r="B411">
        <v>33</v>
      </c>
      <c r="C411">
        <v>100</v>
      </c>
      <c r="D411">
        <v>15</v>
      </c>
      <c r="E411">
        <v>4180.4399999999996</v>
      </c>
      <c r="F411" t="s">
        <v>653</v>
      </c>
      <c r="G411" t="s">
        <v>93</v>
      </c>
      <c r="H411">
        <v>1</v>
      </c>
      <c r="I411">
        <v>1</v>
      </c>
      <c r="J411">
        <v>2004</v>
      </c>
      <c r="K411" t="s">
        <v>265</v>
      </c>
      <c r="L411">
        <v>115</v>
      </c>
      <c r="M411" t="s">
        <v>672</v>
      </c>
      <c r="N411" t="s">
        <v>257</v>
      </c>
      <c r="O411" t="s">
        <v>258</v>
      </c>
      <c r="P411" t="s">
        <v>259</v>
      </c>
      <c r="R411" t="s">
        <v>260</v>
      </c>
      <c r="T411">
        <v>28034</v>
      </c>
      <c r="U411" t="s">
        <v>261</v>
      </c>
      <c r="V411" t="s">
        <v>110</v>
      </c>
      <c r="W411" t="s">
        <v>262</v>
      </c>
      <c r="X411" t="s">
        <v>263</v>
      </c>
      <c r="Y411" t="s">
        <v>119</v>
      </c>
    </row>
    <row r="412" spans="1:25">
      <c r="A412">
        <v>10225</v>
      </c>
      <c r="B412">
        <v>21</v>
      </c>
      <c r="C412">
        <v>100</v>
      </c>
      <c r="D412">
        <v>6</v>
      </c>
      <c r="E412">
        <v>2684.43</v>
      </c>
      <c r="F412" t="s">
        <v>569</v>
      </c>
      <c r="G412" t="s">
        <v>93</v>
      </c>
      <c r="H412">
        <v>1</v>
      </c>
      <c r="I412">
        <v>2</v>
      </c>
      <c r="J412">
        <v>2004</v>
      </c>
      <c r="K412" t="s">
        <v>265</v>
      </c>
      <c r="L412">
        <v>115</v>
      </c>
      <c r="M412" t="s">
        <v>672</v>
      </c>
      <c r="N412" t="s">
        <v>570</v>
      </c>
      <c r="O412" t="s">
        <v>571</v>
      </c>
      <c r="P412" t="s">
        <v>572</v>
      </c>
      <c r="R412" t="s">
        <v>573</v>
      </c>
      <c r="T412">
        <v>1203</v>
      </c>
      <c r="U412" t="s">
        <v>574</v>
      </c>
      <c r="V412" t="s">
        <v>110</v>
      </c>
      <c r="W412" t="s">
        <v>575</v>
      </c>
      <c r="X412" t="s">
        <v>176</v>
      </c>
      <c r="Y412" t="s">
        <v>104</v>
      </c>
    </row>
    <row r="413" spans="1:25">
      <c r="A413">
        <v>10239</v>
      </c>
      <c r="B413">
        <v>21</v>
      </c>
      <c r="C413">
        <v>93.28</v>
      </c>
      <c r="D413">
        <v>5</v>
      </c>
      <c r="E413">
        <v>1958.88</v>
      </c>
      <c r="F413" s="4">
        <v>38325</v>
      </c>
      <c r="G413" t="s">
        <v>93</v>
      </c>
      <c r="H413">
        <v>2</v>
      </c>
      <c r="I413">
        <v>4</v>
      </c>
      <c r="J413">
        <v>2004</v>
      </c>
      <c r="K413" t="s">
        <v>265</v>
      </c>
      <c r="L413">
        <v>115</v>
      </c>
      <c r="M413" t="s">
        <v>672</v>
      </c>
      <c r="N413" t="s">
        <v>506</v>
      </c>
      <c r="O413" t="s">
        <v>507</v>
      </c>
      <c r="P413" t="s">
        <v>508</v>
      </c>
      <c r="R413" t="s">
        <v>509</v>
      </c>
      <c r="T413">
        <v>90110</v>
      </c>
      <c r="U413" t="s">
        <v>208</v>
      </c>
      <c r="V413" t="s">
        <v>110</v>
      </c>
      <c r="W413" t="s">
        <v>510</v>
      </c>
      <c r="X413" t="s">
        <v>511</v>
      </c>
      <c r="Y413" t="s">
        <v>104</v>
      </c>
    </row>
    <row r="414" spans="1:25">
      <c r="A414">
        <v>10253</v>
      </c>
      <c r="B414">
        <v>41</v>
      </c>
      <c r="C414">
        <v>100</v>
      </c>
      <c r="D414">
        <v>10</v>
      </c>
      <c r="E414">
        <v>4910.57</v>
      </c>
      <c r="F414" s="4">
        <v>37992</v>
      </c>
      <c r="G414" t="s">
        <v>444</v>
      </c>
      <c r="H414">
        <v>2</v>
      </c>
      <c r="I414">
        <v>6</v>
      </c>
      <c r="J414">
        <v>2004</v>
      </c>
      <c r="K414" t="s">
        <v>265</v>
      </c>
      <c r="L414">
        <v>115</v>
      </c>
      <c r="M414" t="s">
        <v>672</v>
      </c>
      <c r="N414" t="s">
        <v>247</v>
      </c>
      <c r="O414" t="s">
        <v>248</v>
      </c>
      <c r="P414" t="s">
        <v>249</v>
      </c>
      <c r="R414" t="s">
        <v>250</v>
      </c>
      <c r="T414" t="s">
        <v>251</v>
      </c>
      <c r="U414" t="s">
        <v>252</v>
      </c>
      <c r="V414" t="s">
        <v>110</v>
      </c>
      <c r="W414" t="s">
        <v>253</v>
      </c>
      <c r="X414" t="s">
        <v>254</v>
      </c>
      <c r="Y414" t="s">
        <v>119</v>
      </c>
    </row>
    <row r="415" spans="1:25">
      <c r="A415">
        <v>10266</v>
      </c>
      <c r="B415">
        <v>40</v>
      </c>
      <c r="C415">
        <v>100</v>
      </c>
      <c r="D415">
        <v>11</v>
      </c>
      <c r="E415">
        <v>4468.3999999999996</v>
      </c>
      <c r="F415" s="4">
        <v>38145</v>
      </c>
      <c r="G415" t="s">
        <v>93</v>
      </c>
      <c r="H415">
        <v>3</v>
      </c>
      <c r="I415">
        <v>7</v>
      </c>
      <c r="J415">
        <v>2004</v>
      </c>
      <c r="K415" t="s">
        <v>265</v>
      </c>
      <c r="L415">
        <v>115</v>
      </c>
      <c r="M415" t="s">
        <v>672</v>
      </c>
      <c r="N415" t="s">
        <v>576</v>
      </c>
      <c r="O415" t="s">
        <v>577</v>
      </c>
      <c r="P415" t="s">
        <v>578</v>
      </c>
      <c r="R415" t="s">
        <v>579</v>
      </c>
      <c r="T415">
        <v>42100</v>
      </c>
      <c r="U415" t="s">
        <v>352</v>
      </c>
      <c r="V415" t="s">
        <v>110</v>
      </c>
      <c r="W415" t="s">
        <v>580</v>
      </c>
      <c r="X415" t="s">
        <v>581</v>
      </c>
      <c r="Y415" t="s">
        <v>119</v>
      </c>
    </row>
    <row r="416" spans="1:25">
      <c r="A416">
        <v>10277</v>
      </c>
      <c r="B416">
        <v>28</v>
      </c>
      <c r="C416">
        <v>100</v>
      </c>
      <c r="D416">
        <v>1</v>
      </c>
      <c r="E416">
        <v>3127.88</v>
      </c>
      <c r="F416" s="4">
        <v>38085</v>
      </c>
      <c r="G416" t="s">
        <v>93</v>
      </c>
      <c r="H416">
        <v>3</v>
      </c>
      <c r="I416">
        <v>8</v>
      </c>
      <c r="J416">
        <v>2004</v>
      </c>
      <c r="K416" t="s">
        <v>265</v>
      </c>
      <c r="L416">
        <v>115</v>
      </c>
      <c r="M416" t="s">
        <v>672</v>
      </c>
      <c r="N416" t="s">
        <v>284</v>
      </c>
      <c r="O416" t="s">
        <v>285</v>
      </c>
      <c r="P416" t="s">
        <v>286</v>
      </c>
      <c r="R416" t="s">
        <v>287</v>
      </c>
      <c r="T416">
        <v>79903</v>
      </c>
      <c r="U416" t="s">
        <v>287</v>
      </c>
      <c r="V416" t="s">
        <v>288</v>
      </c>
      <c r="W416" t="s">
        <v>289</v>
      </c>
      <c r="X416" t="s">
        <v>290</v>
      </c>
      <c r="Y416" t="s">
        <v>119</v>
      </c>
    </row>
    <row r="417" spans="1:25">
      <c r="A417">
        <v>10287</v>
      </c>
      <c r="B417">
        <v>23</v>
      </c>
      <c r="C417">
        <v>100</v>
      </c>
      <c r="D417">
        <v>9</v>
      </c>
      <c r="E417">
        <v>2675.13</v>
      </c>
      <c r="F417" t="s">
        <v>586</v>
      </c>
      <c r="G417" t="s">
        <v>93</v>
      </c>
      <c r="H417">
        <v>3</v>
      </c>
      <c r="I417">
        <v>8</v>
      </c>
      <c r="J417">
        <v>2004</v>
      </c>
      <c r="K417" t="s">
        <v>265</v>
      </c>
      <c r="L417">
        <v>115</v>
      </c>
      <c r="M417" t="s">
        <v>672</v>
      </c>
      <c r="N417" t="s">
        <v>570</v>
      </c>
      <c r="O417" t="s">
        <v>571</v>
      </c>
      <c r="P417" t="s">
        <v>572</v>
      </c>
      <c r="R417" t="s">
        <v>573</v>
      </c>
      <c r="T417">
        <v>1203</v>
      </c>
      <c r="U417" t="s">
        <v>574</v>
      </c>
      <c r="V417" t="s">
        <v>110</v>
      </c>
      <c r="W417" t="s">
        <v>575</v>
      </c>
      <c r="X417" t="s">
        <v>176</v>
      </c>
      <c r="Y417" t="s">
        <v>104</v>
      </c>
    </row>
    <row r="418" spans="1:25">
      <c r="A418">
        <v>10300</v>
      </c>
      <c r="B418">
        <v>23</v>
      </c>
      <c r="C418">
        <v>100</v>
      </c>
      <c r="D418">
        <v>2</v>
      </c>
      <c r="E418">
        <v>2807.61</v>
      </c>
      <c r="F418" s="4">
        <v>37721</v>
      </c>
      <c r="G418" t="s">
        <v>93</v>
      </c>
      <c r="H418">
        <v>4</v>
      </c>
      <c r="I418">
        <v>10</v>
      </c>
      <c r="J418">
        <v>2003</v>
      </c>
      <c r="K418" t="s">
        <v>265</v>
      </c>
      <c r="L418">
        <v>115</v>
      </c>
      <c r="M418" t="s">
        <v>672</v>
      </c>
      <c r="N418" t="s">
        <v>587</v>
      </c>
      <c r="O418" t="s">
        <v>588</v>
      </c>
      <c r="P418" t="s">
        <v>589</v>
      </c>
      <c r="R418" t="s">
        <v>590</v>
      </c>
      <c r="T418">
        <v>60528</v>
      </c>
      <c r="U418" t="s">
        <v>566</v>
      </c>
      <c r="V418" t="s">
        <v>110</v>
      </c>
      <c r="W418" t="s">
        <v>591</v>
      </c>
      <c r="X418" t="s">
        <v>532</v>
      </c>
      <c r="Y418" t="s">
        <v>104</v>
      </c>
    </row>
    <row r="419" spans="1:25">
      <c r="A419">
        <v>10310</v>
      </c>
      <c r="B419">
        <v>25</v>
      </c>
      <c r="C419">
        <v>100</v>
      </c>
      <c r="D419">
        <v>7</v>
      </c>
      <c r="E419">
        <v>2504.75</v>
      </c>
      <c r="F419" t="s">
        <v>592</v>
      </c>
      <c r="G419" t="s">
        <v>93</v>
      </c>
      <c r="H419">
        <v>4</v>
      </c>
      <c r="I419">
        <v>10</v>
      </c>
      <c r="J419">
        <v>2004</v>
      </c>
      <c r="K419" t="s">
        <v>265</v>
      </c>
      <c r="L419">
        <v>115</v>
      </c>
      <c r="M419" t="s">
        <v>672</v>
      </c>
      <c r="N419" t="s">
        <v>562</v>
      </c>
      <c r="O419" t="s">
        <v>563</v>
      </c>
      <c r="P419" t="s">
        <v>564</v>
      </c>
      <c r="R419" t="s">
        <v>565</v>
      </c>
      <c r="T419">
        <v>50739</v>
      </c>
      <c r="U419" t="s">
        <v>566</v>
      </c>
      <c r="V419" t="s">
        <v>110</v>
      </c>
      <c r="W419" t="s">
        <v>567</v>
      </c>
      <c r="X419" t="s">
        <v>568</v>
      </c>
      <c r="Y419" t="s">
        <v>104</v>
      </c>
    </row>
    <row r="420" spans="1:25">
      <c r="A420">
        <v>10321</v>
      </c>
      <c r="B420">
        <v>24</v>
      </c>
      <c r="C420">
        <v>100</v>
      </c>
      <c r="D420">
        <v>15</v>
      </c>
      <c r="E420">
        <v>2984.88</v>
      </c>
      <c r="F420" s="4">
        <v>38088</v>
      </c>
      <c r="G420" t="s">
        <v>93</v>
      </c>
      <c r="H420">
        <v>4</v>
      </c>
      <c r="I420">
        <v>11</v>
      </c>
      <c r="J420">
        <v>2004</v>
      </c>
      <c r="K420" t="s">
        <v>265</v>
      </c>
      <c r="L420">
        <v>115</v>
      </c>
      <c r="M420" t="s">
        <v>672</v>
      </c>
      <c r="N420" t="s">
        <v>242</v>
      </c>
      <c r="O420">
        <v>5085552555</v>
      </c>
      <c r="P420" t="s">
        <v>243</v>
      </c>
      <c r="R420" t="s">
        <v>244</v>
      </c>
      <c r="S420" t="s">
        <v>200</v>
      </c>
      <c r="T420">
        <v>50553</v>
      </c>
      <c r="U420" t="s">
        <v>100</v>
      </c>
      <c r="V420" t="s">
        <v>101</v>
      </c>
      <c r="W420" t="s">
        <v>245</v>
      </c>
      <c r="X420" t="s">
        <v>246</v>
      </c>
      <c r="Y420" t="s">
        <v>104</v>
      </c>
    </row>
    <row r="421" spans="1:25">
      <c r="A421">
        <v>10329</v>
      </c>
      <c r="B421">
        <v>39</v>
      </c>
      <c r="C421">
        <v>64.739999999999995</v>
      </c>
      <c r="D421">
        <v>15</v>
      </c>
      <c r="E421">
        <v>2524.86</v>
      </c>
      <c r="F421" t="s">
        <v>223</v>
      </c>
      <c r="G421" t="s">
        <v>93</v>
      </c>
      <c r="H421">
        <v>4</v>
      </c>
      <c r="I421">
        <v>11</v>
      </c>
      <c r="J421">
        <v>2004</v>
      </c>
      <c r="K421" t="s">
        <v>265</v>
      </c>
      <c r="L421">
        <v>115</v>
      </c>
      <c r="M421" t="s">
        <v>672</v>
      </c>
      <c r="N421" t="s">
        <v>96</v>
      </c>
      <c r="O421">
        <v>2125557818</v>
      </c>
      <c r="P421" t="s">
        <v>97</v>
      </c>
      <c r="R421" t="s">
        <v>98</v>
      </c>
      <c r="S421" t="s">
        <v>99</v>
      </c>
      <c r="T421">
        <v>10022</v>
      </c>
      <c r="U421" t="s">
        <v>100</v>
      </c>
      <c r="V421" t="s">
        <v>101</v>
      </c>
      <c r="W421" t="s">
        <v>102</v>
      </c>
      <c r="X421" t="s">
        <v>103</v>
      </c>
      <c r="Y421" t="s">
        <v>104</v>
      </c>
    </row>
    <row r="422" spans="1:25">
      <c r="A422">
        <v>10341</v>
      </c>
      <c r="B422">
        <v>55</v>
      </c>
      <c r="C422">
        <v>75.2</v>
      </c>
      <c r="D422">
        <v>7</v>
      </c>
      <c r="E422">
        <v>4136</v>
      </c>
      <c r="F422" t="s">
        <v>224</v>
      </c>
      <c r="G422" t="s">
        <v>93</v>
      </c>
      <c r="H422">
        <v>4</v>
      </c>
      <c r="I422">
        <v>11</v>
      </c>
      <c r="J422">
        <v>2004</v>
      </c>
      <c r="K422" t="s">
        <v>265</v>
      </c>
      <c r="L422">
        <v>115</v>
      </c>
      <c r="M422" t="s">
        <v>672</v>
      </c>
      <c r="N422" t="s">
        <v>225</v>
      </c>
      <c r="O422" t="s">
        <v>226</v>
      </c>
      <c r="P422" t="s">
        <v>227</v>
      </c>
      <c r="R422" t="s">
        <v>228</v>
      </c>
      <c r="T422">
        <v>5020</v>
      </c>
      <c r="U422" t="s">
        <v>229</v>
      </c>
      <c r="V422" t="s">
        <v>110</v>
      </c>
      <c r="W422" t="s">
        <v>230</v>
      </c>
      <c r="X422" t="s">
        <v>231</v>
      </c>
      <c r="Y422" t="s">
        <v>119</v>
      </c>
    </row>
    <row r="423" spans="1:25">
      <c r="A423">
        <v>10363</v>
      </c>
      <c r="B423">
        <v>46</v>
      </c>
      <c r="C423">
        <v>88.45</v>
      </c>
      <c r="D423">
        <v>6</v>
      </c>
      <c r="E423">
        <v>4068.7</v>
      </c>
      <c r="F423" s="4">
        <v>38504</v>
      </c>
      <c r="G423" t="s">
        <v>93</v>
      </c>
      <c r="H423">
        <v>1</v>
      </c>
      <c r="I423">
        <v>1</v>
      </c>
      <c r="J423">
        <v>2005</v>
      </c>
      <c r="K423" t="s">
        <v>265</v>
      </c>
      <c r="L423">
        <v>115</v>
      </c>
      <c r="M423" t="s">
        <v>672</v>
      </c>
      <c r="N423" t="s">
        <v>593</v>
      </c>
      <c r="O423" t="s">
        <v>594</v>
      </c>
      <c r="P423" t="s">
        <v>595</v>
      </c>
      <c r="R423" t="s">
        <v>596</v>
      </c>
      <c r="T423" t="s">
        <v>597</v>
      </c>
      <c r="U423" t="s">
        <v>208</v>
      </c>
      <c r="V423" t="s">
        <v>110</v>
      </c>
      <c r="W423" t="s">
        <v>598</v>
      </c>
      <c r="X423" t="s">
        <v>599</v>
      </c>
      <c r="Y423" t="s">
        <v>119</v>
      </c>
    </row>
    <row r="424" spans="1:25">
      <c r="A424">
        <v>10377</v>
      </c>
      <c r="B424">
        <v>50</v>
      </c>
      <c r="C424">
        <v>100</v>
      </c>
      <c r="D424">
        <v>1</v>
      </c>
      <c r="E424">
        <v>5182</v>
      </c>
      <c r="F424" s="4">
        <v>38597</v>
      </c>
      <c r="G424" t="s">
        <v>93</v>
      </c>
      <c r="H424">
        <v>1</v>
      </c>
      <c r="I424">
        <v>2</v>
      </c>
      <c r="J424">
        <v>2005</v>
      </c>
      <c r="K424" t="s">
        <v>265</v>
      </c>
      <c r="L424">
        <v>115</v>
      </c>
      <c r="M424" t="s">
        <v>672</v>
      </c>
      <c r="N424" t="s">
        <v>204</v>
      </c>
      <c r="O424" t="s">
        <v>205</v>
      </c>
      <c r="P424" t="s">
        <v>206</v>
      </c>
      <c r="R424" t="s">
        <v>207</v>
      </c>
      <c r="T424">
        <v>21240</v>
      </c>
      <c r="U424" t="s">
        <v>208</v>
      </c>
      <c r="V424" t="s">
        <v>110</v>
      </c>
      <c r="W424" t="s">
        <v>209</v>
      </c>
      <c r="X424" t="s">
        <v>210</v>
      </c>
      <c r="Y424" t="s">
        <v>119</v>
      </c>
    </row>
    <row r="425" spans="1:25">
      <c r="A425">
        <v>10389</v>
      </c>
      <c r="B425">
        <v>47</v>
      </c>
      <c r="C425">
        <v>100</v>
      </c>
      <c r="D425">
        <v>8</v>
      </c>
      <c r="E425">
        <v>5243.79</v>
      </c>
      <c r="F425" s="4">
        <v>38414</v>
      </c>
      <c r="G425" t="s">
        <v>93</v>
      </c>
      <c r="H425">
        <v>1</v>
      </c>
      <c r="I425">
        <v>3</v>
      </c>
      <c r="J425">
        <v>2005</v>
      </c>
      <c r="K425" t="s">
        <v>265</v>
      </c>
      <c r="L425">
        <v>115</v>
      </c>
      <c r="M425" t="s">
        <v>672</v>
      </c>
      <c r="N425" t="s">
        <v>355</v>
      </c>
      <c r="O425" t="s">
        <v>356</v>
      </c>
      <c r="P425" t="s">
        <v>357</v>
      </c>
      <c r="R425" t="s">
        <v>358</v>
      </c>
      <c r="T425" t="s">
        <v>359</v>
      </c>
      <c r="U425" t="s">
        <v>273</v>
      </c>
      <c r="V425" t="s">
        <v>110</v>
      </c>
      <c r="W425" t="s">
        <v>360</v>
      </c>
      <c r="X425" t="s">
        <v>295</v>
      </c>
      <c r="Y425" t="s">
        <v>119</v>
      </c>
    </row>
    <row r="426" spans="1:25">
      <c r="A426">
        <v>10405</v>
      </c>
      <c r="B426">
        <v>97</v>
      </c>
      <c r="C426">
        <v>93.28</v>
      </c>
      <c r="D426">
        <v>5</v>
      </c>
      <c r="E426">
        <v>9048.16</v>
      </c>
      <c r="F426" t="s">
        <v>673</v>
      </c>
      <c r="G426" t="s">
        <v>93</v>
      </c>
      <c r="H426">
        <v>2</v>
      </c>
      <c r="I426">
        <v>4</v>
      </c>
      <c r="J426">
        <v>2005</v>
      </c>
      <c r="K426" t="s">
        <v>265</v>
      </c>
      <c r="L426">
        <v>115</v>
      </c>
      <c r="M426" t="s">
        <v>672</v>
      </c>
      <c r="N426" t="s">
        <v>674</v>
      </c>
      <c r="O426" t="s">
        <v>675</v>
      </c>
      <c r="P426" t="s">
        <v>676</v>
      </c>
      <c r="R426" t="s">
        <v>677</v>
      </c>
      <c r="T426">
        <v>67000</v>
      </c>
      <c r="U426" t="s">
        <v>109</v>
      </c>
      <c r="V426" t="s">
        <v>110</v>
      </c>
      <c r="W426" t="s">
        <v>678</v>
      </c>
      <c r="X426" t="s">
        <v>679</v>
      </c>
      <c r="Y426" t="s">
        <v>232</v>
      </c>
    </row>
    <row r="427" spans="1:25">
      <c r="A427">
        <v>10419</v>
      </c>
      <c r="B427">
        <v>32</v>
      </c>
      <c r="C427">
        <v>100</v>
      </c>
      <c r="D427">
        <v>10</v>
      </c>
      <c r="E427">
        <v>3832.64</v>
      </c>
      <c r="F427" t="s">
        <v>600</v>
      </c>
      <c r="G427" t="s">
        <v>93</v>
      </c>
      <c r="H427">
        <v>2</v>
      </c>
      <c r="I427">
        <v>5</v>
      </c>
      <c r="J427">
        <v>2005</v>
      </c>
      <c r="K427" t="s">
        <v>265</v>
      </c>
      <c r="L427">
        <v>115</v>
      </c>
      <c r="M427" t="s">
        <v>672</v>
      </c>
      <c r="N427" t="s">
        <v>225</v>
      </c>
      <c r="O427" t="s">
        <v>226</v>
      </c>
      <c r="P427" t="s">
        <v>227</v>
      </c>
      <c r="R427" t="s">
        <v>228</v>
      </c>
      <c r="T427">
        <v>5020</v>
      </c>
      <c r="U427" t="s">
        <v>229</v>
      </c>
      <c r="V427" t="s">
        <v>110</v>
      </c>
      <c r="W427" t="s">
        <v>230</v>
      </c>
      <c r="X427" t="s">
        <v>231</v>
      </c>
      <c r="Y427" t="s">
        <v>119</v>
      </c>
    </row>
    <row r="428" spans="1:25">
      <c r="A428">
        <v>10103</v>
      </c>
      <c r="B428">
        <v>35</v>
      </c>
      <c r="C428">
        <v>100</v>
      </c>
      <c r="D428">
        <v>10</v>
      </c>
      <c r="E428">
        <v>3920</v>
      </c>
      <c r="F428" t="s">
        <v>264</v>
      </c>
      <c r="G428" t="s">
        <v>93</v>
      </c>
      <c r="H428">
        <v>1</v>
      </c>
      <c r="I428">
        <v>1</v>
      </c>
      <c r="J428">
        <v>2003</v>
      </c>
      <c r="K428" t="s">
        <v>638</v>
      </c>
      <c r="L428">
        <v>116</v>
      </c>
      <c r="M428" t="s">
        <v>680</v>
      </c>
      <c r="N428" t="s">
        <v>212</v>
      </c>
      <c r="O428" t="s">
        <v>213</v>
      </c>
      <c r="P428" t="s">
        <v>214</v>
      </c>
      <c r="R428" t="s">
        <v>215</v>
      </c>
      <c r="T428">
        <v>4110</v>
      </c>
      <c r="U428" t="s">
        <v>149</v>
      </c>
      <c r="V428" t="s">
        <v>110</v>
      </c>
      <c r="W428" t="s">
        <v>216</v>
      </c>
      <c r="X428" t="s">
        <v>217</v>
      </c>
      <c r="Y428" t="s">
        <v>119</v>
      </c>
    </row>
    <row r="429" spans="1:25">
      <c r="A429">
        <v>10113</v>
      </c>
      <c r="B429">
        <v>49</v>
      </c>
      <c r="C429">
        <v>100</v>
      </c>
      <c r="D429">
        <v>4</v>
      </c>
      <c r="E429">
        <v>4916.66</v>
      </c>
      <c r="F429" t="s">
        <v>640</v>
      </c>
      <c r="G429" t="s">
        <v>93</v>
      </c>
      <c r="H429">
        <v>1</v>
      </c>
      <c r="I429">
        <v>3</v>
      </c>
      <c r="J429">
        <v>2003</v>
      </c>
      <c r="K429" t="s">
        <v>638</v>
      </c>
      <c r="L429">
        <v>116</v>
      </c>
      <c r="M429" t="s">
        <v>680</v>
      </c>
      <c r="N429" t="s">
        <v>367</v>
      </c>
      <c r="O429">
        <v>4155551450</v>
      </c>
      <c r="P429" t="s">
        <v>368</v>
      </c>
      <c r="R429" t="s">
        <v>369</v>
      </c>
      <c r="S429" t="s">
        <v>124</v>
      </c>
      <c r="T429">
        <v>97562</v>
      </c>
      <c r="U429" t="s">
        <v>100</v>
      </c>
      <c r="V429" t="s">
        <v>101</v>
      </c>
      <c r="W429" t="s">
        <v>370</v>
      </c>
      <c r="X429" t="s">
        <v>371</v>
      </c>
      <c r="Y429" t="s">
        <v>119</v>
      </c>
    </row>
    <row r="430" spans="1:25">
      <c r="A430">
        <v>10126</v>
      </c>
      <c r="B430">
        <v>38</v>
      </c>
      <c r="C430">
        <v>100</v>
      </c>
      <c r="D430">
        <v>10</v>
      </c>
      <c r="E430">
        <v>3857</v>
      </c>
      <c r="F430" t="s">
        <v>276</v>
      </c>
      <c r="G430" t="s">
        <v>93</v>
      </c>
      <c r="H430">
        <v>2</v>
      </c>
      <c r="I430">
        <v>5</v>
      </c>
      <c r="J430">
        <v>2003</v>
      </c>
      <c r="K430" t="s">
        <v>638</v>
      </c>
      <c r="L430">
        <v>116</v>
      </c>
      <c r="M430" t="s">
        <v>680</v>
      </c>
      <c r="N430" t="s">
        <v>277</v>
      </c>
      <c r="O430" t="s">
        <v>278</v>
      </c>
      <c r="P430" t="s">
        <v>279</v>
      </c>
      <c r="R430" t="s">
        <v>260</v>
      </c>
      <c r="T430">
        <v>28023</v>
      </c>
      <c r="U430" t="s">
        <v>261</v>
      </c>
      <c r="V430" t="s">
        <v>110</v>
      </c>
      <c r="W430" t="s">
        <v>280</v>
      </c>
      <c r="X430" t="s">
        <v>281</v>
      </c>
      <c r="Y430" t="s">
        <v>119</v>
      </c>
    </row>
    <row r="431" spans="1:25">
      <c r="A431">
        <v>10140</v>
      </c>
      <c r="B431">
        <v>32</v>
      </c>
      <c r="C431">
        <v>100</v>
      </c>
      <c r="D431">
        <v>10</v>
      </c>
      <c r="E431">
        <v>4181.4399999999996</v>
      </c>
      <c r="F431" t="s">
        <v>282</v>
      </c>
      <c r="G431" t="s">
        <v>93</v>
      </c>
      <c r="H431">
        <v>3</v>
      </c>
      <c r="I431">
        <v>7</v>
      </c>
      <c r="J431">
        <v>2003</v>
      </c>
      <c r="K431" t="s">
        <v>638</v>
      </c>
      <c r="L431">
        <v>116</v>
      </c>
      <c r="M431" t="s">
        <v>680</v>
      </c>
      <c r="N431" t="s">
        <v>132</v>
      </c>
      <c r="O431">
        <v>6505556809</v>
      </c>
      <c r="P431" t="s">
        <v>133</v>
      </c>
      <c r="R431" t="s">
        <v>134</v>
      </c>
      <c r="S431" t="s">
        <v>124</v>
      </c>
      <c r="T431">
        <v>94217</v>
      </c>
      <c r="U431" t="s">
        <v>100</v>
      </c>
      <c r="V431" t="s">
        <v>101</v>
      </c>
      <c r="W431" t="s">
        <v>135</v>
      </c>
      <c r="X431" t="s">
        <v>136</v>
      </c>
      <c r="Y431" t="s">
        <v>119</v>
      </c>
    </row>
    <row r="432" spans="1:25">
      <c r="A432">
        <v>10150</v>
      </c>
      <c r="B432">
        <v>34</v>
      </c>
      <c r="C432">
        <v>100</v>
      </c>
      <c r="D432">
        <v>7</v>
      </c>
      <c r="E432">
        <v>4641</v>
      </c>
      <c r="F432" t="s">
        <v>283</v>
      </c>
      <c r="G432" t="s">
        <v>93</v>
      </c>
      <c r="H432">
        <v>3</v>
      </c>
      <c r="I432">
        <v>9</v>
      </c>
      <c r="J432">
        <v>2003</v>
      </c>
      <c r="K432" t="s">
        <v>638</v>
      </c>
      <c r="L432">
        <v>116</v>
      </c>
      <c r="M432" t="s">
        <v>680</v>
      </c>
      <c r="N432" t="s">
        <v>284</v>
      </c>
      <c r="O432" t="s">
        <v>285</v>
      </c>
      <c r="P432" t="s">
        <v>286</v>
      </c>
      <c r="R432" t="s">
        <v>287</v>
      </c>
      <c r="T432">
        <v>79903</v>
      </c>
      <c r="U432" t="s">
        <v>287</v>
      </c>
      <c r="V432" t="s">
        <v>288</v>
      </c>
      <c r="W432" t="s">
        <v>289</v>
      </c>
      <c r="X432" t="s">
        <v>290</v>
      </c>
      <c r="Y432" t="s">
        <v>119</v>
      </c>
    </row>
    <row r="433" spans="1:25">
      <c r="A433">
        <v>10164</v>
      </c>
      <c r="B433">
        <v>36</v>
      </c>
      <c r="C433">
        <v>99.17</v>
      </c>
      <c r="D433">
        <v>8</v>
      </c>
      <c r="E433">
        <v>3570.12</v>
      </c>
      <c r="F433" t="s">
        <v>525</v>
      </c>
      <c r="G433" t="s">
        <v>526</v>
      </c>
      <c r="H433">
        <v>4</v>
      </c>
      <c r="I433">
        <v>10</v>
      </c>
      <c r="J433">
        <v>2003</v>
      </c>
      <c r="K433" t="s">
        <v>638</v>
      </c>
      <c r="L433">
        <v>116</v>
      </c>
      <c r="M433" t="s">
        <v>680</v>
      </c>
      <c r="N433" t="s">
        <v>527</v>
      </c>
      <c r="O433" t="s">
        <v>528</v>
      </c>
      <c r="P433" t="s">
        <v>529</v>
      </c>
      <c r="R433" t="s">
        <v>530</v>
      </c>
      <c r="T433">
        <v>8010</v>
      </c>
      <c r="U433" t="s">
        <v>229</v>
      </c>
      <c r="V433" t="s">
        <v>110</v>
      </c>
      <c r="W433" t="s">
        <v>531</v>
      </c>
      <c r="X433" t="s">
        <v>532</v>
      </c>
      <c r="Y433" t="s">
        <v>119</v>
      </c>
    </row>
    <row r="434" spans="1:25">
      <c r="A434">
        <v>10174</v>
      </c>
      <c r="B434">
        <v>48</v>
      </c>
      <c r="C434">
        <v>93.34</v>
      </c>
      <c r="D434">
        <v>3</v>
      </c>
      <c r="E434">
        <v>4480.32</v>
      </c>
      <c r="F434" s="4">
        <v>37783</v>
      </c>
      <c r="G434" t="s">
        <v>93</v>
      </c>
      <c r="H434">
        <v>4</v>
      </c>
      <c r="I434">
        <v>11</v>
      </c>
      <c r="J434">
        <v>2003</v>
      </c>
      <c r="K434" t="s">
        <v>638</v>
      </c>
      <c r="L434">
        <v>116</v>
      </c>
      <c r="M434" t="s">
        <v>680</v>
      </c>
      <c r="N434" t="s">
        <v>296</v>
      </c>
      <c r="O434" t="s">
        <v>297</v>
      </c>
      <c r="P434" t="s">
        <v>298</v>
      </c>
      <c r="R434" t="s">
        <v>299</v>
      </c>
      <c r="S434" t="s">
        <v>300</v>
      </c>
      <c r="T434">
        <v>4101</v>
      </c>
      <c r="U434" t="s">
        <v>168</v>
      </c>
      <c r="V434" t="s">
        <v>169</v>
      </c>
      <c r="W434" t="s">
        <v>301</v>
      </c>
      <c r="X434" t="s">
        <v>302</v>
      </c>
      <c r="Y434" t="s">
        <v>119</v>
      </c>
    </row>
    <row r="435" spans="1:25">
      <c r="A435">
        <v>10183</v>
      </c>
      <c r="B435">
        <v>21</v>
      </c>
      <c r="C435">
        <v>96.84</v>
      </c>
      <c r="D435">
        <v>7</v>
      </c>
      <c r="E435">
        <v>2033.64</v>
      </c>
      <c r="F435" t="s">
        <v>303</v>
      </c>
      <c r="G435" t="s">
        <v>93</v>
      </c>
      <c r="H435">
        <v>4</v>
      </c>
      <c r="I435">
        <v>11</v>
      </c>
      <c r="J435">
        <v>2003</v>
      </c>
      <c r="K435" t="s">
        <v>638</v>
      </c>
      <c r="L435">
        <v>116</v>
      </c>
      <c r="M435" t="s">
        <v>680</v>
      </c>
      <c r="N435" t="s">
        <v>304</v>
      </c>
      <c r="O435">
        <v>2155554695</v>
      </c>
      <c r="P435" t="s">
        <v>305</v>
      </c>
      <c r="R435" t="s">
        <v>306</v>
      </c>
      <c r="S435" t="s">
        <v>221</v>
      </c>
      <c r="T435">
        <v>71270</v>
      </c>
      <c r="U435" t="s">
        <v>100</v>
      </c>
      <c r="V435" t="s">
        <v>101</v>
      </c>
      <c r="W435" t="s">
        <v>307</v>
      </c>
      <c r="X435" t="s">
        <v>308</v>
      </c>
      <c r="Y435" t="s">
        <v>104</v>
      </c>
    </row>
    <row r="436" spans="1:25">
      <c r="A436">
        <v>10194</v>
      </c>
      <c r="B436">
        <v>21</v>
      </c>
      <c r="C436">
        <v>93.34</v>
      </c>
      <c r="D436">
        <v>10</v>
      </c>
      <c r="E436">
        <v>1960.14</v>
      </c>
      <c r="F436" t="s">
        <v>309</v>
      </c>
      <c r="G436" t="s">
        <v>93</v>
      </c>
      <c r="H436">
        <v>4</v>
      </c>
      <c r="I436">
        <v>11</v>
      </c>
      <c r="J436">
        <v>2003</v>
      </c>
      <c r="K436" t="s">
        <v>638</v>
      </c>
      <c r="L436">
        <v>116</v>
      </c>
      <c r="M436" t="s">
        <v>680</v>
      </c>
      <c r="N436" t="s">
        <v>310</v>
      </c>
      <c r="O436" t="s">
        <v>311</v>
      </c>
      <c r="P436" t="s">
        <v>312</v>
      </c>
      <c r="R436" t="s">
        <v>313</v>
      </c>
      <c r="T436">
        <v>69004</v>
      </c>
      <c r="U436" t="s">
        <v>109</v>
      </c>
      <c r="V436" t="s">
        <v>110</v>
      </c>
      <c r="W436" t="s">
        <v>314</v>
      </c>
      <c r="X436" t="s">
        <v>315</v>
      </c>
      <c r="Y436" t="s">
        <v>104</v>
      </c>
    </row>
    <row r="437" spans="1:25">
      <c r="A437">
        <v>10206</v>
      </c>
      <c r="B437">
        <v>34</v>
      </c>
      <c r="C437">
        <v>100</v>
      </c>
      <c r="D437">
        <v>5</v>
      </c>
      <c r="E437">
        <v>3966.78</v>
      </c>
      <c r="F437" s="4">
        <v>37753</v>
      </c>
      <c r="G437" t="s">
        <v>93</v>
      </c>
      <c r="H437">
        <v>4</v>
      </c>
      <c r="I437">
        <v>12</v>
      </c>
      <c r="J437">
        <v>2003</v>
      </c>
      <c r="K437" t="s">
        <v>638</v>
      </c>
      <c r="L437">
        <v>116</v>
      </c>
      <c r="M437" t="s">
        <v>680</v>
      </c>
      <c r="N437" t="s">
        <v>316</v>
      </c>
      <c r="O437" t="s">
        <v>317</v>
      </c>
      <c r="P437" t="s">
        <v>318</v>
      </c>
      <c r="R437" t="s">
        <v>319</v>
      </c>
      <c r="S437" t="s">
        <v>320</v>
      </c>
      <c r="T437" t="s">
        <v>321</v>
      </c>
      <c r="U437" t="s">
        <v>322</v>
      </c>
      <c r="V437" t="s">
        <v>101</v>
      </c>
      <c r="W437" t="s">
        <v>323</v>
      </c>
      <c r="X437" t="s">
        <v>324</v>
      </c>
      <c r="Y437" t="s">
        <v>119</v>
      </c>
    </row>
    <row r="438" spans="1:25">
      <c r="A438">
        <v>10215</v>
      </c>
      <c r="B438">
        <v>46</v>
      </c>
      <c r="C438">
        <v>100</v>
      </c>
      <c r="D438">
        <v>2</v>
      </c>
      <c r="E438">
        <v>5152</v>
      </c>
      <c r="F438" t="s">
        <v>325</v>
      </c>
      <c r="G438" t="s">
        <v>93</v>
      </c>
      <c r="H438">
        <v>1</v>
      </c>
      <c r="I438">
        <v>1</v>
      </c>
      <c r="J438">
        <v>2004</v>
      </c>
      <c r="K438" t="s">
        <v>638</v>
      </c>
      <c r="L438">
        <v>116</v>
      </c>
      <c r="M438" t="s">
        <v>680</v>
      </c>
      <c r="N438" t="s">
        <v>326</v>
      </c>
      <c r="O438">
        <v>3105553722</v>
      </c>
      <c r="P438" t="s">
        <v>327</v>
      </c>
      <c r="R438" t="s">
        <v>328</v>
      </c>
      <c r="S438" t="s">
        <v>124</v>
      </c>
      <c r="T438">
        <v>94019</v>
      </c>
      <c r="U438" t="s">
        <v>100</v>
      </c>
      <c r="V438" t="s">
        <v>101</v>
      </c>
      <c r="W438" t="s">
        <v>6</v>
      </c>
      <c r="X438" t="s">
        <v>329</v>
      </c>
      <c r="Y438" t="s">
        <v>119</v>
      </c>
    </row>
    <row r="439" spans="1:25">
      <c r="A439">
        <v>10228</v>
      </c>
      <c r="B439">
        <v>32</v>
      </c>
      <c r="C439">
        <v>100</v>
      </c>
      <c r="D439">
        <v>1</v>
      </c>
      <c r="E439">
        <v>3360</v>
      </c>
      <c r="F439" s="4">
        <v>38263</v>
      </c>
      <c r="G439" t="s">
        <v>93</v>
      </c>
      <c r="H439">
        <v>1</v>
      </c>
      <c r="I439">
        <v>3</v>
      </c>
      <c r="J439">
        <v>2004</v>
      </c>
      <c r="K439" t="s">
        <v>638</v>
      </c>
      <c r="L439">
        <v>116</v>
      </c>
      <c r="M439" t="s">
        <v>680</v>
      </c>
      <c r="N439" t="s">
        <v>330</v>
      </c>
      <c r="O439">
        <v>6175555555</v>
      </c>
      <c r="P439" t="s">
        <v>331</v>
      </c>
      <c r="R439" t="s">
        <v>199</v>
      </c>
      <c r="S439" t="s">
        <v>200</v>
      </c>
      <c r="T439">
        <v>51247</v>
      </c>
      <c r="U439" t="s">
        <v>100</v>
      </c>
      <c r="V439" t="s">
        <v>101</v>
      </c>
      <c r="W439" t="s">
        <v>332</v>
      </c>
      <c r="X439" t="s">
        <v>222</v>
      </c>
      <c r="Y439" t="s">
        <v>119</v>
      </c>
    </row>
    <row r="440" spans="1:25">
      <c r="A440">
        <v>10245</v>
      </c>
      <c r="B440">
        <v>29</v>
      </c>
      <c r="C440">
        <v>100</v>
      </c>
      <c r="D440">
        <v>8</v>
      </c>
      <c r="E440">
        <v>3451</v>
      </c>
      <c r="F440" s="4">
        <v>38082</v>
      </c>
      <c r="G440" t="s">
        <v>93</v>
      </c>
      <c r="H440">
        <v>2</v>
      </c>
      <c r="I440">
        <v>5</v>
      </c>
      <c r="J440">
        <v>2004</v>
      </c>
      <c r="K440" t="s">
        <v>638</v>
      </c>
      <c r="L440">
        <v>116</v>
      </c>
      <c r="M440" t="s">
        <v>680</v>
      </c>
      <c r="N440" t="s">
        <v>333</v>
      </c>
      <c r="O440">
        <v>2035559545</v>
      </c>
      <c r="P440" t="s">
        <v>334</v>
      </c>
      <c r="R440" t="s">
        <v>335</v>
      </c>
      <c r="S440" t="s">
        <v>187</v>
      </c>
      <c r="T440">
        <v>97823</v>
      </c>
      <c r="U440" t="s">
        <v>100</v>
      </c>
      <c r="V440" t="s">
        <v>101</v>
      </c>
      <c r="W440" t="s">
        <v>154</v>
      </c>
      <c r="X440" t="s">
        <v>336</v>
      </c>
      <c r="Y440" t="s">
        <v>119</v>
      </c>
    </row>
    <row r="441" spans="1:25">
      <c r="A441">
        <v>10258</v>
      </c>
      <c r="B441">
        <v>41</v>
      </c>
      <c r="C441">
        <v>100</v>
      </c>
      <c r="D441">
        <v>5</v>
      </c>
      <c r="E441">
        <v>5453</v>
      </c>
      <c r="F441" t="s">
        <v>337</v>
      </c>
      <c r="G441" t="s">
        <v>93</v>
      </c>
      <c r="H441">
        <v>2</v>
      </c>
      <c r="I441">
        <v>6</v>
      </c>
      <c r="J441">
        <v>2004</v>
      </c>
      <c r="K441" t="s">
        <v>638</v>
      </c>
      <c r="L441">
        <v>116</v>
      </c>
      <c r="M441" t="s">
        <v>680</v>
      </c>
      <c r="N441" t="s">
        <v>338</v>
      </c>
      <c r="O441" t="s">
        <v>339</v>
      </c>
      <c r="P441" t="s">
        <v>340</v>
      </c>
      <c r="R441" t="s">
        <v>341</v>
      </c>
      <c r="S441" t="s">
        <v>342</v>
      </c>
      <c r="T441" t="s">
        <v>343</v>
      </c>
      <c r="U441" t="s">
        <v>288</v>
      </c>
      <c r="V441" t="s">
        <v>288</v>
      </c>
      <c r="W441" t="s">
        <v>344</v>
      </c>
      <c r="X441" t="s">
        <v>345</v>
      </c>
      <c r="Y441" t="s">
        <v>119</v>
      </c>
    </row>
    <row r="442" spans="1:25">
      <c r="A442">
        <v>10270</v>
      </c>
      <c r="B442">
        <v>43</v>
      </c>
      <c r="C442">
        <v>96.84</v>
      </c>
      <c r="D442">
        <v>8</v>
      </c>
      <c r="E442">
        <v>4164.12</v>
      </c>
      <c r="F442" t="s">
        <v>346</v>
      </c>
      <c r="G442" t="s">
        <v>93</v>
      </c>
      <c r="H442">
        <v>3</v>
      </c>
      <c r="I442">
        <v>7</v>
      </c>
      <c r="J442">
        <v>2004</v>
      </c>
      <c r="K442" t="s">
        <v>638</v>
      </c>
      <c r="L442">
        <v>116</v>
      </c>
      <c r="M442" t="s">
        <v>680</v>
      </c>
      <c r="N442" t="s">
        <v>234</v>
      </c>
      <c r="O442" t="s">
        <v>235</v>
      </c>
      <c r="P442" t="s">
        <v>236</v>
      </c>
      <c r="Q442" t="s">
        <v>237</v>
      </c>
      <c r="R442" t="s">
        <v>238</v>
      </c>
      <c r="S442" t="s">
        <v>239</v>
      </c>
      <c r="T442">
        <v>2067</v>
      </c>
      <c r="U442" t="s">
        <v>168</v>
      </c>
      <c r="V442" t="s">
        <v>169</v>
      </c>
      <c r="W442" t="s">
        <v>240</v>
      </c>
      <c r="X442" t="s">
        <v>241</v>
      </c>
      <c r="Y442" t="s">
        <v>119</v>
      </c>
    </row>
    <row r="443" spans="1:25">
      <c r="A443">
        <v>10280</v>
      </c>
      <c r="B443">
        <v>24</v>
      </c>
      <c r="C443">
        <v>100</v>
      </c>
      <c r="D443">
        <v>1</v>
      </c>
      <c r="E443">
        <v>2800.08</v>
      </c>
      <c r="F443" t="s">
        <v>347</v>
      </c>
      <c r="G443" t="s">
        <v>93</v>
      </c>
      <c r="H443">
        <v>3</v>
      </c>
      <c r="I443">
        <v>8</v>
      </c>
      <c r="J443">
        <v>2004</v>
      </c>
      <c r="K443" t="s">
        <v>638</v>
      </c>
      <c r="L443">
        <v>116</v>
      </c>
      <c r="M443" t="s">
        <v>680</v>
      </c>
      <c r="N443" t="s">
        <v>348</v>
      </c>
      <c r="O443" t="s">
        <v>349</v>
      </c>
      <c r="P443" t="s">
        <v>350</v>
      </c>
      <c r="R443" t="s">
        <v>351</v>
      </c>
      <c r="T443">
        <v>10100</v>
      </c>
      <c r="U443" t="s">
        <v>352</v>
      </c>
      <c r="V443" t="s">
        <v>110</v>
      </c>
      <c r="W443" t="s">
        <v>353</v>
      </c>
      <c r="X443" t="s">
        <v>354</v>
      </c>
      <c r="Y443" t="s">
        <v>104</v>
      </c>
    </row>
    <row r="444" spans="1:25">
      <c r="A444">
        <v>10291</v>
      </c>
      <c r="B444">
        <v>41</v>
      </c>
      <c r="C444">
        <v>100</v>
      </c>
      <c r="D444">
        <v>10</v>
      </c>
      <c r="E444">
        <v>4687.9399999999996</v>
      </c>
      <c r="F444" s="4">
        <v>38208</v>
      </c>
      <c r="G444" t="s">
        <v>93</v>
      </c>
      <c r="H444">
        <v>3</v>
      </c>
      <c r="I444">
        <v>9</v>
      </c>
      <c r="J444">
        <v>2004</v>
      </c>
      <c r="K444" t="s">
        <v>638</v>
      </c>
      <c r="L444">
        <v>116</v>
      </c>
      <c r="M444" t="s">
        <v>680</v>
      </c>
      <c r="N444" t="s">
        <v>355</v>
      </c>
      <c r="O444" t="s">
        <v>356</v>
      </c>
      <c r="P444" t="s">
        <v>357</v>
      </c>
      <c r="R444" t="s">
        <v>358</v>
      </c>
      <c r="T444" t="s">
        <v>359</v>
      </c>
      <c r="U444" t="s">
        <v>273</v>
      </c>
      <c r="V444" t="s">
        <v>110</v>
      </c>
      <c r="W444" t="s">
        <v>360</v>
      </c>
      <c r="X444" t="s">
        <v>295</v>
      </c>
      <c r="Y444" t="s">
        <v>119</v>
      </c>
    </row>
    <row r="445" spans="1:25">
      <c r="A445">
        <v>10304</v>
      </c>
      <c r="B445">
        <v>46</v>
      </c>
      <c r="C445">
        <v>98</v>
      </c>
      <c r="D445">
        <v>5</v>
      </c>
      <c r="E445">
        <v>4508</v>
      </c>
      <c r="F445" s="4">
        <v>38301</v>
      </c>
      <c r="G445" t="s">
        <v>93</v>
      </c>
      <c r="H445">
        <v>4</v>
      </c>
      <c r="I445">
        <v>10</v>
      </c>
      <c r="J445">
        <v>2004</v>
      </c>
      <c r="K445" t="s">
        <v>638</v>
      </c>
      <c r="L445">
        <v>116</v>
      </c>
      <c r="M445" t="s">
        <v>680</v>
      </c>
      <c r="N445" t="s">
        <v>361</v>
      </c>
      <c r="O445" t="s">
        <v>362</v>
      </c>
      <c r="P445" t="s">
        <v>363</v>
      </c>
      <c r="R445" t="s">
        <v>364</v>
      </c>
      <c r="T445">
        <v>78000</v>
      </c>
      <c r="U445" t="s">
        <v>109</v>
      </c>
      <c r="V445" t="s">
        <v>110</v>
      </c>
      <c r="W445" t="s">
        <v>365</v>
      </c>
      <c r="X445" t="s">
        <v>118</v>
      </c>
      <c r="Y445" t="s">
        <v>119</v>
      </c>
    </row>
    <row r="446" spans="1:25">
      <c r="A446">
        <v>10312</v>
      </c>
      <c r="B446">
        <v>32</v>
      </c>
      <c r="C446">
        <v>100</v>
      </c>
      <c r="D446">
        <v>2</v>
      </c>
      <c r="E446">
        <v>4181.4399999999996</v>
      </c>
      <c r="F446" t="s">
        <v>366</v>
      </c>
      <c r="G446" t="s">
        <v>93</v>
      </c>
      <c r="H446">
        <v>4</v>
      </c>
      <c r="I446">
        <v>10</v>
      </c>
      <c r="J446">
        <v>2004</v>
      </c>
      <c r="K446" t="s">
        <v>638</v>
      </c>
      <c r="L446">
        <v>116</v>
      </c>
      <c r="M446" t="s">
        <v>680</v>
      </c>
      <c r="N446" t="s">
        <v>367</v>
      </c>
      <c r="O446">
        <v>4155551450</v>
      </c>
      <c r="P446" t="s">
        <v>368</v>
      </c>
      <c r="R446" t="s">
        <v>369</v>
      </c>
      <c r="S446" t="s">
        <v>124</v>
      </c>
      <c r="T446">
        <v>97562</v>
      </c>
      <c r="U446" t="s">
        <v>100</v>
      </c>
      <c r="V446" t="s">
        <v>101</v>
      </c>
      <c r="W446" t="s">
        <v>370</v>
      </c>
      <c r="X446" t="s">
        <v>371</v>
      </c>
      <c r="Y446" t="s">
        <v>119</v>
      </c>
    </row>
    <row r="447" spans="1:25">
      <c r="A447">
        <v>10322</v>
      </c>
      <c r="B447">
        <v>22</v>
      </c>
      <c r="C447">
        <v>100</v>
      </c>
      <c r="D447">
        <v>10</v>
      </c>
      <c r="E447">
        <v>2251.04</v>
      </c>
      <c r="F447" s="4">
        <v>38088</v>
      </c>
      <c r="G447" t="s">
        <v>93</v>
      </c>
      <c r="H447">
        <v>4</v>
      </c>
      <c r="I447">
        <v>11</v>
      </c>
      <c r="J447">
        <v>2004</v>
      </c>
      <c r="K447" t="s">
        <v>638</v>
      </c>
      <c r="L447">
        <v>116</v>
      </c>
      <c r="M447" t="s">
        <v>680</v>
      </c>
      <c r="N447" t="s">
        <v>372</v>
      </c>
      <c r="O447">
        <v>6035558647</v>
      </c>
      <c r="P447" t="s">
        <v>373</v>
      </c>
      <c r="R447" t="s">
        <v>374</v>
      </c>
      <c r="S447" t="s">
        <v>375</v>
      </c>
      <c r="T447">
        <v>62005</v>
      </c>
      <c r="U447" t="s">
        <v>100</v>
      </c>
      <c r="V447" t="s">
        <v>101</v>
      </c>
      <c r="W447" t="s">
        <v>125</v>
      </c>
      <c r="X447" t="s">
        <v>371</v>
      </c>
      <c r="Y447" t="s">
        <v>104</v>
      </c>
    </row>
    <row r="448" spans="1:25">
      <c r="A448">
        <v>10333</v>
      </c>
      <c r="B448">
        <v>29</v>
      </c>
      <c r="C448">
        <v>40.25</v>
      </c>
      <c r="D448">
        <v>7</v>
      </c>
      <c r="E448">
        <v>1167.25</v>
      </c>
      <c r="F448" t="s">
        <v>376</v>
      </c>
      <c r="G448" t="s">
        <v>93</v>
      </c>
      <c r="H448">
        <v>4</v>
      </c>
      <c r="I448">
        <v>11</v>
      </c>
      <c r="J448">
        <v>2004</v>
      </c>
      <c r="K448" t="s">
        <v>638</v>
      </c>
      <c r="L448">
        <v>116</v>
      </c>
      <c r="M448" t="s">
        <v>680</v>
      </c>
      <c r="N448" t="s">
        <v>152</v>
      </c>
      <c r="O448">
        <v>6505555787</v>
      </c>
      <c r="P448" t="s">
        <v>153</v>
      </c>
      <c r="R448" t="s">
        <v>129</v>
      </c>
      <c r="S448" t="s">
        <v>124</v>
      </c>
      <c r="U448" t="s">
        <v>100</v>
      </c>
      <c r="V448" t="s">
        <v>101</v>
      </c>
      <c r="W448" t="s">
        <v>154</v>
      </c>
      <c r="X448" t="s">
        <v>126</v>
      </c>
      <c r="Y448" t="s">
        <v>104</v>
      </c>
    </row>
    <row r="449" spans="1:25">
      <c r="A449">
        <v>10347</v>
      </c>
      <c r="B449">
        <v>42</v>
      </c>
      <c r="C449">
        <v>49.6</v>
      </c>
      <c r="D449">
        <v>5</v>
      </c>
      <c r="E449">
        <v>2083.1999999999998</v>
      </c>
      <c r="F449" t="s">
        <v>377</v>
      </c>
      <c r="G449" t="s">
        <v>93</v>
      </c>
      <c r="H449">
        <v>4</v>
      </c>
      <c r="I449">
        <v>11</v>
      </c>
      <c r="J449">
        <v>2004</v>
      </c>
      <c r="K449" t="s">
        <v>638</v>
      </c>
      <c r="L449">
        <v>116</v>
      </c>
      <c r="M449" t="s">
        <v>680</v>
      </c>
      <c r="N449" t="s">
        <v>162</v>
      </c>
      <c r="O449" t="s">
        <v>163</v>
      </c>
      <c r="P449" t="s">
        <v>164</v>
      </c>
      <c r="Q449" t="s">
        <v>165</v>
      </c>
      <c r="R449" t="s">
        <v>166</v>
      </c>
      <c r="S449" t="s">
        <v>167</v>
      </c>
      <c r="T449">
        <v>3004</v>
      </c>
      <c r="U449" t="s">
        <v>168</v>
      </c>
      <c r="V449" t="s">
        <v>169</v>
      </c>
      <c r="W449" t="s">
        <v>170</v>
      </c>
      <c r="X449" t="s">
        <v>171</v>
      </c>
      <c r="Y449" t="s">
        <v>104</v>
      </c>
    </row>
    <row r="450" spans="1:25">
      <c r="A450">
        <v>10357</v>
      </c>
      <c r="B450">
        <v>39</v>
      </c>
      <c r="C450">
        <v>98</v>
      </c>
      <c r="D450">
        <v>1</v>
      </c>
      <c r="E450">
        <v>3822</v>
      </c>
      <c r="F450" s="4">
        <v>38272</v>
      </c>
      <c r="G450" t="s">
        <v>93</v>
      </c>
      <c r="H450">
        <v>4</v>
      </c>
      <c r="I450">
        <v>12</v>
      </c>
      <c r="J450">
        <v>2004</v>
      </c>
      <c r="K450" t="s">
        <v>638</v>
      </c>
      <c r="L450">
        <v>116</v>
      </c>
      <c r="M450" t="s">
        <v>680</v>
      </c>
      <c r="N450" t="s">
        <v>367</v>
      </c>
      <c r="O450">
        <v>4155551450</v>
      </c>
      <c r="P450" t="s">
        <v>368</v>
      </c>
      <c r="R450" t="s">
        <v>369</v>
      </c>
      <c r="S450" t="s">
        <v>124</v>
      </c>
      <c r="T450">
        <v>97562</v>
      </c>
      <c r="U450" t="s">
        <v>100</v>
      </c>
      <c r="V450" t="s">
        <v>101</v>
      </c>
      <c r="W450" t="s">
        <v>370</v>
      </c>
      <c r="X450" t="s">
        <v>371</v>
      </c>
      <c r="Y450" t="s">
        <v>119</v>
      </c>
    </row>
    <row r="451" spans="1:25">
      <c r="A451">
        <v>10370</v>
      </c>
      <c r="B451">
        <v>27</v>
      </c>
      <c r="C451">
        <v>100</v>
      </c>
      <c r="D451">
        <v>1</v>
      </c>
      <c r="E451">
        <v>3911.49</v>
      </c>
      <c r="F451" t="s">
        <v>378</v>
      </c>
      <c r="G451" t="s">
        <v>93</v>
      </c>
      <c r="H451">
        <v>1</v>
      </c>
      <c r="I451">
        <v>1</v>
      </c>
      <c r="J451">
        <v>2005</v>
      </c>
      <c r="K451" t="s">
        <v>638</v>
      </c>
      <c r="L451">
        <v>116</v>
      </c>
      <c r="M451" t="s">
        <v>680</v>
      </c>
      <c r="N451" t="s">
        <v>384</v>
      </c>
      <c r="O451" t="s">
        <v>385</v>
      </c>
      <c r="P451" t="s">
        <v>386</v>
      </c>
      <c r="Q451" t="s">
        <v>387</v>
      </c>
      <c r="R451" t="s">
        <v>388</v>
      </c>
      <c r="S451" t="s">
        <v>239</v>
      </c>
      <c r="T451">
        <v>2060</v>
      </c>
      <c r="U451" t="s">
        <v>168</v>
      </c>
      <c r="V451" t="s">
        <v>169</v>
      </c>
      <c r="W451" t="s">
        <v>389</v>
      </c>
      <c r="X451" t="s">
        <v>390</v>
      </c>
      <c r="Y451" t="s">
        <v>119</v>
      </c>
    </row>
    <row r="452" spans="1:25">
      <c r="A452">
        <v>10381</v>
      </c>
      <c r="B452">
        <v>48</v>
      </c>
      <c r="C452">
        <v>98</v>
      </c>
      <c r="D452">
        <v>2</v>
      </c>
      <c r="E452">
        <v>4704</v>
      </c>
      <c r="F452" t="s">
        <v>383</v>
      </c>
      <c r="G452" t="s">
        <v>93</v>
      </c>
      <c r="H452">
        <v>1</v>
      </c>
      <c r="I452">
        <v>2</v>
      </c>
      <c r="J452">
        <v>2005</v>
      </c>
      <c r="K452" t="s">
        <v>638</v>
      </c>
      <c r="L452">
        <v>116</v>
      </c>
      <c r="M452" t="s">
        <v>680</v>
      </c>
      <c r="N452" t="s">
        <v>127</v>
      </c>
      <c r="O452">
        <v>6505551386</v>
      </c>
      <c r="P452" t="s">
        <v>128</v>
      </c>
      <c r="R452" t="s">
        <v>129</v>
      </c>
      <c r="S452" t="s">
        <v>124</v>
      </c>
      <c r="U452" t="s">
        <v>100</v>
      </c>
      <c r="V452" t="s">
        <v>101</v>
      </c>
      <c r="W452" t="s">
        <v>130</v>
      </c>
      <c r="X452" t="s">
        <v>126</v>
      </c>
      <c r="Y452" t="s">
        <v>119</v>
      </c>
    </row>
    <row r="453" spans="1:25">
      <c r="A453">
        <v>10391</v>
      </c>
      <c r="B453">
        <v>29</v>
      </c>
      <c r="C453">
        <v>85.1</v>
      </c>
      <c r="D453">
        <v>10</v>
      </c>
      <c r="E453">
        <v>2467.9</v>
      </c>
      <c r="F453" s="4">
        <v>38598</v>
      </c>
      <c r="G453" t="s">
        <v>93</v>
      </c>
      <c r="H453">
        <v>1</v>
      </c>
      <c r="I453">
        <v>3</v>
      </c>
      <c r="J453">
        <v>2005</v>
      </c>
      <c r="K453" t="s">
        <v>638</v>
      </c>
      <c r="L453">
        <v>116</v>
      </c>
      <c r="M453" t="s">
        <v>680</v>
      </c>
      <c r="N453" t="s">
        <v>384</v>
      </c>
      <c r="O453" t="s">
        <v>385</v>
      </c>
      <c r="P453" t="s">
        <v>386</v>
      </c>
      <c r="Q453" t="s">
        <v>387</v>
      </c>
      <c r="R453" t="s">
        <v>388</v>
      </c>
      <c r="S453" t="s">
        <v>239</v>
      </c>
      <c r="T453">
        <v>2060</v>
      </c>
      <c r="U453" t="s">
        <v>168</v>
      </c>
      <c r="V453" t="s">
        <v>169</v>
      </c>
      <c r="W453" t="s">
        <v>389</v>
      </c>
      <c r="X453" t="s">
        <v>390</v>
      </c>
      <c r="Y453" t="s">
        <v>104</v>
      </c>
    </row>
    <row r="454" spans="1:25">
      <c r="A454">
        <v>10411</v>
      </c>
      <c r="B454">
        <v>27</v>
      </c>
      <c r="C454">
        <v>100</v>
      </c>
      <c r="D454">
        <v>8</v>
      </c>
      <c r="E454">
        <v>3213</v>
      </c>
      <c r="F454" s="4">
        <v>38357</v>
      </c>
      <c r="G454" t="s">
        <v>93</v>
      </c>
      <c r="H454">
        <v>2</v>
      </c>
      <c r="I454">
        <v>5</v>
      </c>
      <c r="J454">
        <v>2005</v>
      </c>
      <c r="K454" t="s">
        <v>638</v>
      </c>
      <c r="L454">
        <v>116</v>
      </c>
      <c r="M454" t="s">
        <v>680</v>
      </c>
      <c r="N454" t="s">
        <v>391</v>
      </c>
      <c r="O454" t="s">
        <v>392</v>
      </c>
      <c r="P454" t="s">
        <v>393</v>
      </c>
      <c r="R454" t="s">
        <v>394</v>
      </c>
      <c r="S454" t="s">
        <v>395</v>
      </c>
      <c r="T454" t="s">
        <v>396</v>
      </c>
      <c r="U454" t="s">
        <v>322</v>
      </c>
      <c r="V454" t="s">
        <v>101</v>
      </c>
      <c r="W454" t="s">
        <v>397</v>
      </c>
      <c r="X454" t="s">
        <v>398</v>
      </c>
      <c r="Y454" t="s">
        <v>119</v>
      </c>
    </row>
    <row r="455" spans="1:25">
      <c r="A455">
        <v>10424</v>
      </c>
      <c r="B455">
        <v>54</v>
      </c>
      <c r="C455">
        <v>100</v>
      </c>
      <c r="D455">
        <v>5</v>
      </c>
      <c r="E455">
        <v>7182</v>
      </c>
      <c r="F455" t="s">
        <v>399</v>
      </c>
      <c r="G455" t="s">
        <v>400</v>
      </c>
      <c r="H455">
        <v>2</v>
      </c>
      <c r="I455">
        <v>5</v>
      </c>
      <c r="J455">
        <v>2005</v>
      </c>
      <c r="K455" t="s">
        <v>638</v>
      </c>
      <c r="L455">
        <v>116</v>
      </c>
      <c r="M455" t="s">
        <v>680</v>
      </c>
      <c r="N455" t="s">
        <v>257</v>
      </c>
      <c r="O455" t="s">
        <v>258</v>
      </c>
      <c r="P455" t="s">
        <v>259</v>
      </c>
      <c r="R455" t="s">
        <v>260</v>
      </c>
      <c r="T455">
        <v>28034</v>
      </c>
      <c r="U455" t="s">
        <v>261</v>
      </c>
      <c r="V455" t="s">
        <v>110</v>
      </c>
      <c r="W455" t="s">
        <v>262</v>
      </c>
      <c r="X455" t="s">
        <v>263</v>
      </c>
      <c r="Y455" t="s">
        <v>232</v>
      </c>
    </row>
    <row r="456" spans="1:25">
      <c r="A456">
        <v>10109</v>
      </c>
      <c r="B456">
        <v>26</v>
      </c>
      <c r="C456">
        <v>100</v>
      </c>
      <c r="D456">
        <v>4</v>
      </c>
      <c r="E456">
        <v>4379.18</v>
      </c>
      <c r="F456" s="4">
        <v>37897</v>
      </c>
      <c r="G456" t="s">
        <v>93</v>
      </c>
      <c r="H456">
        <v>1</v>
      </c>
      <c r="I456">
        <v>3</v>
      </c>
      <c r="J456">
        <v>2003</v>
      </c>
      <c r="K456" t="s">
        <v>265</v>
      </c>
      <c r="L456">
        <v>141</v>
      </c>
      <c r="M456" t="s">
        <v>681</v>
      </c>
      <c r="N456" t="s">
        <v>410</v>
      </c>
      <c r="O456">
        <v>2155559857</v>
      </c>
      <c r="P456" t="s">
        <v>411</v>
      </c>
      <c r="R456" t="s">
        <v>306</v>
      </c>
      <c r="S456" t="s">
        <v>221</v>
      </c>
      <c r="T456">
        <v>71270</v>
      </c>
      <c r="U456" t="s">
        <v>100</v>
      </c>
      <c r="V456" t="s">
        <v>101</v>
      </c>
      <c r="W456" t="s">
        <v>201</v>
      </c>
      <c r="X456" t="s">
        <v>412</v>
      </c>
      <c r="Y456" t="s">
        <v>119</v>
      </c>
    </row>
    <row r="457" spans="1:25">
      <c r="A457">
        <v>10122</v>
      </c>
      <c r="B457">
        <v>34</v>
      </c>
      <c r="C457">
        <v>100</v>
      </c>
      <c r="D457">
        <v>2</v>
      </c>
      <c r="E457">
        <v>5004.8</v>
      </c>
      <c r="F457" s="4">
        <v>37838</v>
      </c>
      <c r="G457" t="s">
        <v>93</v>
      </c>
      <c r="H457">
        <v>2</v>
      </c>
      <c r="I457">
        <v>5</v>
      </c>
      <c r="J457">
        <v>2003</v>
      </c>
      <c r="K457" t="s">
        <v>265</v>
      </c>
      <c r="L457">
        <v>141</v>
      </c>
      <c r="M457" t="s">
        <v>681</v>
      </c>
      <c r="N457" t="s">
        <v>555</v>
      </c>
      <c r="O457" t="s">
        <v>556</v>
      </c>
      <c r="P457" t="s">
        <v>557</v>
      </c>
      <c r="R457" t="s">
        <v>558</v>
      </c>
      <c r="T457">
        <v>13008</v>
      </c>
      <c r="U457" t="s">
        <v>109</v>
      </c>
      <c r="V457" t="s">
        <v>110</v>
      </c>
      <c r="W457" t="s">
        <v>559</v>
      </c>
      <c r="X457" t="s">
        <v>560</v>
      </c>
      <c r="Y457" t="s">
        <v>119</v>
      </c>
    </row>
    <row r="458" spans="1:25">
      <c r="A458">
        <v>10136</v>
      </c>
      <c r="B458">
        <v>25</v>
      </c>
      <c r="C458">
        <v>100</v>
      </c>
      <c r="D458">
        <v>2</v>
      </c>
      <c r="E458">
        <v>3644.75</v>
      </c>
      <c r="F458" s="4">
        <v>37718</v>
      </c>
      <c r="G458" t="s">
        <v>93</v>
      </c>
      <c r="H458">
        <v>3</v>
      </c>
      <c r="I458">
        <v>7</v>
      </c>
      <c r="J458">
        <v>2003</v>
      </c>
      <c r="K458" t="s">
        <v>265</v>
      </c>
      <c r="L458">
        <v>141</v>
      </c>
      <c r="M458" t="s">
        <v>681</v>
      </c>
      <c r="N458" t="s">
        <v>445</v>
      </c>
      <c r="O458" t="s">
        <v>446</v>
      </c>
      <c r="P458" t="s">
        <v>447</v>
      </c>
      <c r="R458" t="s">
        <v>448</v>
      </c>
      <c r="T458">
        <v>31000</v>
      </c>
      <c r="U458" t="s">
        <v>109</v>
      </c>
      <c r="V458" t="s">
        <v>110</v>
      </c>
      <c r="W458" t="s">
        <v>449</v>
      </c>
      <c r="X458" t="s">
        <v>450</v>
      </c>
      <c r="Y458" t="s">
        <v>119</v>
      </c>
    </row>
    <row r="459" spans="1:25">
      <c r="A459">
        <v>10148</v>
      </c>
      <c r="B459">
        <v>23</v>
      </c>
      <c r="C459">
        <v>100</v>
      </c>
      <c r="D459">
        <v>13</v>
      </c>
      <c r="E459">
        <v>2702.04</v>
      </c>
      <c r="F459" s="4">
        <v>37934</v>
      </c>
      <c r="G459" t="s">
        <v>93</v>
      </c>
      <c r="H459">
        <v>3</v>
      </c>
      <c r="I459">
        <v>9</v>
      </c>
      <c r="J459">
        <v>2003</v>
      </c>
      <c r="K459" t="s">
        <v>265</v>
      </c>
      <c r="L459">
        <v>141</v>
      </c>
      <c r="M459" t="s">
        <v>681</v>
      </c>
      <c r="N459" t="s">
        <v>384</v>
      </c>
      <c r="O459" t="s">
        <v>385</v>
      </c>
      <c r="P459" t="s">
        <v>386</v>
      </c>
      <c r="Q459" t="s">
        <v>387</v>
      </c>
      <c r="R459" t="s">
        <v>388</v>
      </c>
      <c r="S459" t="s">
        <v>239</v>
      </c>
      <c r="T459">
        <v>2060</v>
      </c>
      <c r="U459" t="s">
        <v>168</v>
      </c>
      <c r="V459" t="s">
        <v>169</v>
      </c>
      <c r="W459" t="s">
        <v>389</v>
      </c>
      <c r="X459" t="s">
        <v>390</v>
      </c>
      <c r="Y459" t="s">
        <v>104</v>
      </c>
    </row>
    <row r="460" spans="1:25">
      <c r="A460">
        <v>10161</v>
      </c>
      <c r="B460">
        <v>28</v>
      </c>
      <c r="C460">
        <v>100</v>
      </c>
      <c r="D460">
        <v>12</v>
      </c>
      <c r="E460">
        <v>3764.88</v>
      </c>
      <c r="F460" t="s">
        <v>682</v>
      </c>
      <c r="G460" t="s">
        <v>93</v>
      </c>
      <c r="H460">
        <v>4</v>
      </c>
      <c r="I460">
        <v>10</v>
      </c>
      <c r="J460">
        <v>2003</v>
      </c>
      <c r="K460" t="s">
        <v>265</v>
      </c>
      <c r="L460">
        <v>141</v>
      </c>
      <c r="M460" t="s">
        <v>681</v>
      </c>
      <c r="N460" t="s">
        <v>630</v>
      </c>
      <c r="O460" t="s">
        <v>631</v>
      </c>
      <c r="P460" t="s">
        <v>632</v>
      </c>
      <c r="R460" t="s">
        <v>633</v>
      </c>
      <c r="T460">
        <v>8200</v>
      </c>
      <c r="U460" t="s">
        <v>429</v>
      </c>
      <c r="V460" t="s">
        <v>110</v>
      </c>
      <c r="W460" t="s">
        <v>634</v>
      </c>
      <c r="X460" t="s">
        <v>635</v>
      </c>
      <c r="Y460" t="s">
        <v>119</v>
      </c>
    </row>
    <row r="461" spans="1:25">
      <c r="A461">
        <v>10171</v>
      </c>
      <c r="B461">
        <v>35</v>
      </c>
      <c r="C461">
        <v>100</v>
      </c>
      <c r="D461">
        <v>2</v>
      </c>
      <c r="E461">
        <v>4508</v>
      </c>
      <c r="F461" s="4">
        <v>37752</v>
      </c>
      <c r="G461" t="s">
        <v>93</v>
      </c>
      <c r="H461">
        <v>4</v>
      </c>
      <c r="I461">
        <v>11</v>
      </c>
      <c r="J461">
        <v>2003</v>
      </c>
      <c r="K461" t="s">
        <v>265</v>
      </c>
      <c r="L461">
        <v>141</v>
      </c>
      <c r="M461" t="s">
        <v>681</v>
      </c>
      <c r="N461" t="s">
        <v>391</v>
      </c>
      <c r="O461" t="s">
        <v>392</v>
      </c>
      <c r="P461" t="s">
        <v>393</v>
      </c>
      <c r="R461" t="s">
        <v>394</v>
      </c>
      <c r="S461" t="s">
        <v>395</v>
      </c>
      <c r="T461" t="s">
        <v>396</v>
      </c>
      <c r="U461" t="s">
        <v>322</v>
      </c>
      <c r="V461" t="s">
        <v>101</v>
      </c>
      <c r="W461" t="s">
        <v>397</v>
      </c>
      <c r="X461" t="s">
        <v>398</v>
      </c>
      <c r="Y461" t="s">
        <v>119</v>
      </c>
    </row>
    <row r="462" spans="1:25">
      <c r="A462">
        <v>10181</v>
      </c>
      <c r="B462">
        <v>44</v>
      </c>
      <c r="C462">
        <v>100</v>
      </c>
      <c r="D462">
        <v>6</v>
      </c>
      <c r="E462">
        <v>5418.16</v>
      </c>
      <c r="F462" s="4">
        <v>37966</v>
      </c>
      <c r="G462" t="s">
        <v>93</v>
      </c>
      <c r="H462">
        <v>4</v>
      </c>
      <c r="I462">
        <v>11</v>
      </c>
      <c r="J462">
        <v>2003</v>
      </c>
      <c r="K462" t="s">
        <v>265</v>
      </c>
      <c r="L462">
        <v>141</v>
      </c>
      <c r="M462" t="s">
        <v>681</v>
      </c>
      <c r="N462" t="s">
        <v>144</v>
      </c>
      <c r="O462" t="s">
        <v>145</v>
      </c>
      <c r="P462" t="s">
        <v>146</v>
      </c>
      <c r="R462" t="s">
        <v>147</v>
      </c>
      <c r="T462" t="s">
        <v>148</v>
      </c>
      <c r="U462" t="s">
        <v>149</v>
      </c>
      <c r="V462" t="s">
        <v>110</v>
      </c>
      <c r="W462" t="s">
        <v>150</v>
      </c>
      <c r="X462" t="s">
        <v>151</v>
      </c>
      <c r="Y462" t="s">
        <v>119</v>
      </c>
    </row>
    <row r="463" spans="1:25">
      <c r="A463">
        <v>10192</v>
      </c>
      <c r="B463">
        <v>22</v>
      </c>
      <c r="C463">
        <v>100</v>
      </c>
      <c r="D463">
        <v>11</v>
      </c>
      <c r="E463">
        <v>3300.66</v>
      </c>
      <c r="F463" t="s">
        <v>561</v>
      </c>
      <c r="G463" t="s">
        <v>93</v>
      </c>
      <c r="H463">
        <v>4</v>
      </c>
      <c r="I463">
        <v>11</v>
      </c>
      <c r="J463">
        <v>2003</v>
      </c>
      <c r="K463" t="s">
        <v>265</v>
      </c>
      <c r="L463">
        <v>141</v>
      </c>
      <c r="M463" t="s">
        <v>681</v>
      </c>
      <c r="N463" t="s">
        <v>372</v>
      </c>
      <c r="O463">
        <v>6035558647</v>
      </c>
      <c r="P463" t="s">
        <v>373</v>
      </c>
      <c r="R463" t="s">
        <v>374</v>
      </c>
      <c r="S463" t="s">
        <v>375</v>
      </c>
      <c r="T463">
        <v>62005</v>
      </c>
      <c r="U463" t="s">
        <v>100</v>
      </c>
      <c r="V463" t="s">
        <v>101</v>
      </c>
      <c r="W463" t="s">
        <v>125</v>
      </c>
      <c r="X463" t="s">
        <v>371</v>
      </c>
      <c r="Y463" t="s">
        <v>119</v>
      </c>
    </row>
    <row r="464" spans="1:25">
      <c r="A464">
        <v>10204</v>
      </c>
      <c r="B464">
        <v>42</v>
      </c>
      <c r="C464">
        <v>100</v>
      </c>
      <c r="D464">
        <v>17</v>
      </c>
      <c r="E464">
        <v>6182.4</v>
      </c>
      <c r="F464" s="4">
        <v>37664</v>
      </c>
      <c r="G464" t="s">
        <v>93</v>
      </c>
      <c r="H464">
        <v>4</v>
      </c>
      <c r="I464">
        <v>12</v>
      </c>
      <c r="J464">
        <v>2003</v>
      </c>
      <c r="K464" t="s">
        <v>265</v>
      </c>
      <c r="L464">
        <v>141</v>
      </c>
      <c r="M464" t="s">
        <v>681</v>
      </c>
      <c r="N464" t="s">
        <v>603</v>
      </c>
      <c r="O464">
        <v>2125557413</v>
      </c>
      <c r="P464" t="s">
        <v>604</v>
      </c>
      <c r="Q464" t="s">
        <v>605</v>
      </c>
      <c r="R464" t="s">
        <v>98</v>
      </c>
      <c r="S464" t="s">
        <v>99</v>
      </c>
      <c r="T464">
        <v>10022</v>
      </c>
      <c r="U464" t="s">
        <v>100</v>
      </c>
      <c r="V464" t="s">
        <v>101</v>
      </c>
      <c r="W464" t="s">
        <v>125</v>
      </c>
      <c r="X464" t="s">
        <v>606</v>
      </c>
      <c r="Y464" t="s">
        <v>119</v>
      </c>
    </row>
    <row r="465" spans="1:25">
      <c r="A465">
        <v>10212</v>
      </c>
      <c r="B465">
        <v>29</v>
      </c>
      <c r="C465">
        <v>100</v>
      </c>
      <c r="D465">
        <v>10</v>
      </c>
      <c r="E465">
        <v>4186.7299999999996</v>
      </c>
      <c r="F465" t="s">
        <v>653</v>
      </c>
      <c r="G465" t="s">
        <v>93</v>
      </c>
      <c r="H465">
        <v>1</v>
      </c>
      <c r="I465">
        <v>1</v>
      </c>
      <c r="J465">
        <v>2004</v>
      </c>
      <c r="K465" t="s">
        <v>265</v>
      </c>
      <c r="L465">
        <v>141</v>
      </c>
      <c r="M465" t="s">
        <v>681</v>
      </c>
      <c r="N465" t="s">
        <v>257</v>
      </c>
      <c r="O465" t="s">
        <v>258</v>
      </c>
      <c r="P465" t="s">
        <v>259</v>
      </c>
      <c r="R465" t="s">
        <v>260</v>
      </c>
      <c r="T465">
        <v>28034</v>
      </c>
      <c r="U465" t="s">
        <v>261</v>
      </c>
      <c r="V465" t="s">
        <v>110</v>
      </c>
      <c r="W465" t="s">
        <v>262</v>
      </c>
      <c r="X465" t="s">
        <v>263</v>
      </c>
      <c r="Y465" t="s">
        <v>119</v>
      </c>
    </row>
    <row r="466" spans="1:25">
      <c r="A466">
        <v>10225</v>
      </c>
      <c r="B466">
        <v>32</v>
      </c>
      <c r="C466">
        <v>100</v>
      </c>
      <c r="D466">
        <v>1</v>
      </c>
      <c r="E466">
        <v>4529.28</v>
      </c>
      <c r="F466" t="s">
        <v>569</v>
      </c>
      <c r="G466" t="s">
        <v>93</v>
      </c>
      <c r="H466">
        <v>1</v>
      </c>
      <c r="I466">
        <v>2</v>
      </c>
      <c r="J466">
        <v>2004</v>
      </c>
      <c r="K466" t="s">
        <v>265</v>
      </c>
      <c r="L466">
        <v>141</v>
      </c>
      <c r="M466" t="s">
        <v>681</v>
      </c>
      <c r="N466" t="s">
        <v>570</v>
      </c>
      <c r="O466" t="s">
        <v>571</v>
      </c>
      <c r="P466" t="s">
        <v>572</v>
      </c>
      <c r="R466" t="s">
        <v>573</v>
      </c>
      <c r="T466">
        <v>1203</v>
      </c>
      <c r="U466" t="s">
        <v>574</v>
      </c>
      <c r="V466" t="s">
        <v>110</v>
      </c>
      <c r="W466" t="s">
        <v>575</v>
      </c>
      <c r="X466" t="s">
        <v>176</v>
      </c>
      <c r="Y466" t="s">
        <v>119</v>
      </c>
    </row>
    <row r="467" spans="1:25">
      <c r="A467">
        <v>10240</v>
      </c>
      <c r="B467">
        <v>41</v>
      </c>
      <c r="C467">
        <v>100</v>
      </c>
      <c r="D467">
        <v>3</v>
      </c>
      <c r="E467">
        <v>5628.89</v>
      </c>
      <c r="F467" t="s">
        <v>683</v>
      </c>
      <c r="G467" t="s">
        <v>93</v>
      </c>
      <c r="H467">
        <v>2</v>
      </c>
      <c r="I467">
        <v>4</v>
      </c>
      <c r="J467">
        <v>2004</v>
      </c>
      <c r="K467" t="s">
        <v>265</v>
      </c>
      <c r="L467">
        <v>141</v>
      </c>
      <c r="M467" t="s">
        <v>681</v>
      </c>
      <c r="N467" t="s">
        <v>403</v>
      </c>
      <c r="O467" t="s">
        <v>404</v>
      </c>
      <c r="P467" t="s">
        <v>405</v>
      </c>
      <c r="R467" t="s">
        <v>406</v>
      </c>
      <c r="S467" t="s">
        <v>406</v>
      </c>
      <c r="T467" t="s">
        <v>407</v>
      </c>
      <c r="U467" t="s">
        <v>288</v>
      </c>
      <c r="V467" t="s">
        <v>288</v>
      </c>
      <c r="W467" t="s">
        <v>408</v>
      </c>
      <c r="X467" t="s">
        <v>409</v>
      </c>
      <c r="Y467" t="s">
        <v>119</v>
      </c>
    </row>
    <row r="468" spans="1:25">
      <c r="A468">
        <v>10253</v>
      </c>
      <c r="B468">
        <v>26</v>
      </c>
      <c r="C468">
        <v>100</v>
      </c>
      <c r="D468">
        <v>5</v>
      </c>
      <c r="E468">
        <v>3054.48</v>
      </c>
      <c r="F468" s="4">
        <v>37992</v>
      </c>
      <c r="G468" t="s">
        <v>444</v>
      </c>
      <c r="H468">
        <v>2</v>
      </c>
      <c r="I468">
        <v>6</v>
      </c>
      <c r="J468">
        <v>2004</v>
      </c>
      <c r="K468" t="s">
        <v>265</v>
      </c>
      <c r="L468">
        <v>141</v>
      </c>
      <c r="M468" t="s">
        <v>681</v>
      </c>
      <c r="N468" t="s">
        <v>247</v>
      </c>
      <c r="O468" t="s">
        <v>248</v>
      </c>
      <c r="P468" t="s">
        <v>249</v>
      </c>
      <c r="R468" t="s">
        <v>250</v>
      </c>
      <c r="T468" t="s">
        <v>251</v>
      </c>
      <c r="U468" t="s">
        <v>252</v>
      </c>
      <c r="V468" t="s">
        <v>110</v>
      </c>
      <c r="W468" t="s">
        <v>253</v>
      </c>
      <c r="X468" t="s">
        <v>254</v>
      </c>
      <c r="Y468" t="s">
        <v>119</v>
      </c>
    </row>
    <row r="469" spans="1:25">
      <c r="A469">
        <v>10266</v>
      </c>
      <c r="B469">
        <v>21</v>
      </c>
      <c r="C469">
        <v>100</v>
      </c>
      <c r="D469">
        <v>6</v>
      </c>
      <c r="E469">
        <v>2526.5100000000002</v>
      </c>
      <c r="F469" s="4">
        <v>38145</v>
      </c>
      <c r="G469" t="s">
        <v>93</v>
      </c>
      <c r="H469">
        <v>3</v>
      </c>
      <c r="I469">
        <v>7</v>
      </c>
      <c r="J469">
        <v>2004</v>
      </c>
      <c r="K469" t="s">
        <v>265</v>
      </c>
      <c r="L469">
        <v>141</v>
      </c>
      <c r="M469" t="s">
        <v>681</v>
      </c>
      <c r="N469" t="s">
        <v>576</v>
      </c>
      <c r="O469" t="s">
        <v>577</v>
      </c>
      <c r="P469" t="s">
        <v>578</v>
      </c>
      <c r="R469" t="s">
        <v>579</v>
      </c>
      <c r="T469">
        <v>42100</v>
      </c>
      <c r="U469" t="s">
        <v>352</v>
      </c>
      <c r="V469" t="s">
        <v>110</v>
      </c>
      <c r="W469" t="s">
        <v>580</v>
      </c>
      <c r="X469" t="s">
        <v>581</v>
      </c>
      <c r="Y469" t="s">
        <v>104</v>
      </c>
    </row>
    <row r="470" spans="1:25">
      <c r="A470">
        <v>10278</v>
      </c>
      <c r="B470">
        <v>34</v>
      </c>
      <c r="C470">
        <v>100</v>
      </c>
      <c r="D470">
        <v>6</v>
      </c>
      <c r="E470">
        <v>4667.8599999999997</v>
      </c>
      <c r="F470" s="4">
        <v>38146</v>
      </c>
      <c r="G470" t="s">
        <v>93</v>
      </c>
      <c r="H470">
        <v>3</v>
      </c>
      <c r="I470">
        <v>8</v>
      </c>
      <c r="J470">
        <v>2004</v>
      </c>
      <c r="K470" t="s">
        <v>265</v>
      </c>
      <c r="L470">
        <v>141</v>
      </c>
      <c r="M470" t="s">
        <v>681</v>
      </c>
      <c r="N470" t="s">
        <v>684</v>
      </c>
      <c r="O470">
        <v>7025551838</v>
      </c>
      <c r="P470" t="s">
        <v>685</v>
      </c>
      <c r="R470" t="s">
        <v>686</v>
      </c>
      <c r="S470" t="s">
        <v>687</v>
      </c>
      <c r="T470">
        <v>83030</v>
      </c>
      <c r="U470" t="s">
        <v>100</v>
      </c>
      <c r="V470" t="s">
        <v>101</v>
      </c>
      <c r="W470" t="s">
        <v>188</v>
      </c>
      <c r="X470" t="s">
        <v>517</v>
      </c>
      <c r="Y470" t="s">
        <v>119</v>
      </c>
    </row>
    <row r="471" spans="1:25">
      <c r="A471">
        <v>10287</v>
      </c>
      <c r="B471">
        <v>41</v>
      </c>
      <c r="C471">
        <v>100</v>
      </c>
      <c r="D471">
        <v>4</v>
      </c>
      <c r="E471">
        <v>6499.32</v>
      </c>
      <c r="F471" t="s">
        <v>586</v>
      </c>
      <c r="G471" t="s">
        <v>93</v>
      </c>
      <c r="H471">
        <v>3</v>
      </c>
      <c r="I471">
        <v>8</v>
      </c>
      <c r="J471">
        <v>2004</v>
      </c>
      <c r="K471" t="s">
        <v>265</v>
      </c>
      <c r="L471">
        <v>141</v>
      </c>
      <c r="M471" t="s">
        <v>681</v>
      </c>
      <c r="N471" t="s">
        <v>570</v>
      </c>
      <c r="O471" t="s">
        <v>571</v>
      </c>
      <c r="P471" t="s">
        <v>572</v>
      </c>
      <c r="R471" t="s">
        <v>573</v>
      </c>
      <c r="T471">
        <v>1203</v>
      </c>
      <c r="U471" t="s">
        <v>574</v>
      </c>
      <c r="V471" t="s">
        <v>110</v>
      </c>
      <c r="W471" t="s">
        <v>575</v>
      </c>
      <c r="X471" t="s">
        <v>176</v>
      </c>
      <c r="Y471" t="s">
        <v>119</v>
      </c>
    </row>
    <row r="472" spans="1:25">
      <c r="A472">
        <v>10301</v>
      </c>
      <c r="B472">
        <v>37</v>
      </c>
      <c r="C472">
        <v>100</v>
      </c>
      <c r="D472">
        <v>8</v>
      </c>
      <c r="E472">
        <v>5917.78</v>
      </c>
      <c r="F472" s="4">
        <v>37751</v>
      </c>
      <c r="G472" t="s">
        <v>93</v>
      </c>
      <c r="H472">
        <v>4</v>
      </c>
      <c r="I472">
        <v>10</v>
      </c>
      <c r="J472">
        <v>2003</v>
      </c>
      <c r="K472" t="s">
        <v>265</v>
      </c>
      <c r="L472">
        <v>141</v>
      </c>
      <c r="M472" t="s">
        <v>681</v>
      </c>
      <c r="N472" t="s">
        <v>688</v>
      </c>
      <c r="O472" t="s">
        <v>689</v>
      </c>
      <c r="P472" t="s">
        <v>690</v>
      </c>
      <c r="R472" t="s">
        <v>691</v>
      </c>
      <c r="T472" t="s">
        <v>692</v>
      </c>
      <c r="U472" t="s">
        <v>149</v>
      </c>
      <c r="V472" t="s">
        <v>110</v>
      </c>
      <c r="W472" t="s">
        <v>693</v>
      </c>
      <c r="X472" t="s">
        <v>694</v>
      </c>
      <c r="Y472" t="s">
        <v>119</v>
      </c>
    </row>
    <row r="473" spans="1:25">
      <c r="A473">
        <v>10310</v>
      </c>
      <c r="B473">
        <v>37</v>
      </c>
      <c r="C473">
        <v>100</v>
      </c>
      <c r="D473">
        <v>2</v>
      </c>
      <c r="E473">
        <v>6231.91</v>
      </c>
      <c r="F473" t="s">
        <v>592</v>
      </c>
      <c r="G473" t="s">
        <v>93</v>
      </c>
      <c r="H473">
        <v>4</v>
      </c>
      <c r="I473">
        <v>10</v>
      </c>
      <c r="J473">
        <v>2004</v>
      </c>
      <c r="K473" t="s">
        <v>265</v>
      </c>
      <c r="L473">
        <v>141</v>
      </c>
      <c r="M473" t="s">
        <v>681</v>
      </c>
      <c r="N473" t="s">
        <v>562</v>
      </c>
      <c r="O473" t="s">
        <v>563</v>
      </c>
      <c r="P473" t="s">
        <v>564</v>
      </c>
      <c r="R473" t="s">
        <v>565</v>
      </c>
      <c r="T473">
        <v>50739</v>
      </c>
      <c r="U473" t="s">
        <v>566</v>
      </c>
      <c r="V473" t="s">
        <v>110</v>
      </c>
      <c r="W473" t="s">
        <v>567</v>
      </c>
      <c r="X473" t="s">
        <v>568</v>
      </c>
      <c r="Y473" t="s">
        <v>119</v>
      </c>
    </row>
    <row r="474" spans="1:25">
      <c r="A474">
        <v>10321</v>
      </c>
      <c r="B474">
        <v>41</v>
      </c>
      <c r="C474">
        <v>100</v>
      </c>
      <c r="D474">
        <v>10</v>
      </c>
      <c r="E474">
        <v>5803.14</v>
      </c>
      <c r="F474" s="4">
        <v>38088</v>
      </c>
      <c r="G474" t="s">
        <v>93</v>
      </c>
      <c r="H474">
        <v>4</v>
      </c>
      <c r="I474">
        <v>11</v>
      </c>
      <c r="J474">
        <v>2004</v>
      </c>
      <c r="K474" t="s">
        <v>265</v>
      </c>
      <c r="L474">
        <v>141</v>
      </c>
      <c r="M474" t="s">
        <v>681</v>
      </c>
      <c r="N474" t="s">
        <v>242</v>
      </c>
      <c r="O474">
        <v>5085552555</v>
      </c>
      <c r="P474" t="s">
        <v>243</v>
      </c>
      <c r="R474" t="s">
        <v>244</v>
      </c>
      <c r="S474" t="s">
        <v>200</v>
      </c>
      <c r="T474">
        <v>50553</v>
      </c>
      <c r="U474" t="s">
        <v>100</v>
      </c>
      <c r="V474" t="s">
        <v>101</v>
      </c>
      <c r="W474" t="s">
        <v>245</v>
      </c>
      <c r="X474" t="s">
        <v>246</v>
      </c>
      <c r="Y474" t="s">
        <v>119</v>
      </c>
    </row>
    <row r="475" spans="1:25">
      <c r="A475">
        <v>10331</v>
      </c>
      <c r="B475">
        <v>46</v>
      </c>
      <c r="C475">
        <v>100</v>
      </c>
      <c r="D475">
        <v>6</v>
      </c>
      <c r="E475">
        <v>6434.02</v>
      </c>
      <c r="F475" t="s">
        <v>695</v>
      </c>
      <c r="G475" t="s">
        <v>93</v>
      </c>
      <c r="H475">
        <v>4</v>
      </c>
      <c r="I475">
        <v>11</v>
      </c>
      <c r="J475">
        <v>2004</v>
      </c>
      <c r="K475" t="s">
        <v>265</v>
      </c>
      <c r="L475">
        <v>141</v>
      </c>
      <c r="M475" t="s">
        <v>681</v>
      </c>
      <c r="N475" t="s">
        <v>410</v>
      </c>
      <c r="O475">
        <v>2155559857</v>
      </c>
      <c r="P475" t="s">
        <v>411</v>
      </c>
      <c r="R475" t="s">
        <v>306</v>
      </c>
      <c r="S475" t="s">
        <v>221</v>
      </c>
      <c r="T475">
        <v>71270</v>
      </c>
      <c r="U475" t="s">
        <v>100</v>
      </c>
      <c r="V475" t="s">
        <v>101</v>
      </c>
      <c r="W475" t="s">
        <v>201</v>
      </c>
      <c r="X475" t="s">
        <v>412</v>
      </c>
      <c r="Y475" t="s">
        <v>119</v>
      </c>
    </row>
    <row r="476" spans="1:25">
      <c r="A476">
        <v>10342</v>
      </c>
      <c r="B476">
        <v>40</v>
      </c>
      <c r="C476">
        <v>100</v>
      </c>
      <c r="D476">
        <v>2</v>
      </c>
      <c r="E476">
        <v>6454.4</v>
      </c>
      <c r="F476" t="s">
        <v>224</v>
      </c>
      <c r="G476" t="s">
        <v>93</v>
      </c>
      <c r="H476">
        <v>4</v>
      </c>
      <c r="I476">
        <v>11</v>
      </c>
      <c r="J476">
        <v>2004</v>
      </c>
      <c r="K476" t="s">
        <v>265</v>
      </c>
      <c r="L476">
        <v>141</v>
      </c>
      <c r="M476" t="s">
        <v>681</v>
      </c>
      <c r="N476" t="s">
        <v>162</v>
      </c>
      <c r="O476" t="s">
        <v>163</v>
      </c>
      <c r="P476" t="s">
        <v>164</v>
      </c>
      <c r="Q476" t="s">
        <v>165</v>
      </c>
      <c r="R476" t="s">
        <v>166</v>
      </c>
      <c r="S476" t="s">
        <v>167</v>
      </c>
      <c r="T476">
        <v>3004</v>
      </c>
      <c r="U476" t="s">
        <v>168</v>
      </c>
      <c r="V476" t="s">
        <v>169</v>
      </c>
      <c r="W476" t="s">
        <v>170</v>
      </c>
      <c r="X476" t="s">
        <v>171</v>
      </c>
      <c r="Y476" t="s">
        <v>119</v>
      </c>
    </row>
    <row r="477" spans="1:25">
      <c r="A477">
        <v>10356</v>
      </c>
      <c r="B477">
        <v>43</v>
      </c>
      <c r="C477">
        <v>97.6</v>
      </c>
      <c r="D477">
        <v>8</v>
      </c>
      <c r="E477">
        <v>4196.8</v>
      </c>
      <c r="F477" s="4">
        <v>38242</v>
      </c>
      <c r="G477" t="s">
        <v>93</v>
      </c>
      <c r="H477">
        <v>4</v>
      </c>
      <c r="I477">
        <v>12</v>
      </c>
      <c r="J477">
        <v>2004</v>
      </c>
      <c r="K477" t="s">
        <v>265</v>
      </c>
      <c r="L477">
        <v>141</v>
      </c>
      <c r="M477" t="s">
        <v>681</v>
      </c>
      <c r="N477" t="s">
        <v>113</v>
      </c>
      <c r="O477" t="s">
        <v>114</v>
      </c>
      <c r="P477" t="s">
        <v>115</v>
      </c>
      <c r="R477" t="s">
        <v>116</v>
      </c>
      <c r="T477">
        <v>75508</v>
      </c>
      <c r="U477" t="s">
        <v>109</v>
      </c>
      <c r="V477" t="s">
        <v>110</v>
      </c>
      <c r="W477" t="s">
        <v>117</v>
      </c>
      <c r="X477" t="s">
        <v>118</v>
      </c>
      <c r="Y477" t="s">
        <v>119</v>
      </c>
    </row>
    <row r="478" spans="1:25">
      <c r="A478">
        <v>10365</v>
      </c>
      <c r="B478">
        <v>30</v>
      </c>
      <c r="C478">
        <v>87.06</v>
      </c>
      <c r="D478">
        <v>1</v>
      </c>
      <c r="E478">
        <v>2611.8000000000002</v>
      </c>
      <c r="F478" s="4">
        <v>38534</v>
      </c>
      <c r="G478" t="s">
        <v>93</v>
      </c>
      <c r="H478">
        <v>1</v>
      </c>
      <c r="I478">
        <v>1</v>
      </c>
      <c r="J478">
        <v>2005</v>
      </c>
      <c r="K478" t="s">
        <v>265</v>
      </c>
      <c r="L478">
        <v>141</v>
      </c>
      <c r="M478" t="s">
        <v>681</v>
      </c>
      <c r="N478" t="s">
        <v>439</v>
      </c>
      <c r="O478">
        <v>5085559555</v>
      </c>
      <c r="P478" t="s">
        <v>440</v>
      </c>
      <c r="R478" t="s">
        <v>244</v>
      </c>
      <c r="S478" t="s">
        <v>200</v>
      </c>
      <c r="T478">
        <v>50553</v>
      </c>
      <c r="U478" t="s">
        <v>100</v>
      </c>
      <c r="V478" t="s">
        <v>101</v>
      </c>
      <c r="W478" t="s">
        <v>441</v>
      </c>
      <c r="X478" t="s">
        <v>442</v>
      </c>
      <c r="Y478" t="s">
        <v>104</v>
      </c>
    </row>
    <row r="479" spans="1:25">
      <c r="A479">
        <v>10377</v>
      </c>
      <c r="B479">
        <v>35</v>
      </c>
      <c r="C479">
        <v>100</v>
      </c>
      <c r="D479">
        <v>2</v>
      </c>
      <c r="E479">
        <v>5895.05</v>
      </c>
      <c r="F479" s="4">
        <v>38597</v>
      </c>
      <c r="G479" t="s">
        <v>93</v>
      </c>
      <c r="H479">
        <v>1</v>
      </c>
      <c r="I479">
        <v>2</v>
      </c>
      <c r="J479">
        <v>2005</v>
      </c>
      <c r="K479" t="s">
        <v>265</v>
      </c>
      <c r="L479">
        <v>141</v>
      </c>
      <c r="M479" t="s">
        <v>681</v>
      </c>
      <c r="N479" t="s">
        <v>204</v>
      </c>
      <c r="O479" t="s">
        <v>205</v>
      </c>
      <c r="P479" t="s">
        <v>206</v>
      </c>
      <c r="R479" t="s">
        <v>207</v>
      </c>
      <c r="T479">
        <v>21240</v>
      </c>
      <c r="U479" t="s">
        <v>208</v>
      </c>
      <c r="V479" t="s">
        <v>110</v>
      </c>
      <c r="W479" t="s">
        <v>209</v>
      </c>
      <c r="X479" t="s">
        <v>210</v>
      </c>
      <c r="Y479" t="s">
        <v>119</v>
      </c>
    </row>
    <row r="480" spans="1:25">
      <c r="A480">
        <v>10390</v>
      </c>
      <c r="B480">
        <v>36</v>
      </c>
      <c r="C480">
        <v>93.77</v>
      </c>
      <c r="D480">
        <v>14</v>
      </c>
      <c r="E480">
        <v>3375.72</v>
      </c>
      <c r="F480" s="4">
        <v>38445</v>
      </c>
      <c r="G480" t="s">
        <v>93</v>
      </c>
      <c r="H480">
        <v>1</v>
      </c>
      <c r="I480">
        <v>3</v>
      </c>
      <c r="J480">
        <v>2005</v>
      </c>
      <c r="K480" t="s">
        <v>265</v>
      </c>
      <c r="L480">
        <v>141</v>
      </c>
      <c r="M480" t="s">
        <v>681</v>
      </c>
      <c r="N480" t="s">
        <v>367</v>
      </c>
      <c r="O480">
        <v>4155551450</v>
      </c>
      <c r="P480" t="s">
        <v>368</v>
      </c>
      <c r="R480" t="s">
        <v>369</v>
      </c>
      <c r="S480" t="s">
        <v>124</v>
      </c>
      <c r="T480">
        <v>97562</v>
      </c>
      <c r="U480" t="s">
        <v>100</v>
      </c>
      <c r="V480" t="s">
        <v>101</v>
      </c>
      <c r="W480" t="s">
        <v>370</v>
      </c>
      <c r="X480" t="s">
        <v>371</v>
      </c>
      <c r="Y480" t="s">
        <v>119</v>
      </c>
    </row>
    <row r="481" spans="1:25">
      <c r="A481">
        <v>10406</v>
      </c>
      <c r="B481">
        <v>61</v>
      </c>
      <c r="C481">
        <v>100</v>
      </c>
      <c r="D481">
        <v>3</v>
      </c>
      <c r="E481">
        <v>8374.69</v>
      </c>
      <c r="F481" t="s">
        <v>696</v>
      </c>
      <c r="G481" t="s">
        <v>256</v>
      </c>
      <c r="H481">
        <v>2</v>
      </c>
      <c r="I481">
        <v>4</v>
      </c>
      <c r="J481">
        <v>2005</v>
      </c>
      <c r="K481" t="s">
        <v>265</v>
      </c>
      <c r="L481">
        <v>141</v>
      </c>
      <c r="M481" t="s">
        <v>681</v>
      </c>
      <c r="N481" t="s">
        <v>425</v>
      </c>
      <c r="O481" t="s">
        <v>426</v>
      </c>
      <c r="P481" t="s">
        <v>427</v>
      </c>
      <c r="R481" t="s">
        <v>428</v>
      </c>
      <c r="T481">
        <v>1734</v>
      </c>
      <c r="U481" t="s">
        <v>429</v>
      </c>
      <c r="V481" t="s">
        <v>110</v>
      </c>
      <c r="W481" t="s">
        <v>430</v>
      </c>
      <c r="X481" t="s">
        <v>431</v>
      </c>
      <c r="Y481" t="s">
        <v>232</v>
      </c>
    </row>
    <row r="482" spans="1:25">
      <c r="A482">
        <v>10419</v>
      </c>
      <c r="B482">
        <v>38</v>
      </c>
      <c r="C482">
        <v>100</v>
      </c>
      <c r="D482">
        <v>5</v>
      </c>
      <c r="E482">
        <v>4464.24</v>
      </c>
      <c r="F482" t="s">
        <v>600</v>
      </c>
      <c r="G482" t="s">
        <v>93</v>
      </c>
      <c r="H482">
        <v>2</v>
      </c>
      <c r="I482">
        <v>5</v>
      </c>
      <c r="J482">
        <v>2005</v>
      </c>
      <c r="K482" t="s">
        <v>265</v>
      </c>
      <c r="L482">
        <v>141</v>
      </c>
      <c r="M482" t="s">
        <v>681</v>
      </c>
      <c r="N482" t="s">
        <v>225</v>
      </c>
      <c r="O482" t="s">
        <v>226</v>
      </c>
      <c r="P482" t="s">
        <v>227</v>
      </c>
      <c r="R482" t="s">
        <v>228</v>
      </c>
      <c r="T482">
        <v>5020</v>
      </c>
      <c r="U482" t="s">
        <v>229</v>
      </c>
      <c r="V482" t="s">
        <v>110</v>
      </c>
      <c r="W482" t="s">
        <v>230</v>
      </c>
      <c r="X482" t="s">
        <v>231</v>
      </c>
      <c r="Y482" t="s">
        <v>119</v>
      </c>
    </row>
    <row r="483" spans="1:25">
      <c r="A483">
        <v>10102</v>
      </c>
      <c r="B483">
        <v>39</v>
      </c>
      <c r="C483">
        <v>100</v>
      </c>
      <c r="D483">
        <v>2</v>
      </c>
      <c r="E483">
        <v>4808.3100000000004</v>
      </c>
      <c r="F483" s="4">
        <v>37895</v>
      </c>
      <c r="G483" t="s">
        <v>93</v>
      </c>
      <c r="H483">
        <v>1</v>
      </c>
      <c r="I483">
        <v>1</v>
      </c>
      <c r="J483">
        <v>2003</v>
      </c>
      <c r="K483" t="s">
        <v>697</v>
      </c>
      <c r="L483">
        <v>102</v>
      </c>
      <c r="M483" t="s">
        <v>698</v>
      </c>
      <c r="N483" t="s">
        <v>172</v>
      </c>
      <c r="O483">
        <v>2125551500</v>
      </c>
      <c r="P483" t="s">
        <v>173</v>
      </c>
      <c r="Q483" t="s">
        <v>174</v>
      </c>
      <c r="R483" t="s">
        <v>98</v>
      </c>
      <c r="S483" t="s">
        <v>99</v>
      </c>
      <c r="T483">
        <v>10022</v>
      </c>
      <c r="U483" t="s">
        <v>100</v>
      </c>
      <c r="V483" t="s">
        <v>101</v>
      </c>
      <c r="W483" t="s">
        <v>175</v>
      </c>
      <c r="X483" t="s">
        <v>176</v>
      </c>
      <c r="Y483" t="s">
        <v>119</v>
      </c>
    </row>
    <row r="484" spans="1:25">
      <c r="A484">
        <v>10111</v>
      </c>
      <c r="B484">
        <v>33</v>
      </c>
      <c r="C484">
        <v>99.66</v>
      </c>
      <c r="D484">
        <v>6</v>
      </c>
      <c r="E484">
        <v>3288.78</v>
      </c>
      <c r="F484" t="s">
        <v>699</v>
      </c>
      <c r="G484" t="s">
        <v>93</v>
      </c>
      <c r="H484">
        <v>1</v>
      </c>
      <c r="I484">
        <v>3</v>
      </c>
      <c r="J484">
        <v>2003</v>
      </c>
      <c r="K484" t="s">
        <v>697</v>
      </c>
      <c r="L484">
        <v>102</v>
      </c>
      <c r="M484" t="s">
        <v>698</v>
      </c>
      <c r="N484" t="s">
        <v>152</v>
      </c>
      <c r="O484">
        <v>6505555787</v>
      </c>
      <c r="P484" t="s">
        <v>153</v>
      </c>
      <c r="R484" t="s">
        <v>129</v>
      </c>
      <c r="S484" t="s">
        <v>124</v>
      </c>
      <c r="U484" t="s">
        <v>100</v>
      </c>
      <c r="V484" t="s">
        <v>101</v>
      </c>
      <c r="W484" t="s">
        <v>154</v>
      </c>
      <c r="X484" t="s">
        <v>126</v>
      </c>
      <c r="Y484" t="s">
        <v>119</v>
      </c>
    </row>
    <row r="485" spans="1:25">
      <c r="A485">
        <v>10125</v>
      </c>
      <c r="B485">
        <v>32</v>
      </c>
      <c r="C485">
        <v>100</v>
      </c>
      <c r="D485">
        <v>1</v>
      </c>
      <c r="E485">
        <v>3254.72</v>
      </c>
      <c r="F485" t="s">
        <v>700</v>
      </c>
      <c r="G485" t="s">
        <v>93</v>
      </c>
      <c r="H485">
        <v>2</v>
      </c>
      <c r="I485">
        <v>5</v>
      </c>
      <c r="J485">
        <v>2003</v>
      </c>
      <c r="K485" t="s">
        <v>697</v>
      </c>
      <c r="L485">
        <v>102</v>
      </c>
      <c r="M485" t="s">
        <v>698</v>
      </c>
      <c r="N485" t="s">
        <v>162</v>
      </c>
      <c r="O485" t="s">
        <v>163</v>
      </c>
      <c r="P485" t="s">
        <v>164</v>
      </c>
      <c r="Q485" t="s">
        <v>165</v>
      </c>
      <c r="R485" t="s">
        <v>166</v>
      </c>
      <c r="S485" t="s">
        <v>167</v>
      </c>
      <c r="T485">
        <v>3004</v>
      </c>
      <c r="U485" t="s">
        <v>168</v>
      </c>
      <c r="V485" t="s">
        <v>169</v>
      </c>
      <c r="W485" t="s">
        <v>170</v>
      </c>
      <c r="X485" t="s">
        <v>171</v>
      </c>
      <c r="Y485" t="s">
        <v>119</v>
      </c>
    </row>
    <row r="486" spans="1:25">
      <c r="A486">
        <v>10139</v>
      </c>
      <c r="B486">
        <v>31</v>
      </c>
      <c r="C486">
        <v>100</v>
      </c>
      <c r="D486">
        <v>7</v>
      </c>
      <c r="E486">
        <v>3184.94</v>
      </c>
      <c r="F486" t="s">
        <v>701</v>
      </c>
      <c r="G486" t="s">
        <v>93</v>
      </c>
      <c r="H486">
        <v>3</v>
      </c>
      <c r="I486">
        <v>7</v>
      </c>
      <c r="J486">
        <v>2003</v>
      </c>
      <c r="K486" t="s">
        <v>697</v>
      </c>
      <c r="L486">
        <v>102</v>
      </c>
      <c r="M486" t="s">
        <v>698</v>
      </c>
      <c r="N486" t="s">
        <v>234</v>
      </c>
      <c r="O486" t="s">
        <v>235</v>
      </c>
      <c r="P486" t="s">
        <v>236</v>
      </c>
      <c r="Q486" t="s">
        <v>237</v>
      </c>
      <c r="R486" t="s">
        <v>238</v>
      </c>
      <c r="S486" t="s">
        <v>239</v>
      </c>
      <c r="T486">
        <v>2067</v>
      </c>
      <c r="U486" t="s">
        <v>168</v>
      </c>
      <c r="V486" t="s">
        <v>169</v>
      </c>
      <c r="W486" t="s">
        <v>240</v>
      </c>
      <c r="X486" t="s">
        <v>241</v>
      </c>
      <c r="Y486" t="s">
        <v>119</v>
      </c>
    </row>
    <row r="487" spans="1:25">
      <c r="A487">
        <v>10149</v>
      </c>
      <c r="B487">
        <v>50</v>
      </c>
      <c r="C487">
        <v>100</v>
      </c>
      <c r="D487">
        <v>4</v>
      </c>
      <c r="E487">
        <v>5907.5</v>
      </c>
      <c r="F487" s="4">
        <v>37964</v>
      </c>
      <c r="G487" t="s">
        <v>93</v>
      </c>
      <c r="H487">
        <v>3</v>
      </c>
      <c r="I487">
        <v>9</v>
      </c>
      <c r="J487">
        <v>2003</v>
      </c>
      <c r="K487" t="s">
        <v>697</v>
      </c>
      <c r="L487">
        <v>102</v>
      </c>
      <c r="M487" t="s">
        <v>698</v>
      </c>
      <c r="N487" t="s">
        <v>668</v>
      </c>
      <c r="O487">
        <v>4155554312</v>
      </c>
      <c r="P487" t="s">
        <v>669</v>
      </c>
      <c r="R487" t="s">
        <v>670</v>
      </c>
      <c r="S487" t="s">
        <v>124</v>
      </c>
      <c r="T487">
        <v>94217</v>
      </c>
      <c r="U487" t="s">
        <v>100</v>
      </c>
      <c r="V487" t="s">
        <v>101</v>
      </c>
      <c r="W487" t="s">
        <v>671</v>
      </c>
      <c r="X487" t="s">
        <v>517</v>
      </c>
      <c r="Y487" t="s">
        <v>119</v>
      </c>
    </row>
    <row r="488" spans="1:25">
      <c r="A488">
        <v>10162</v>
      </c>
      <c r="B488">
        <v>48</v>
      </c>
      <c r="C488">
        <v>91.44</v>
      </c>
      <c r="D488">
        <v>2</v>
      </c>
      <c r="E488">
        <v>4389.12</v>
      </c>
      <c r="F488" t="s">
        <v>702</v>
      </c>
      <c r="G488" t="s">
        <v>93</v>
      </c>
      <c r="H488">
        <v>4</v>
      </c>
      <c r="I488">
        <v>10</v>
      </c>
      <c r="J488">
        <v>2003</v>
      </c>
      <c r="K488" t="s">
        <v>697</v>
      </c>
      <c r="L488">
        <v>102</v>
      </c>
      <c r="M488" t="s">
        <v>698</v>
      </c>
      <c r="N488" t="s">
        <v>127</v>
      </c>
      <c r="O488">
        <v>6505551386</v>
      </c>
      <c r="P488" t="s">
        <v>128</v>
      </c>
      <c r="R488" t="s">
        <v>129</v>
      </c>
      <c r="S488" t="s">
        <v>124</v>
      </c>
      <c r="U488" t="s">
        <v>100</v>
      </c>
      <c r="V488" t="s">
        <v>101</v>
      </c>
      <c r="W488" t="s">
        <v>130</v>
      </c>
      <c r="X488" t="s">
        <v>126</v>
      </c>
      <c r="Y488" t="s">
        <v>119</v>
      </c>
    </row>
    <row r="489" spans="1:25">
      <c r="A489">
        <v>10173</v>
      </c>
      <c r="B489">
        <v>43</v>
      </c>
      <c r="C489">
        <v>100</v>
      </c>
      <c r="D489">
        <v>6</v>
      </c>
      <c r="E489">
        <v>5036.16</v>
      </c>
      <c r="F489" s="4">
        <v>37752</v>
      </c>
      <c r="G489" t="s">
        <v>93</v>
      </c>
      <c r="H489">
        <v>4</v>
      </c>
      <c r="I489">
        <v>11</v>
      </c>
      <c r="J489">
        <v>2003</v>
      </c>
      <c r="K489" t="s">
        <v>697</v>
      </c>
      <c r="L489">
        <v>102</v>
      </c>
      <c r="M489" t="s">
        <v>698</v>
      </c>
      <c r="N489" t="s">
        <v>703</v>
      </c>
      <c r="O489" t="s">
        <v>704</v>
      </c>
      <c r="P489" t="s">
        <v>705</v>
      </c>
      <c r="R489" t="s">
        <v>706</v>
      </c>
      <c r="T489">
        <v>24100</v>
      </c>
      <c r="U489" t="s">
        <v>352</v>
      </c>
      <c r="V489" t="s">
        <v>110</v>
      </c>
      <c r="W489" t="s">
        <v>707</v>
      </c>
      <c r="X489" t="s">
        <v>708</v>
      </c>
      <c r="Y489" t="s">
        <v>119</v>
      </c>
    </row>
    <row r="490" spans="1:25">
      <c r="A490">
        <v>10182</v>
      </c>
      <c r="B490">
        <v>25</v>
      </c>
      <c r="C490">
        <v>87.33</v>
      </c>
      <c r="D490">
        <v>3</v>
      </c>
      <c r="E490">
        <v>2183.25</v>
      </c>
      <c r="F490" s="4">
        <v>37966</v>
      </c>
      <c r="G490" t="s">
        <v>93</v>
      </c>
      <c r="H490">
        <v>4</v>
      </c>
      <c r="I490">
        <v>11</v>
      </c>
      <c r="J490">
        <v>2003</v>
      </c>
      <c r="K490" t="s">
        <v>697</v>
      </c>
      <c r="L490">
        <v>102</v>
      </c>
      <c r="M490" t="s">
        <v>698</v>
      </c>
      <c r="N490" t="s">
        <v>367</v>
      </c>
      <c r="O490">
        <v>4155551450</v>
      </c>
      <c r="P490" t="s">
        <v>368</v>
      </c>
      <c r="R490" t="s">
        <v>369</v>
      </c>
      <c r="S490" t="s">
        <v>124</v>
      </c>
      <c r="T490">
        <v>97562</v>
      </c>
      <c r="U490" t="s">
        <v>100</v>
      </c>
      <c r="V490" t="s">
        <v>101</v>
      </c>
      <c r="W490" t="s">
        <v>370</v>
      </c>
      <c r="X490" t="s">
        <v>371</v>
      </c>
      <c r="Y490" t="s">
        <v>104</v>
      </c>
    </row>
    <row r="491" spans="1:25">
      <c r="A491">
        <v>10193</v>
      </c>
      <c r="B491">
        <v>28</v>
      </c>
      <c r="C491">
        <v>100</v>
      </c>
      <c r="D491">
        <v>7</v>
      </c>
      <c r="E491">
        <v>3106.88</v>
      </c>
      <c r="F491" t="s">
        <v>709</v>
      </c>
      <c r="G491" t="s">
        <v>93</v>
      </c>
      <c r="H491">
        <v>4</v>
      </c>
      <c r="I491">
        <v>11</v>
      </c>
      <c r="J491">
        <v>2003</v>
      </c>
      <c r="K491" t="s">
        <v>697</v>
      </c>
      <c r="L491">
        <v>102</v>
      </c>
      <c r="M491" t="s">
        <v>698</v>
      </c>
      <c r="N491" t="s">
        <v>710</v>
      </c>
      <c r="O491" t="s">
        <v>711</v>
      </c>
      <c r="P491" t="s">
        <v>712</v>
      </c>
      <c r="R491" t="s">
        <v>713</v>
      </c>
      <c r="S491" t="s">
        <v>167</v>
      </c>
      <c r="T491">
        <v>3150</v>
      </c>
      <c r="U491" t="s">
        <v>168</v>
      </c>
      <c r="V491" t="s">
        <v>169</v>
      </c>
      <c r="W491" t="s">
        <v>714</v>
      </c>
      <c r="X491" t="s">
        <v>715</v>
      </c>
      <c r="Y491" t="s">
        <v>119</v>
      </c>
    </row>
    <row r="492" spans="1:25">
      <c r="A492">
        <v>10205</v>
      </c>
      <c r="B492">
        <v>36</v>
      </c>
      <c r="C492">
        <v>100</v>
      </c>
      <c r="D492">
        <v>2</v>
      </c>
      <c r="E492">
        <v>3735.72</v>
      </c>
      <c r="F492" s="4">
        <v>37692</v>
      </c>
      <c r="G492" t="s">
        <v>93</v>
      </c>
      <c r="H492">
        <v>4</v>
      </c>
      <c r="I492">
        <v>12</v>
      </c>
      <c r="J492">
        <v>2003</v>
      </c>
      <c r="K492" t="s">
        <v>697</v>
      </c>
      <c r="L492">
        <v>102</v>
      </c>
      <c r="M492" t="s">
        <v>698</v>
      </c>
      <c r="N492" t="s">
        <v>257</v>
      </c>
      <c r="O492" t="s">
        <v>258</v>
      </c>
      <c r="P492" t="s">
        <v>259</v>
      </c>
      <c r="R492" t="s">
        <v>260</v>
      </c>
      <c r="T492">
        <v>28034</v>
      </c>
      <c r="U492" t="s">
        <v>261</v>
      </c>
      <c r="V492" t="s">
        <v>110</v>
      </c>
      <c r="W492" t="s">
        <v>262</v>
      </c>
      <c r="X492" t="s">
        <v>263</v>
      </c>
      <c r="Y492" t="s">
        <v>119</v>
      </c>
    </row>
    <row r="493" spans="1:25">
      <c r="A493">
        <v>10215</v>
      </c>
      <c r="B493">
        <v>27</v>
      </c>
      <c r="C493">
        <v>89.38</v>
      </c>
      <c r="D493">
        <v>10</v>
      </c>
      <c r="E493">
        <v>2413.2600000000002</v>
      </c>
      <c r="F493" t="s">
        <v>325</v>
      </c>
      <c r="G493" t="s">
        <v>93</v>
      </c>
      <c r="H493">
        <v>1</v>
      </c>
      <c r="I493">
        <v>1</v>
      </c>
      <c r="J493">
        <v>2004</v>
      </c>
      <c r="K493" t="s">
        <v>697</v>
      </c>
      <c r="L493">
        <v>102</v>
      </c>
      <c r="M493" t="s">
        <v>698</v>
      </c>
      <c r="N493" t="s">
        <v>326</v>
      </c>
      <c r="O493">
        <v>3105553722</v>
      </c>
      <c r="P493" t="s">
        <v>327</v>
      </c>
      <c r="R493" t="s">
        <v>328</v>
      </c>
      <c r="S493" t="s">
        <v>124</v>
      </c>
      <c r="T493">
        <v>94019</v>
      </c>
      <c r="U493" t="s">
        <v>100</v>
      </c>
      <c r="V493" t="s">
        <v>101</v>
      </c>
      <c r="W493" t="s">
        <v>6</v>
      </c>
      <c r="X493" t="s">
        <v>329</v>
      </c>
      <c r="Y493" t="s">
        <v>104</v>
      </c>
    </row>
    <row r="494" spans="1:25">
      <c r="A494">
        <v>10227</v>
      </c>
      <c r="B494">
        <v>25</v>
      </c>
      <c r="C494">
        <v>100</v>
      </c>
      <c r="D494">
        <v>3</v>
      </c>
      <c r="E494">
        <v>2953.75</v>
      </c>
      <c r="F494" s="4">
        <v>38020</v>
      </c>
      <c r="G494" t="s">
        <v>93</v>
      </c>
      <c r="H494">
        <v>1</v>
      </c>
      <c r="I494">
        <v>3</v>
      </c>
      <c r="J494">
        <v>2004</v>
      </c>
      <c r="K494" t="s">
        <v>697</v>
      </c>
      <c r="L494">
        <v>102</v>
      </c>
      <c r="M494" t="s">
        <v>698</v>
      </c>
      <c r="N494" t="s">
        <v>310</v>
      </c>
      <c r="O494" t="s">
        <v>311</v>
      </c>
      <c r="P494" t="s">
        <v>312</v>
      </c>
      <c r="R494" t="s">
        <v>313</v>
      </c>
      <c r="T494">
        <v>69004</v>
      </c>
      <c r="U494" t="s">
        <v>109</v>
      </c>
      <c r="V494" t="s">
        <v>110</v>
      </c>
      <c r="W494" t="s">
        <v>314</v>
      </c>
      <c r="X494" t="s">
        <v>315</v>
      </c>
      <c r="Y494" t="s">
        <v>104</v>
      </c>
    </row>
    <row r="495" spans="1:25">
      <c r="A495">
        <v>10244</v>
      </c>
      <c r="B495">
        <v>40</v>
      </c>
      <c r="C495">
        <v>100</v>
      </c>
      <c r="D495">
        <v>7</v>
      </c>
      <c r="E495">
        <v>4684.8</v>
      </c>
      <c r="F495" t="s">
        <v>716</v>
      </c>
      <c r="G495" t="s">
        <v>93</v>
      </c>
      <c r="H495">
        <v>2</v>
      </c>
      <c r="I495">
        <v>4</v>
      </c>
      <c r="J495">
        <v>2004</v>
      </c>
      <c r="K495" t="s">
        <v>697</v>
      </c>
      <c r="L495">
        <v>102</v>
      </c>
      <c r="M495" t="s">
        <v>698</v>
      </c>
      <c r="N495" t="s">
        <v>257</v>
      </c>
      <c r="O495" t="s">
        <v>258</v>
      </c>
      <c r="P495" t="s">
        <v>259</v>
      </c>
      <c r="R495" t="s">
        <v>260</v>
      </c>
      <c r="T495">
        <v>28034</v>
      </c>
      <c r="U495" t="s">
        <v>261</v>
      </c>
      <c r="V495" t="s">
        <v>110</v>
      </c>
      <c r="W495" t="s">
        <v>262</v>
      </c>
      <c r="X495" t="s">
        <v>263</v>
      </c>
      <c r="Y495" t="s">
        <v>119</v>
      </c>
    </row>
    <row r="496" spans="1:25">
      <c r="A496">
        <v>10256</v>
      </c>
      <c r="B496">
        <v>34</v>
      </c>
      <c r="C496">
        <v>95.55</v>
      </c>
      <c r="D496">
        <v>2</v>
      </c>
      <c r="E496">
        <v>3248.7</v>
      </c>
      <c r="F496" s="4">
        <v>38205</v>
      </c>
      <c r="G496" t="s">
        <v>93</v>
      </c>
      <c r="H496">
        <v>2</v>
      </c>
      <c r="I496">
        <v>6</v>
      </c>
      <c r="J496">
        <v>2004</v>
      </c>
      <c r="K496" t="s">
        <v>697</v>
      </c>
      <c r="L496">
        <v>102</v>
      </c>
      <c r="M496" t="s">
        <v>698</v>
      </c>
      <c r="N496" t="s">
        <v>425</v>
      </c>
      <c r="O496" t="s">
        <v>426</v>
      </c>
      <c r="P496" t="s">
        <v>427</v>
      </c>
      <c r="R496" t="s">
        <v>428</v>
      </c>
      <c r="T496">
        <v>1734</v>
      </c>
      <c r="U496" t="s">
        <v>429</v>
      </c>
      <c r="V496" t="s">
        <v>110</v>
      </c>
      <c r="W496" t="s">
        <v>430</v>
      </c>
      <c r="X496" t="s">
        <v>431</v>
      </c>
      <c r="Y496" t="s">
        <v>119</v>
      </c>
    </row>
    <row r="497" spans="1:25">
      <c r="A497">
        <v>10280</v>
      </c>
      <c r="B497">
        <v>50</v>
      </c>
      <c r="C497">
        <v>100</v>
      </c>
      <c r="D497">
        <v>9</v>
      </c>
      <c r="E497">
        <v>5239.5</v>
      </c>
      <c r="F497" t="s">
        <v>347</v>
      </c>
      <c r="G497" t="s">
        <v>93</v>
      </c>
      <c r="H497">
        <v>3</v>
      </c>
      <c r="I497">
        <v>8</v>
      </c>
      <c r="J497">
        <v>2004</v>
      </c>
      <c r="K497" t="s">
        <v>697</v>
      </c>
      <c r="L497">
        <v>102</v>
      </c>
      <c r="M497" t="s">
        <v>698</v>
      </c>
      <c r="N497" t="s">
        <v>348</v>
      </c>
      <c r="O497" t="s">
        <v>349</v>
      </c>
      <c r="P497" t="s">
        <v>350</v>
      </c>
      <c r="R497" t="s">
        <v>351</v>
      </c>
      <c r="T497">
        <v>10100</v>
      </c>
      <c r="U497" t="s">
        <v>352</v>
      </c>
      <c r="V497" t="s">
        <v>110</v>
      </c>
      <c r="W497" t="s">
        <v>353</v>
      </c>
      <c r="X497" t="s">
        <v>354</v>
      </c>
      <c r="Y497" t="s">
        <v>119</v>
      </c>
    </row>
    <row r="498" spans="1:25">
      <c r="A498">
        <v>10289</v>
      </c>
      <c r="B498">
        <v>38</v>
      </c>
      <c r="C498">
        <v>100</v>
      </c>
      <c r="D498">
        <v>2</v>
      </c>
      <c r="E498">
        <v>4567.9799999999996</v>
      </c>
      <c r="F498" s="4">
        <v>38055</v>
      </c>
      <c r="G498" t="s">
        <v>93</v>
      </c>
      <c r="H498">
        <v>3</v>
      </c>
      <c r="I498">
        <v>9</v>
      </c>
      <c r="J498">
        <v>2004</v>
      </c>
      <c r="K498" t="s">
        <v>697</v>
      </c>
      <c r="L498">
        <v>102</v>
      </c>
      <c r="M498" t="s">
        <v>698</v>
      </c>
      <c r="N498" t="s">
        <v>144</v>
      </c>
      <c r="O498" t="s">
        <v>145</v>
      </c>
      <c r="P498" t="s">
        <v>146</v>
      </c>
      <c r="R498" t="s">
        <v>147</v>
      </c>
      <c r="T498" t="s">
        <v>148</v>
      </c>
      <c r="U498" t="s">
        <v>149</v>
      </c>
      <c r="V498" t="s">
        <v>110</v>
      </c>
      <c r="W498" t="s">
        <v>150</v>
      </c>
      <c r="X498" t="s">
        <v>151</v>
      </c>
      <c r="Y498" t="s">
        <v>119</v>
      </c>
    </row>
    <row r="499" spans="1:25">
      <c r="A499">
        <v>10304</v>
      </c>
      <c r="B499">
        <v>37</v>
      </c>
      <c r="C499">
        <v>95.55</v>
      </c>
      <c r="D499">
        <v>13</v>
      </c>
      <c r="E499">
        <v>3535.35</v>
      </c>
      <c r="F499" s="4">
        <v>38301</v>
      </c>
      <c r="G499" t="s">
        <v>93</v>
      </c>
      <c r="H499">
        <v>4</v>
      </c>
      <c r="I499">
        <v>10</v>
      </c>
      <c r="J499">
        <v>2004</v>
      </c>
      <c r="K499" t="s">
        <v>697</v>
      </c>
      <c r="L499">
        <v>102</v>
      </c>
      <c r="M499" t="s">
        <v>698</v>
      </c>
      <c r="N499" t="s">
        <v>361</v>
      </c>
      <c r="O499" t="s">
        <v>362</v>
      </c>
      <c r="P499" t="s">
        <v>363</v>
      </c>
      <c r="R499" t="s">
        <v>364</v>
      </c>
      <c r="T499">
        <v>78000</v>
      </c>
      <c r="U499" t="s">
        <v>109</v>
      </c>
      <c r="V499" t="s">
        <v>110</v>
      </c>
      <c r="W499" t="s">
        <v>365</v>
      </c>
      <c r="X499" t="s">
        <v>118</v>
      </c>
      <c r="Y499" t="s">
        <v>119</v>
      </c>
    </row>
    <row r="500" spans="1:25">
      <c r="A500">
        <v>10312</v>
      </c>
      <c r="B500">
        <v>43</v>
      </c>
      <c r="C500">
        <v>89.38</v>
      </c>
      <c r="D500">
        <v>10</v>
      </c>
      <c r="E500">
        <v>3843.34</v>
      </c>
      <c r="F500" t="s">
        <v>366</v>
      </c>
      <c r="G500" t="s">
        <v>93</v>
      </c>
      <c r="H500">
        <v>4</v>
      </c>
      <c r="I500">
        <v>10</v>
      </c>
      <c r="J500">
        <v>2004</v>
      </c>
      <c r="K500" t="s">
        <v>697</v>
      </c>
      <c r="L500">
        <v>102</v>
      </c>
      <c r="M500" t="s">
        <v>698</v>
      </c>
      <c r="N500" t="s">
        <v>367</v>
      </c>
      <c r="O500">
        <v>4155551450</v>
      </c>
      <c r="P500" t="s">
        <v>368</v>
      </c>
      <c r="R500" t="s">
        <v>369</v>
      </c>
      <c r="S500" t="s">
        <v>124</v>
      </c>
      <c r="T500">
        <v>97562</v>
      </c>
      <c r="U500" t="s">
        <v>100</v>
      </c>
      <c r="V500" t="s">
        <v>101</v>
      </c>
      <c r="W500" t="s">
        <v>370</v>
      </c>
      <c r="X500" t="s">
        <v>371</v>
      </c>
      <c r="Y500" t="s">
        <v>119</v>
      </c>
    </row>
    <row r="501" spans="1:25">
      <c r="A501">
        <v>10322</v>
      </c>
      <c r="B501">
        <v>43</v>
      </c>
      <c r="C501">
        <v>86.3</v>
      </c>
      <c r="D501">
        <v>14</v>
      </c>
      <c r="E501">
        <v>3710.9</v>
      </c>
      <c r="F501" s="4">
        <v>38088</v>
      </c>
      <c r="G501" t="s">
        <v>93</v>
      </c>
      <c r="H501">
        <v>4</v>
      </c>
      <c r="I501">
        <v>11</v>
      </c>
      <c r="J501">
        <v>2004</v>
      </c>
      <c r="K501" t="s">
        <v>697</v>
      </c>
      <c r="L501">
        <v>102</v>
      </c>
      <c r="M501" t="s">
        <v>698</v>
      </c>
      <c r="N501" t="s">
        <v>372</v>
      </c>
      <c r="O501">
        <v>6035558647</v>
      </c>
      <c r="P501" t="s">
        <v>373</v>
      </c>
      <c r="R501" t="s">
        <v>374</v>
      </c>
      <c r="S501" t="s">
        <v>375</v>
      </c>
      <c r="T501">
        <v>62005</v>
      </c>
      <c r="U501" t="s">
        <v>100</v>
      </c>
      <c r="V501" t="s">
        <v>101</v>
      </c>
      <c r="W501" t="s">
        <v>125</v>
      </c>
      <c r="X501" t="s">
        <v>371</v>
      </c>
      <c r="Y501" t="s">
        <v>119</v>
      </c>
    </row>
    <row r="502" spans="1:25">
      <c r="A502">
        <v>10332</v>
      </c>
      <c r="B502">
        <v>46</v>
      </c>
      <c r="C502">
        <v>95.13</v>
      </c>
      <c r="D502">
        <v>15</v>
      </c>
      <c r="E502">
        <v>4375.9799999999996</v>
      </c>
      <c r="F502" t="s">
        <v>695</v>
      </c>
      <c r="G502" t="s">
        <v>93</v>
      </c>
      <c r="H502">
        <v>4</v>
      </c>
      <c r="I502">
        <v>11</v>
      </c>
      <c r="J502">
        <v>2004</v>
      </c>
      <c r="K502" t="s">
        <v>697</v>
      </c>
      <c r="L502">
        <v>102</v>
      </c>
      <c r="M502" t="s">
        <v>698</v>
      </c>
      <c r="N502" t="s">
        <v>624</v>
      </c>
      <c r="O502" t="s">
        <v>625</v>
      </c>
      <c r="P502" t="s">
        <v>626</v>
      </c>
      <c r="R502" t="s">
        <v>627</v>
      </c>
      <c r="T502" t="s">
        <v>628</v>
      </c>
      <c r="U502" t="s">
        <v>252</v>
      </c>
      <c r="V502" t="s">
        <v>110</v>
      </c>
      <c r="W502" t="s">
        <v>629</v>
      </c>
      <c r="X502" t="s">
        <v>167</v>
      </c>
      <c r="Y502" t="s">
        <v>119</v>
      </c>
    </row>
    <row r="503" spans="1:25">
      <c r="A503">
        <v>10346</v>
      </c>
      <c r="B503">
        <v>42</v>
      </c>
      <c r="C503">
        <v>36.11</v>
      </c>
      <c r="D503">
        <v>3</v>
      </c>
      <c r="E503">
        <v>1516.62</v>
      </c>
      <c r="F503" t="s">
        <v>377</v>
      </c>
      <c r="G503" t="s">
        <v>93</v>
      </c>
      <c r="H503">
        <v>4</v>
      </c>
      <c r="I503">
        <v>11</v>
      </c>
      <c r="J503">
        <v>2004</v>
      </c>
      <c r="K503" t="s">
        <v>697</v>
      </c>
      <c r="L503">
        <v>102</v>
      </c>
      <c r="M503" t="s">
        <v>698</v>
      </c>
      <c r="N503" t="s">
        <v>684</v>
      </c>
      <c r="O503">
        <v>7025551838</v>
      </c>
      <c r="P503" t="s">
        <v>685</v>
      </c>
      <c r="R503" t="s">
        <v>686</v>
      </c>
      <c r="S503" t="s">
        <v>687</v>
      </c>
      <c r="T503">
        <v>83030</v>
      </c>
      <c r="U503" t="s">
        <v>100</v>
      </c>
      <c r="V503" t="s">
        <v>101</v>
      </c>
      <c r="W503" t="s">
        <v>188</v>
      </c>
      <c r="X503" t="s">
        <v>517</v>
      </c>
      <c r="Y503" t="s">
        <v>104</v>
      </c>
    </row>
    <row r="504" spans="1:25">
      <c r="A504">
        <v>10356</v>
      </c>
      <c r="B504">
        <v>50</v>
      </c>
      <c r="C504">
        <v>50.18</v>
      </c>
      <c r="D504">
        <v>9</v>
      </c>
      <c r="E504">
        <v>2509</v>
      </c>
      <c r="F504" s="4">
        <v>38242</v>
      </c>
      <c r="G504" t="s">
        <v>93</v>
      </c>
      <c r="H504">
        <v>4</v>
      </c>
      <c r="I504">
        <v>12</v>
      </c>
      <c r="J504">
        <v>2004</v>
      </c>
      <c r="K504" t="s">
        <v>697</v>
      </c>
      <c r="L504">
        <v>102</v>
      </c>
      <c r="M504" t="s">
        <v>698</v>
      </c>
      <c r="N504" t="s">
        <v>113</v>
      </c>
      <c r="O504" t="s">
        <v>114</v>
      </c>
      <c r="P504" t="s">
        <v>115</v>
      </c>
      <c r="R504" t="s">
        <v>116</v>
      </c>
      <c r="T504">
        <v>75508</v>
      </c>
      <c r="U504" t="s">
        <v>109</v>
      </c>
      <c r="V504" t="s">
        <v>110</v>
      </c>
      <c r="W504" t="s">
        <v>117</v>
      </c>
      <c r="X504" t="s">
        <v>118</v>
      </c>
      <c r="Y504" t="s">
        <v>104</v>
      </c>
    </row>
    <row r="505" spans="1:25">
      <c r="A505">
        <v>10369</v>
      </c>
      <c r="B505">
        <v>44</v>
      </c>
      <c r="C505">
        <v>100</v>
      </c>
      <c r="D505">
        <v>8</v>
      </c>
      <c r="E505">
        <v>9240.44</v>
      </c>
      <c r="F505" t="s">
        <v>378</v>
      </c>
      <c r="G505" t="s">
        <v>93</v>
      </c>
      <c r="H505">
        <v>1</v>
      </c>
      <c r="I505">
        <v>1</v>
      </c>
      <c r="J505">
        <v>2005</v>
      </c>
      <c r="K505" t="s">
        <v>697</v>
      </c>
      <c r="L505">
        <v>102</v>
      </c>
      <c r="M505" t="s">
        <v>698</v>
      </c>
      <c r="N505" t="s">
        <v>379</v>
      </c>
      <c r="O505">
        <v>6175558555</v>
      </c>
      <c r="P505" t="s">
        <v>380</v>
      </c>
      <c r="R505" t="s">
        <v>381</v>
      </c>
      <c r="S505" t="s">
        <v>200</v>
      </c>
      <c r="T505">
        <v>58339</v>
      </c>
      <c r="U505" t="s">
        <v>100</v>
      </c>
      <c r="V505" t="s">
        <v>101</v>
      </c>
      <c r="W505" t="s">
        <v>370</v>
      </c>
      <c r="X505" t="s">
        <v>382</v>
      </c>
      <c r="Y505" t="s">
        <v>232</v>
      </c>
    </row>
    <row r="506" spans="1:25">
      <c r="A506">
        <v>10380</v>
      </c>
      <c r="B506">
        <v>27</v>
      </c>
      <c r="C506">
        <v>93.16</v>
      </c>
      <c r="D506">
        <v>13</v>
      </c>
      <c r="E506">
        <v>2515.3200000000002</v>
      </c>
      <c r="F506" t="s">
        <v>717</v>
      </c>
      <c r="G506" t="s">
        <v>93</v>
      </c>
      <c r="H506">
        <v>1</v>
      </c>
      <c r="I506">
        <v>2</v>
      </c>
      <c r="J506">
        <v>2005</v>
      </c>
      <c r="K506" t="s">
        <v>697</v>
      </c>
      <c r="L506">
        <v>102</v>
      </c>
      <c r="M506" t="s">
        <v>698</v>
      </c>
      <c r="N506" t="s">
        <v>257</v>
      </c>
      <c r="O506" t="s">
        <v>258</v>
      </c>
      <c r="P506" t="s">
        <v>259</v>
      </c>
      <c r="R506" t="s">
        <v>260</v>
      </c>
      <c r="T506">
        <v>28034</v>
      </c>
      <c r="U506" t="s">
        <v>261</v>
      </c>
      <c r="V506" t="s">
        <v>110</v>
      </c>
      <c r="W506" t="s">
        <v>262</v>
      </c>
      <c r="X506" t="s">
        <v>263</v>
      </c>
      <c r="Y506" t="s">
        <v>104</v>
      </c>
    </row>
    <row r="507" spans="1:25">
      <c r="A507">
        <v>10391</v>
      </c>
      <c r="B507">
        <v>35</v>
      </c>
      <c r="C507">
        <v>100</v>
      </c>
      <c r="D507">
        <v>2</v>
      </c>
      <c r="E507">
        <v>5548.9</v>
      </c>
      <c r="F507" s="4">
        <v>38598</v>
      </c>
      <c r="G507" t="s">
        <v>93</v>
      </c>
      <c r="H507">
        <v>1</v>
      </c>
      <c r="I507">
        <v>3</v>
      </c>
      <c r="J507">
        <v>2005</v>
      </c>
      <c r="K507" t="s">
        <v>697</v>
      </c>
      <c r="L507">
        <v>102</v>
      </c>
      <c r="M507" t="s">
        <v>698</v>
      </c>
      <c r="N507" t="s">
        <v>384</v>
      </c>
      <c r="O507" t="s">
        <v>385</v>
      </c>
      <c r="P507" t="s">
        <v>386</v>
      </c>
      <c r="Q507" t="s">
        <v>387</v>
      </c>
      <c r="R507" t="s">
        <v>388</v>
      </c>
      <c r="S507" t="s">
        <v>239</v>
      </c>
      <c r="T507">
        <v>2060</v>
      </c>
      <c r="U507" t="s">
        <v>168</v>
      </c>
      <c r="V507" t="s">
        <v>169</v>
      </c>
      <c r="W507" t="s">
        <v>389</v>
      </c>
      <c r="X507" t="s">
        <v>390</v>
      </c>
      <c r="Y507" t="s">
        <v>119</v>
      </c>
    </row>
    <row r="508" spans="1:25">
      <c r="A508">
        <v>10422</v>
      </c>
      <c r="B508">
        <v>51</v>
      </c>
      <c r="C508">
        <v>95.55</v>
      </c>
      <c r="D508">
        <v>2</v>
      </c>
      <c r="E508">
        <v>4873.05</v>
      </c>
      <c r="F508" t="s">
        <v>718</v>
      </c>
      <c r="G508" t="s">
        <v>400</v>
      </c>
      <c r="H508">
        <v>2</v>
      </c>
      <c r="I508">
        <v>5</v>
      </c>
      <c r="J508">
        <v>2005</v>
      </c>
      <c r="K508" t="s">
        <v>697</v>
      </c>
      <c r="L508">
        <v>102</v>
      </c>
      <c r="M508" t="s">
        <v>698</v>
      </c>
      <c r="N508" t="s">
        <v>218</v>
      </c>
      <c r="O508">
        <v>2155551555</v>
      </c>
      <c r="P508" t="s">
        <v>219</v>
      </c>
      <c r="R508" t="s">
        <v>220</v>
      </c>
      <c r="S508" t="s">
        <v>221</v>
      </c>
      <c r="T508">
        <v>70267</v>
      </c>
      <c r="U508" t="s">
        <v>100</v>
      </c>
      <c r="V508" t="s">
        <v>101</v>
      </c>
      <c r="W508" t="s">
        <v>102</v>
      </c>
      <c r="X508" t="s">
        <v>222</v>
      </c>
      <c r="Y508" t="s">
        <v>119</v>
      </c>
    </row>
    <row r="509" spans="1:25">
      <c r="A509">
        <v>10102</v>
      </c>
      <c r="B509">
        <v>41</v>
      </c>
      <c r="C509">
        <v>50.14</v>
      </c>
      <c r="D509">
        <v>1</v>
      </c>
      <c r="E509">
        <v>2055.7399999999998</v>
      </c>
      <c r="F509" s="4">
        <v>37895</v>
      </c>
      <c r="G509" t="s">
        <v>93</v>
      </c>
      <c r="H509">
        <v>1</v>
      </c>
      <c r="I509">
        <v>1</v>
      </c>
      <c r="J509">
        <v>2003</v>
      </c>
      <c r="K509" t="s">
        <v>697</v>
      </c>
      <c r="L509">
        <v>53</v>
      </c>
      <c r="M509" t="s">
        <v>719</v>
      </c>
      <c r="N509" t="s">
        <v>172</v>
      </c>
      <c r="O509">
        <v>2125551500</v>
      </c>
      <c r="P509" t="s">
        <v>173</v>
      </c>
      <c r="Q509" t="s">
        <v>174</v>
      </c>
      <c r="R509" t="s">
        <v>98</v>
      </c>
      <c r="S509" t="s">
        <v>99</v>
      </c>
      <c r="T509">
        <v>10022</v>
      </c>
      <c r="U509" t="s">
        <v>100</v>
      </c>
      <c r="V509" t="s">
        <v>101</v>
      </c>
      <c r="W509" t="s">
        <v>175</v>
      </c>
      <c r="X509" t="s">
        <v>176</v>
      </c>
      <c r="Y509" t="s">
        <v>104</v>
      </c>
    </row>
    <row r="510" spans="1:25">
      <c r="A510">
        <v>10111</v>
      </c>
      <c r="B510">
        <v>48</v>
      </c>
      <c r="C510">
        <v>49.06</v>
      </c>
      <c r="D510">
        <v>5</v>
      </c>
      <c r="E510">
        <v>2354.88</v>
      </c>
      <c r="F510" t="s">
        <v>699</v>
      </c>
      <c r="G510" t="s">
        <v>93</v>
      </c>
      <c r="H510">
        <v>1</v>
      </c>
      <c r="I510">
        <v>3</v>
      </c>
      <c r="J510">
        <v>2003</v>
      </c>
      <c r="K510" t="s">
        <v>697</v>
      </c>
      <c r="L510">
        <v>53</v>
      </c>
      <c r="M510" t="s">
        <v>719</v>
      </c>
      <c r="N510" t="s">
        <v>152</v>
      </c>
      <c r="O510">
        <v>6505555787</v>
      </c>
      <c r="P510" t="s">
        <v>153</v>
      </c>
      <c r="R510" t="s">
        <v>129</v>
      </c>
      <c r="S510" t="s">
        <v>124</v>
      </c>
      <c r="U510" t="s">
        <v>100</v>
      </c>
      <c r="V510" t="s">
        <v>101</v>
      </c>
      <c r="W510" t="s">
        <v>154</v>
      </c>
      <c r="X510" t="s">
        <v>126</v>
      </c>
      <c r="Y510" t="s">
        <v>104</v>
      </c>
    </row>
    <row r="511" spans="1:25">
      <c r="A511">
        <v>10126</v>
      </c>
      <c r="B511">
        <v>42</v>
      </c>
      <c r="C511">
        <v>54.99</v>
      </c>
      <c r="D511">
        <v>17</v>
      </c>
      <c r="E511">
        <v>2309.58</v>
      </c>
      <c r="F511" t="s">
        <v>276</v>
      </c>
      <c r="G511" t="s">
        <v>93</v>
      </c>
      <c r="H511">
        <v>2</v>
      </c>
      <c r="I511">
        <v>5</v>
      </c>
      <c r="J511">
        <v>2003</v>
      </c>
      <c r="K511" t="s">
        <v>697</v>
      </c>
      <c r="L511">
        <v>53</v>
      </c>
      <c r="M511" t="s">
        <v>719</v>
      </c>
      <c r="N511" t="s">
        <v>277</v>
      </c>
      <c r="O511" t="s">
        <v>278</v>
      </c>
      <c r="P511" t="s">
        <v>279</v>
      </c>
      <c r="R511" t="s">
        <v>260</v>
      </c>
      <c r="T511">
        <v>28023</v>
      </c>
      <c r="U511" t="s">
        <v>261</v>
      </c>
      <c r="V511" t="s">
        <v>110</v>
      </c>
      <c r="W511" t="s">
        <v>280</v>
      </c>
      <c r="X511" t="s">
        <v>281</v>
      </c>
      <c r="Y511" t="s">
        <v>104</v>
      </c>
    </row>
    <row r="512" spans="1:25">
      <c r="A512">
        <v>10139</v>
      </c>
      <c r="B512">
        <v>49</v>
      </c>
      <c r="C512">
        <v>43.13</v>
      </c>
      <c r="D512">
        <v>6</v>
      </c>
      <c r="E512">
        <v>2113.37</v>
      </c>
      <c r="F512" t="s">
        <v>701</v>
      </c>
      <c r="G512" t="s">
        <v>93</v>
      </c>
      <c r="H512">
        <v>3</v>
      </c>
      <c r="I512">
        <v>7</v>
      </c>
      <c r="J512">
        <v>2003</v>
      </c>
      <c r="K512" t="s">
        <v>697</v>
      </c>
      <c r="L512">
        <v>53</v>
      </c>
      <c r="M512" t="s">
        <v>719</v>
      </c>
      <c r="N512" t="s">
        <v>234</v>
      </c>
      <c r="O512" t="s">
        <v>235</v>
      </c>
      <c r="P512" t="s">
        <v>236</v>
      </c>
      <c r="Q512" t="s">
        <v>237</v>
      </c>
      <c r="R512" t="s">
        <v>238</v>
      </c>
      <c r="S512" t="s">
        <v>239</v>
      </c>
      <c r="T512">
        <v>2067</v>
      </c>
      <c r="U512" t="s">
        <v>168</v>
      </c>
      <c r="V512" t="s">
        <v>169</v>
      </c>
      <c r="W512" t="s">
        <v>240</v>
      </c>
      <c r="X512" t="s">
        <v>241</v>
      </c>
      <c r="Y512" t="s">
        <v>104</v>
      </c>
    </row>
    <row r="513" spans="1:25">
      <c r="A513">
        <v>10149</v>
      </c>
      <c r="B513">
        <v>30</v>
      </c>
      <c r="C513">
        <v>58.22</v>
      </c>
      <c r="D513">
        <v>3</v>
      </c>
      <c r="E513">
        <v>1746.6</v>
      </c>
      <c r="F513" s="4">
        <v>37964</v>
      </c>
      <c r="G513" t="s">
        <v>93</v>
      </c>
      <c r="H513">
        <v>3</v>
      </c>
      <c r="I513">
        <v>9</v>
      </c>
      <c r="J513">
        <v>2003</v>
      </c>
      <c r="K513" t="s">
        <v>697</v>
      </c>
      <c r="L513">
        <v>53</v>
      </c>
      <c r="M513" t="s">
        <v>719</v>
      </c>
      <c r="N513" t="s">
        <v>668</v>
      </c>
      <c r="O513">
        <v>4155554312</v>
      </c>
      <c r="P513" t="s">
        <v>669</v>
      </c>
      <c r="R513" t="s">
        <v>670</v>
      </c>
      <c r="S513" t="s">
        <v>124</v>
      </c>
      <c r="T513">
        <v>94217</v>
      </c>
      <c r="U513" t="s">
        <v>100</v>
      </c>
      <c r="V513" t="s">
        <v>101</v>
      </c>
      <c r="W513" t="s">
        <v>671</v>
      </c>
      <c r="X513" t="s">
        <v>517</v>
      </c>
      <c r="Y513" t="s">
        <v>104</v>
      </c>
    </row>
    <row r="514" spans="1:25">
      <c r="A514">
        <v>10162</v>
      </c>
      <c r="B514">
        <v>45</v>
      </c>
      <c r="C514">
        <v>51.21</v>
      </c>
      <c r="D514">
        <v>1</v>
      </c>
      <c r="E514">
        <v>2304.4499999999998</v>
      </c>
      <c r="F514" t="s">
        <v>702</v>
      </c>
      <c r="G514" t="s">
        <v>93</v>
      </c>
      <c r="H514">
        <v>4</v>
      </c>
      <c r="I514">
        <v>10</v>
      </c>
      <c r="J514">
        <v>2003</v>
      </c>
      <c r="K514" t="s">
        <v>697</v>
      </c>
      <c r="L514">
        <v>53</v>
      </c>
      <c r="M514" t="s">
        <v>719</v>
      </c>
      <c r="N514" t="s">
        <v>127</v>
      </c>
      <c r="O514">
        <v>6505551386</v>
      </c>
      <c r="P514" t="s">
        <v>128</v>
      </c>
      <c r="R514" t="s">
        <v>129</v>
      </c>
      <c r="S514" t="s">
        <v>124</v>
      </c>
      <c r="U514" t="s">
        <v>100</v>
      </c>
      <c r="V514" t="s">
        <v>101</v>
      </c>
      <c r="W514" t="s">
        <v>130</v>
      </c>
      <c r="X514" t="s">
        <v>126</v>
      </c>
      <c r="Y514" t="s">
        <v>104</v>
      </c>
    </row>
    <row r="515" spans="1:25">
      <c r="A515">
        <v>10173</v>
      </c>
      <c r="B515">
        <v>48</v>
      </c>
      <c r="C515">
        <v>44.21</v>
      </c>
      <c r="D515">
        <v>5</v>
      </c>
      <c r="E515">
        <v>2122.08</v>
      </c>
      <c r="F515" s="4">
        <v>37752</v>
      </c>
      <c r="G515" t="s">
        <v>93</v>
      </c>
      <c r="H515">
        <v>4</v>
      </c>
      <c r="I515">
        <v>11</v>
      </c>
      <c r="J515">
        <v>2003</v>
      </c>
      <c r="K515" t="s">
        <v>697</v>
      </c>
      <c r="L515">
        <v>53</v>
      </c>
      <c r="M515" t="s">
        <v>719</v>
      </c>
      <c r="N515" t="s">
        <v>703</v>
      </c>
      <c r="O515" t="s">
        <v>704</v>
      </c>
      <c r="P515" t="s">
        <v>705</v>
      </c>
      <c r="R515" t="s">
        <v>706</v>
      </c>
      <c r="T515">
        <v>24100</v>
      </c>
      <c r="U515" t="s">
        <v>352</v>
      </c>
      <c r="V515" t="s">
        <v>110</v>
      </c>
      <c r="W515" t="s">
        <v>707</v>
      </c>
      <c r="X515" t="s">
        <v>708</v>
      </c>
      <c r="Y515" t="s">
        <v>104</v>
      </c>
    </row>
    <row r="516" spans="1:25">
      <c r="A516">
        <v>10182</v>
      </c>
      <c r="B516">
        <v>32</v>
      </c>
      <c r="C516">
        <v>54.45</v>
      </c>
      <c r="D516">
        <v>2</v>
      </c>
      <c r="E516">
        <v>1742.4</v>
      </c>
      <c r="F516" s="4">
        <v>37966</v>
      </c>
      <c r="G516" t="s">
        <v>93</v>
      </c>
      <c r="H516">
        <v>4</v>
      </c>
      <c r="I516">
        <v>11</v>
      </c>
      <c r="J516">
        <v>2003</v>
      </c>
      <c r="K516" t="s">
        <v>697</v>
      </c>
      <c r="L516">
        <v>53</v>
      </c>
      <c r="M516" t="s">
        <v>719</v>
      </c>
      <c r="N516" t="s">
        <v>367</v>
      </c>
      <c r="O516">
        <v>4155551450</v>
      </c>
      <c r="P516" t="s">
        <v>368</v>
      </c>
      <c r="R516" t="s">
        <v>369</v>
      </c>
      <c r="S516" t="s">
        <v>124</v>
      </c>
      <c r="T516">
        <v>97562</v>
      </c>
      <c r="U516" t="s">
        <v>100</v>
      </c>
      <c r="V516" t="s">
        <v>101</v>
      </c>
      <c r="W516" t="s">
        <v>370</v>
      </c>
      <c r="X516" t="s">
        <v>371</v>
      </c>
      <c r="Y516" t="s">
        <v>104</v>
      </c>
    </row>
    <row r="517" spans="1:25">
      <c r="A517">
        <v>10193</v>
      </c>
      <c r="B517">
        <v>46</v>
      </c>
      <c r="C517">
        <v>53.37</v>
      </c>
      <c r="D517">
        <v>6</v>
      </c>
      <c r="E517">
        <v>2455.02</v>
      </c>
      <c r="F517" t="s">
        <v>709</v>
      </c>
      <c r="G517" t="s">
        <v>93</v>
      </c>
      <c r="H517">
        <v>4</v>
      </c>
      <c r="I517">
        <v>11</v>
      </c>
      <c r="J517">
        <v>2003</v>
      </c>
      <c r="K517" t="s">
        <v>697</v>
      </c>
      <c r="L517">
        <v>53</v>
      </c>
      <c r="M517" t="s">
        <v>719</v>
      </c>
      <c r="N517" t="s">
        <v>710</v>
      </c>
      <c r="O517" t="s">
        <v>711</v>
      </c>
      <c r="P517" t="s">
        <v>712</v>
      </c>
      <c r="R517" t="s">
        <v>713</v>
      </c>
      <c r="S517" t="s">
        <v>167</v>
      </c>
      <c r="T517">
        <v>3150</v>
      </c>
      <c r="U517" t="s">
        <v>168</v>
      </c>
      <c r="V517" t="s">
        <v>169</v>
      </c>
      <c r="W517" t="s">
        <v>714</v>
      </c>
      <c r="X517" t="s">
        <v>715</v>
      </c>
      <c r="Y517" t="s">
        <v>104</v>
      </c>
    </row>
    <row r="518" spans="1:25">
      <c r="A518">
        <v>10205</v>
      </c>
      <c r="B518">
        <v>48</v>
      </c>
      <c r="C518">
        <v>63.61</v>
      </c>
      <c r="D518">
        <v>1</v>
      </c>
      <c r="E518">
        <v>3053.28</v>
      </c>
      <c r="F518" s="4">
        <v>37692</v>
      </c>
      <c r="G518" t="s">
        <v>93</v>
      </c>
      <c r="H518">
        <v>4</v>
      </c>
      <c r="I518">
        <v>12</v>
      </c>
      <c r="J518">
        <v>2003</v>
      </c>
      <c r="K518" t="s">
        <v>697</v>
      </c>
      <c r="L518">
        <v>53</v>
      </c>
      <c r="M518" t="s">
        <v>719</v>
      </c>
      <c r="N518" t="s">
        <v>257</v>
      </c>
      <c r="O518" t="s">
        <v>258</v>
      </c>
      <c r="P518" t="s">
        <v>259</v>
      </c>
      <c r="R518" t="s">
        <v>260</v>
      </c>
      <c r="T518">
        <v>28034</v>
      </c>
      <c r="U518" t="s">
        <v>261</v>
      </c>
      <c r="V518" t="s">
        <v>110</v>
      </c>
      <c r="W518" t="s">
        <v>262</v>
      </c>
      <c r="X518" t="s">
        <v>263</v>
      </c>
      <c r="Y518" t="s">
        <v>119</v>
      </c>
    </row>
    <row r="519" spans="1:25">
      <c r="A519">
        <v>10215</v>
      </c>
      <c r="B519">
        <v>33</v>
      </c>
      <c r="C519">
        <v>43.13</v>
      </c>
      <c r="D519">
        <v>9</v>
      </c>
      <c r="E519">
        <v>1423.29</v>
      </c>
      <c r="F519" t="s">
        <v>325</v>
      </c>
      <c r="G519" t="s">
        <v>93</v>
      </c>
      <c r="H519">
        <v>1</v>
      </c>
      <c r="I519">
        <v>1</v>
      </c>
      <c r="J519">
        <v>2004</v>
      </c>
      <c r="K519" t="s">
        <v>697</v>
      </c>
      <c r="L519">
        <v>53</v>
      </c>
      <c r="M519" t="s">
        <v>719</v>
      </c>
      <c r="N519" t="s">
        <v>326</v>
      </c>
      <c r="O519">
        <v>3105553722</v>
      </c>
      <c r="P519" t="s">
        <v>327</v>
      </c>
      <c r="R519" t="s">
        <v>328</v>
      </c>
      <c r="S519" t="s">
        <v>124</v>
      </c>
      <c r="T519">
        <v>94019</v>
      </c>
      <c r="U519" t="s">
        <v>100</v>
      </c>
      <c r="V519" t="s">
        <v>101</v>
      </c>
      <c r="W519" t="s">
        <v>6</v>
      </c>
      <c r="X519" t="s">
        <v>329</v>
      </c>
      <c r="Y519" t="s">
        <v>104</v>
      </c>
    </row>
    <row r="520" spans="1:25">
      <c r="A520">
        <v>10227</v>
      </c>
      <c r="B520">
        <v>31</v>
      </c>
      <c r="C520">
        <v>48.52</v>
      </c>
      <c r="D520">
        <v>2</v>
      </c>
      <c r="E520">
        <v>1504.12</v>
      </c>
      <c r="F520" s="4">
        <v>38020</v>
      </c>
      <c r="G520" t="s">
        <v>93</v>
      </c>
      <c r="H520">
        <v>1</v>
      </c>
      <c r="I520">
        <v>3</v>
      </c>
      <c r="J520">
        <v>2004</v>
      </c>
      <c r="K520" t="s">
        <v>697</v>
      </c>
      <c r="L520">
        <v>53</v>
      </c>
      <c r="M520" t="s">
        <v>719</v>
      </c>
      <c r="N520" t="s">
        <v>310</v>
      </c>
      <c r="O520" t="s">
        <v>311</v>
      </c>
      <c r="P520" t="s">
        <v>312</v>
      </c>
      <c r="R520" t="s">
        <v>313</v>
      </c>
      <c r="T520">
        <v>69004</v>
      </c>
      <c r="U520" t="s">
        <v>109</v>
      </c>
      <c r="V520" t="s">
        <v>110</v>
      </c>
      <c r="W520" t="s">
        <v>314</v>
      </c>
      <c r="X520" t="s">
        <v>315</v>
      </c>
      <c r="Y520" t="s">
        <v>104</v>
      </c>
    </row>
    <row r="521" spans="1:25">
      <c r="A521">
        <v>10244</v>
      </c>
      <c r="B521">
        <v>20</v>
      </c>
      <c r="C521">
        <v>58.22</v>
      </c>
      <c r="D521">
        <v>6</v>
      </c>
      <c r="E521">
        <v>1164.4000000000001</v>
      </c>
      <c r="F521" t="s">
        <v>716</v>
      </c>
      <c r="G521" t="s">
        <v>93</v>
      </c>
      <c r="H521">
        <v>2</v>
      </c>
      <c r="I521">
        <v>4</v>
      </c>
      <c r="J521">
        <v>2004</v>
      </c>
      <c r="K521" t="s">
        <v>697</v>
      </c>
      <c r="L521">
        <v>53</v>
      </c>
      <c r="M521" t="s">
        <v>719</v>
      </c>
      <c r="N521" t="s">
        <v>257</v>
      </c>
      <c r="O521" t="s">
        <v>258</v>
      </c>
      <c r="P521" t="s">
        <v>259</v>
      </c>
      <c r="R521" t="s">
        <v>260</v>
      </c>
      <c r="T521">
        <v>28034</v>
      </c>
      <c r="U521" t="s">
        <v>261</v>
      </c>
      <c r="V521" t="s">
        <v>110</v>
      </c>
      <c r="W521" t="s">
        <v>262</v>
      </c>
      <c r="X521" t="s">
        <v>263</v>
      </c>
      <c r="Y521" t="s">
        <v>104</v>
      </c>
    </row>
    <row r="522" spans="1:25">
      <c r="A522">
        <v>10256</v>
      </c>
      <c r="B522">
        <v>29</v>
      </c>
      <c r="C522">
        <v>51.75</v>
      </c>
      <c r="D522">
        <v>1</v>
      </c>
      <c r="E522">
        <v>1500.75</v>
      </c>
      <c r="F522" s="4">
        <v>38205</v>
      </c>
      <c r="G522" t="s">
        <v>93</v>
      </c>
      <c r="H522">
        <v>2</v>
      </c>
      <c r="I522">
        <v>6</v>
      </c>
      <c r="J522">
        <v>2004</v>
      </c>
      <c r="K522" t="s">
        <v>697</v>
      </c>
      <c r="L522">
        <v>53</v>
      </c>
      <c r="M522" t="s">
        <v>719</v>
      </c>
      <c r="N522" t="s">
        <v>425</v>
      </c>
      <c r="O522" t="s">
        <v>426</v>
      </c>
      <c r="P522" t="s">
        <v>427</v>
      </c>
      <c r="R522" t="s">
        <v>428</v>
      </c>
      <c r="T522">
        <v>1734</v>
      </c>
      <c r="U522" t="s">
        <v>429</v>
      </c>
      <c r="V522" t="s">
        <v>110</v>
      </c>
      <c r="W522" t="s">
        <v>430</v>
      </c>
      <c r="X522" t="s">
        <v>431</v>
      </c>
      <c r="Y522" t="s">
        <v>104</v>
      </c>
    </row>
    <row r="523" spans="1:25">
      <c r="A523">
        <v>10280</v>
      </c>
      <c r="B523">
        <v>27</v>
      </c>
      <c r="C523">
        <v>57.68</v>
      </c>
      <c r="D523">
        <v>8</v>
      </c>
      <c r="E523">
        <v>1557.36</v>
      </c>
      <c r="F523" t="s">
        <v>347</v>
      </c>
      <c r="G523" t="s">
        <v>93</v>
      </c>
      <c r="H523">
        <v>3</v>
      </c>
      <c r="I523">
        <v>8</v>
      </c>
      <c r="J523">
        <v>2004</v>
      </c>
      <c r="K523" t="s">
        <v>697</v>
      </c>
      <c r="L523">
        <v>53</v>
      </c>
      <c r="M523" t="s">
        <v>719</v>
      </c>
      <c r="N523" t="s">
        <v>348</v>
      </c>
      <c r="O523" t="s">
        <v>349</v>
      </c>
      <c r="P523" t="s">
        <v>350</v>
      </c>
      <c r="R523" t="s">
        <v>351</v>
      </c>
      <c r="T523">
        <v>10100</v>
      </c>
      <c r="U523" t="s">
        <v>352</v>
      </c>
      <c r="V523" t="s">
        <v>110</v>
      </c>
      <c r="W523" t="s">
        <v>353</v>
      </c>
      <c r="X523" t="s">
        <v>354</v>
      </c>
      <c r="Y523" t="s">
        <v>104</v>
      </c>
    </row>
    <row r="524" spans="1:25">
      <c r="A524">
        <v>10289</v>
      </c>
      <c r="B524">
        <v>24</v>
      </c>
      <c r="C524">
        <v>56.07</v>
      </c>
      <c r="D524">
        <v>1</v>
      </c>
      <c r="E524">
        <v>1345.68</v>
      </c>
      <c r="F524" s="4">
        <v>38055</v>
      </c>
      <c r="G524" t="s">
        <v>93</v>
      </c>
      <c r="H524">
        <v>3</v>
      </c>
      <c r="I524">
        <v>9</v>
      </c>
      <c r="J524">
        <v>2004</v>
      </c>
      <c r="K524" t="s">
        <v>697</v>
      </c>
      <c r="L524">
        <v>53</v>
      </c>
      <c r="M524" t="s">
        <v>719</v>
      </c>
      <c r="N524" t="s">
        <v>144</v>
      </c>
      <c r="O524" t="s">
        <v>145</v>
      </c>
      <c r="P524" t="s">
        <v>146</v>
      </c>
      <c r="R524" t="s">
        <v>147</v>
      </c>
      <c r="T524" t="s">
        <v>148</v>
      </c>
      <c r="U524" t="s">
        <v>149</v>
      </c>
      <c r="V524" t="s">
        <v>110</v>
      </c>
      <c r="W524" t="s">
        <v>150</v>
      </c>
      <c r="X524" t="s">
        <v>151</v>
      </c>
      <c r="Y524" t="s">
        <v>104</v>
      </c>
    </row>
    <row r="525" spans="1:25">
      <c r="A525">
        <v>10304</v>
      </c>
      <c r="B525">
        <v>37</v>
      </c>
      <c r="C525">
        <v>48.52</v>
      </c>
      <c r="D525">
        <v>12</v>
      </c>
      <c r="E525">
        <v>1795.24</v>
      </c>
      <c r="F525" s="4">
        <v>38301</v>
      </c>
      <c r="G525" t="s">
        <v>93</v>
      </c>
      <c r="H525">
        <v>4</v>
      </c>
      <c r="I525">
        <v>10</v>
      </c>
      <c r="J525">
        <v>2004</v>
      </c>
      <c r="K525" t="s">
        <v>697</v>
      </c>
      <c r="L525">
        <v>53</v>
      </c>
      <c r="M525" t="s">
        <v>719</v>
      </c>
      <c r="N525" t="s">
        <v>361</v>
      </c>
      <c r="O525" t="s">
        <v>362</v>
      </c>
      <c r="P525" t="s">
        <v>363</v>
      </c>
      <c r="R525" t="s">
        <v>364</v>
      </c>
      <c r="T525">
        <v>78000</v>
      </c>
      <c r="U525" t="s">
        <v>109</v>
      </c>
      <c r="V525" t="s">
        <v>110</v>
      </c>
      <c r="W525" t="s">
        <v>365</v>
      </c>
      <c r="X525" t="s">
        <v>118</v>
      </c>
      <c r="Y525" t="s">
        <v>104</v>
      </c>
    </row>
    <row r="526" spans="1:25">
      <c r="A526">
        <v>10312</v>
      </c>
      <c r="B526">
        <v>25</v>
      </c>
      <c r="C526">
        <v>44.21</v>
      </c>
      <c r="D526">
        <v>9</v>
      </c>
      <c r="E526">
        <v>1105.25</v>
      </c>
      <c r="F526" t="s">
        <v>366</v>
      </c>
      <c r="G526" t="s">
        <v>93</v>
      </c>
      <c r="H526">
        <v>4</v>
      </c>
      <c r="I526">
        <v>10</v>
      </c>
      <c r="J526">
        <v>2004</v>
      </c>
      <c r="K526" t="s">
        <v>697</v>
      </c>
      <c r="L526">
        <v>53</v>
      </c>
      <c r="M526" t="s">
        <v>719</v>
      </c>
      <c r="N526" t="s">
        <v>367</v>
      </c>
      <c r="O526">
        <v>4155551450</v>
      </c>
      <c r="P526" t="s">
        <v>368</v>
      </c>
      <c r="R526" t="s">
        <v>369</v>
      </c>
      <c r="S526" t="s">
        <v>124</v>
      </c>
      <c r="T526">
        <v>97562</v>
      </c>
      <c r="U526" t="s">
        <v>100</v>
      </c>
      <c r="V526" t="s">
        <v>101</v>
      </c>
      <c r="W526" t="s">
        <v>370</v>
      </c>
      <c r="X526" t="s">
        <v>371</v>
      </c>
      <c r="Y526" t="s">
        <v>104</v>
      </c>
    </row>
    <row r="527" spans="1:25">
      <c r="A527">
        <v>10322</v>
      </c>
      <c r="B527">
        <v>41</v>
      </c>
      <c r="C527">
        <v>57.68</v>
      </c>
      <c r="D527">
        <v>5</v>
      </c>
      <c r="E527">
        <v>2364.88</v>
      </c>
      <c r="F527" s="4">
        <v>38088</v>
      </c>
      <c r="G527" t="s">
        <v>93</v>
      </c>
      <c r="H527">
        <v>4</v>
      </c>
      <c r="I527">
        <v>11</v>
      </c>
      <c r="J527">
        <v>2004</v>
      </c>
      <c r="K527" t="s">
        <v>697</v>
      </c>
      <c r="L527">
        <v>53</v>
      </c>
      <c r="M527" t="s">
        <v>719</v>
      </c>
      <c r="N527" t="s">
        <v>372</v>
      </c>
      <c r="O527">
        <v>6035558647</v>
      </c>
      <c r="P527" t="s">
        <v>373</v>
      </c>
      <c r="R527" t="s">
        <v>374</v>
      </c>
      <c r="S527" t="s">
        <v>375</v>
      </c>
      <c r="T527">
        <v>62005</v>
      </c>
      <c r="U527" t="s">
        <v>100</v>
      </c>
      <c r="V527" t="s">
        <v>101</v>
      </c>
      <c r="W527" t="s">
        <v>125</v>
      </c>
      <c r="X527" t="s">
        <v>371</v>
      </c>
      <c r="Y527" t="s">
        <v>104</v>
      </c>
    </row>
    <row r="528" spans="1:25">
      <c r="A528">
        <v>10332</v>
      </c>
      <c r="B528">
        <v>27</v>
      </c>
      <c r="C528">
        <v>89.89</v>
      </c>
      <c r="D528">
        <v>16</v>
      </c>
      <c r="E528">
        <v>2427.0300000000002</v>
      </c>
      <c r="F528" t="s">
        <v>695</v>
      </c>
      <c r="G528" t="s">
        <v>93</v>
      </c>
      <c r="H528">
        <v>4</v>
      </c>
      <c r="I528">
        <v>11</v>
      </c>
      <c r="J528">
        <v>2004</v>
      </c>
      <c r="K528" t="s">
        <v>697</v>
      </c>
      <c r="L528">
        <v>53</v>
      </c>
      <c r="M528" t="s">
        <v>719</v>
      </c>
      <c r="N528" t="s">
        <v>624</v>
      </c>
      <c r="O528" t="s">
        <v>625</v>
      </c>
      <c r="P528" t="s">
        <v>626</v>
      </c>
      <c r="R528" t="s">
        <v>627</v>
      </c>
      <c r="T528" t="s">
        <v>628</v>
      </c>
      <c r="U528" t="s">
        <v>252</v>
      </c>
      <c r="V528" t="s">
        <v>110</v>
      </c>
      <c r="W528" t="s">
        <v>629</v>
      </c>
      <c r="X528" t="s">
        <v>167</v>
      </c>
      <c r="Y528" t="s">
        <v>104</v>
      </c>
    </row>
    <row r="529" spans="1:25">
      <c r="A529">
        <v>10347</v>
      </c>
      <c r="B529">
        <v>21</v>
      </c>
      <c r="C529">
        <v>58.95</v>
      </c>
      <c r="D529">
        <v>7</v>
      </c>
      <c r="E529">
        <v>1237.95</v>
      </c>
      <c r="F529" t="s">
        <v>377</v>
      </c>
      <c r="G529" t="s">
        <v>93</v>
      </c>
      <c r="H529">
        <v>4</v>
      </c>
      <c r="I529">
        <v>11</v>
      </c>
      <c r="J529">
        <v>2004</v>
      </c>
      <c r="K529" t="s">
        <v>697</v>
      </c>
      <c r="L529">
        <v>53</v>
      </c>
      <c r="M529" t="s">
        <v>719</v>
      </c>
      <c r="N529" t="s">
        <v>162</v>
      </c>
      <c r="O529" t="s">
        <v>163</v>
      </c>
      <c r="P529" t="s">
        <v>164</v>
      </c>
      <c r="Q529" t="s">
        <v>165</v>
      </c>
      <c r="R529" t="s">
        <v>166</v>
      </c>
      <c r="S529" t="s">
        <v>167</v>
      </c>
      <c r="T529">
        <v>3004</v>
      </c>
      <c r="U529" t="s">
        <v>168</v>
      </c>
      <c r="V529" t="s">
        <v>169</v>
      </c>
      <c r="W529" t="s">
        <v>170</v>
      </c>
      <c r="X529" t="s">
        <v>171</v>
      </c>
      <c r="Y529" t="s">
        <v>104</v>
      </c>
    </row>
    <row r="530" spans="1:25">
      <c r="A530">
        <v>10356</v>
      </c>
      <c r="B530">
        <v>22</v>
      </c>
      <c r="C530">
        <v>72.41</v>
      </c>
      <c r="D530">
        <v>6</v>
      </c>
      <c r="E530">
        <v>1593.02</v>
      </c>
      <c r="F530" s="4">
        <v>38242</v>
      </c>
      <c r="G530" t="s">
        <v>93</v>
      </c>
      <c r="H530">
        <v>4</v>
      </c>
      <c r="I530">
        <v>12</v>
      </c>
      <c r="J530">
        <v>2004</v>
      </c>
      <c r="K530" t="s">
        <v>697</v>
      </c>
      <c r="L530">
        <v>53</v>
      </c>
      <c r="M530" t="s">
        <v>719</v>
      </c>
      <c r="N530" t="s">
        <v>113</v>
      </c>
      <c r="O530" t="s">
        <v>114</v>
      </c>
      <c r="P530" t="s">
        <v>115</v>
      </c>
      <c r="R530" t="s">
        <v>116</v>
      </c>
      <c r="T530">
        <v>75508</v>
      </c>
      <c r="U530" t="s">
        <v>109</v>
      </c>
      <c r="V530" t="s">
        <v>110</v>
      </c>
      <c r="W530" t="s">
        <v>117</v>
      </c>
      <c r="X530" t="s">
        <v>118</v>
      </c>
      <c r="Y530" t="s">
        <v>104</v>
      </c>
    </row>
    <row r="531" spans="1:25">
      <c r="A531">
        <v>10369</v>
      </c>
      <c r="B531">
        <v>32</v>
      </c>
      <c r="C531">
        <v>98.63</v>
      </c>
      <c r="D531">
        <v>7</v>
      </c>
      <c r="E531">
        <v>3156.16</v>
      </c>
      <c r="F531" t="s">
        <v>378</v>
      </c>
      <c r="G531" t="s">
        <v>93</v>
      </c>
      <c r="H531">
        <v>1</v>
      </c>
      <c r="I531">
        <v>1</v>
      </c>
      <c r="J531">
        <v>2005</v>
      </c>
      <c r="K531" t="s">
        <v>697</v>
      </c>
      <c r="L531">
        <v>53</v>
      </c>
      <c r="M531" t="s">
        <v>719</v>
      </c>
      <c r="N531" t="s">
        <v>379</v>
      </c>
      <c r="O531">
        <v>6175558555</v>
      </c>
      <c r="P531" t="s">
        <v>380</v>
      </c>
      <c r="R531" t="s">
        <v>381</v>
      </c>
      <c r="S531" t="s">
        <v>200</v>
      </c>
      <c r="T531">
        <v>58339</v>
      </c>
      <c r="U531" t="s">
        <v>100</v>
      </c>
      <c r="V531" t="s">
        <v>101</v>
      </c>
      <c r="W531" t="s">
        <v>370</v>
      </c>
      <c r="X531" t="s">
        <v>382</v>
      </c>
      <c r="Y531" t="s">
        <v>119</v>
      </c>
    </row>
    <row r="532" spans="1:25">
      <c r="A532">
        <v>10381</v>
      </c>
      <c r="B532">
        <v>25</v>
      </c>
      <c r="C532">
        <v>52.83</v>
      </c>
      <c r="D532">
        <v>9</v>
      </c>
      <c r="E532">
        <v>1320.75</v>
      </c>
      <c r="F532" t="s">
        <v>383</v>
      </c>
      <c r="G532" t="s">
        <v>93</v>
      </c>
      <c r="H532">
        <v>1</v>
      </c>
      <c r="I532">
        <v>2</v>
      </c>
      <c r="J532">
        <v>2005</v>
      </c>
      <c r="K532" t="s">
        <v>697</v>
      </c>
      <c r="L532">
        <v>53</v>
      </c>
      <c r="M532" t="s">
        <v>719</v>
      </c>
      <c r="N532" t="s">
        <v>127</v>
      </c>
      <c r="O532">
        <v>6505551386</v>
      </c>
      <c r="P532" t="s">
        <v>128</v>
      </c>
      <c r="R532" t="s">
        <v>129</v>
      </c>
      <c r="S532" t="s">
        <v>124</v>
      </c>
      <c r="U532" t="s">
        <v>100</v>
      </c>
      <c r="V532" t="s">
        <v>101</v>
      </c>
      <c r="W532" t="s">
        <v>130</v>
      </c>
      <c r="X532" t="s">
        <v>126</v>
      </c>
      <c r="Y532" t="s">
        <v>104</v>
      </c>
    </row>
    <row r="533" spans="1:25">
      <c r="A533">
        <v>10391</v>
      </c>
      <c r="B533">
        <v>42</v>
      </c>
      <c r="C533">
        <v>100</v>
      </c>
      <c r="D533">
        <v>3</v>
      </c>
      <c r="E533">
        <v>4998</v>
      </c>
      <c r="F533" s="4">
        <v>38598</v>
      </c>
      <c r="G533" t="s">
        <v>93</v>
      </c>
      <c r="H533">
        <v>1</v>
      </c>
      <c r="I533">
        <v>3</v>
      </c>
      <c r="J533">
        <v>2005</v>
      </c>
      <c r="K533" t="s">
        <v>697</v>
      </c>
      <c r="L533">
        <v>53</v>
      </c>
      <c r="M533" t="s">
        <v>719</v>
      </c>
      <c r="N533" t="s">
        <v>384</v>
      </c>
      <c r="O533" t="s">
        <v>385</v>
      </c>
      <c r="P533" t="s">
        <v>386</v>
      </c>
      <c r="Q533" t="s">
        <v>387</v>
      </c>
      <c r="R533" t="s">
        <v>388</v>
      </c>
      <c r="S533" t="s">
        <v>239</v>
      </c>
      <c r="T533">
        <v>2060</v>
      </c>
      <c r="U533" t="s">
        <v>168</v>
      </c>
      <c r="V533" t="s">
        <v>169</v>
      </c>
      <c r="W533" t="s">
        <v>389</v>
      </c>
      <c r="X533" t="s">
        <v>390</v>
      </c>
      <c r="Y533" t="s">
        <v>119</v>
      </c>
    </row>
    <row r="534" spans="1:25">
      <c r="A534">
        <v>10422</v>
      </c>
      <c r="B534">
        <v>25</v>
      </c>
      <c r="C534">
        <v>51.75</v>
      </c>
      <c r="D534">
        <v>1</v>
      </c>
      <c r="E534">
        <v>1293.75</v>
      </c>
      <c r="F534" t="s">
        <v>718</v>
      </c>
      <c r="G534" t="s">
        <v>400</v>
      </c>
      <c r="H534">
        <v>2</v>
      </c>
      <c r="I534">
        <v>5</v>
      </c>
      <c r="J534">
        <v>2005</v>
      </c>
      <c r="K534" t="s">
        <v>697</v>
      </c>
      <c r="L534">
        <v>53</v>
      </c>
      <c r="M534" t="s">
        <v>719</v>
      </c>
      <c r="N534" t="s">
        <v>218</v>
      </c>
      <c r="O534">
        <v>2155551555</v>
      </c>
      <c r="P534" t="s">
        <v>219</v>
      </c>
      <c r="R534" t="s">
        <v>220</v>
      </c>
      <c r="S534" t="s">
        <v>221</v>
      </c>
      <c r="T534">
        <v>70267</v>
      </c>
      <c r="U534" t="s">
        <v>100</v>
      </c>
      <c r="V534" t="s">
        <v>101</v>
      </c>
      <c r="W534" t="s">
        <v>102</v>
      </c>
      <c r="X534" t="s">
        <v>222</v>
      </c>
      <c r="Y534" t="s">
        <v>104</v>
      </c>
    </row>
    <row r="535" spans="1:25">
      <c r="A535">
        <v>10110</v>
      </c>
      <c r="B535">
        <v>37</v>
      </c>
      <c r="C535">
        <v>100</v>
      </c>
      <c r="D535">
        <v>16</v>
      </c>
      <c r="E535">
        <v>5433.08</v>
      </c>
      <c r="F535" t="s">
        <v>720</v>
      </c>
      <c r="G535" t="s">
        <v>93</v>
      </c>
      <c r="H535">
        <v>1</v>
      </c>
      <c r="I535">
        <v>3</v>
      </c>
      <c r="J535">
        <v>2003</v>
      </c>
      <c r="K535" t="s">
        <v>265</v>
      </c>
      <c r="L535">
        <v>124</v>
      </c>
      <c r="M535" t="s">
        <v>721</v>
      </c>
      <c r="N535" t="s">
        <v>624</v>
      </c>
      <c r="O535" t="s">
        <v>625</v>
      </c>
      <c r="P535" t="s">
        <v>626</v>
      </c>
      <c r="R535" t="s">
        <v>627</v>
      </c>
      <c r="T535" t="s">
        <v>628</v>
      </c>
      <c r="U535" t="s">
        <v>252</v>
      </c>
      <c r="V535" t="s">
        <v>110</v>
      </c>
      <c r="W535" t="s">
        <v>629</v>
      </c>
      <c r="X535" t="s">
        <v>167</v>
      </c>
      <c r="Y535" t="s">
        <v>119</v>
      </c>
    </row>
    <row r="536" spans="1:25">
      <c r="A536">
        <v>10123</v>
      </c>
      <c r="B536">
        <v>26</v>
      </c>
      <c r="C536">
        <v>100</v>
      </c>
      <c r="D536">
        <v>2</v>
      </c>
      <c r="E536">
        <v>3073.72</v>
      </c>
      <c r="F536" t="s">
        <v>722</v>
      </c>
      <c r="G536" t="s">
        <v>93</v>
      </c>
      <c r="H536">
        <v>2</v>
      </c>
      <c r="I536">
        <v>5</v>
      </c>
      <c r="J536">
        <v>2003</v>
      </c>
      <c r="K536" t="s">
        <v>265</v>
      </c>
      <c r="L536">
        <v>124</v>
      </c>
      <c r="M536" t="s">
        <v>721</v>
      </c>
      <c r="N536" t="s">
        <v>414</v>
      </c>
      <c r="O536" t="s">
        <v>415</v>
      </c>
      <c r="P536" t="s">
        <v>416</v>
      </c>
      <c r="R536" t="s">
        <v>193</v>
      </c>
      <c r="T536">
        <v>44000</v>
      </c>
      <c r="U536" t="s">
        <v>109</v>
      </c>
      <c r="V536" t="s">
        <v>110</v>
      </c>
      <c r="W536" t="s">
        <v>417</v>
      </c>
      <c r="X536" t="s">
        <v>418</v>
      </c>
      <c r="Y536" t="s">
        <v>119</v>
      </c>
    </row>
    <row r="537" spans="1:25">
      <c r="A537">
        <v>10137</v>
      </c>
      <c r="B537">
        <v>44</v>
      </c>
      <c r="C537">
        <v>99.55</v>
      </c>
      <c r="D537">
        <v>2</v>
      </c>
      <c r="E537">
        <v>4380.2</v>
      </c>
      <c r="F537" s="4">
        <v>37901</v>
      </c>
      <c r="G537" t="s">
        <v>93</v>
      </c>
      <c r="H537">
        <v>3</v>
      </c>
      <c r="I537">
        <v>7</v>
      </c>
      <c r="J537">
        <v>2003</v>
      </c>
      <c r="K537" t="s">
        <v>265</v>
      </c>
      <c r="L537">
        <v>124</v>
      </c>
      <c r="M537" t="s">
        <v>721</v>
      </c>
      <c r="N537" t="s">
        <v>105</v>
      </c>
      <c r="O537" t="s">
        <v>106</v>
      </c>
      <c r="P537" t="s">
        <v>107</v>
      </c>
      <c r="R537" t="s">
        <v>108</v>
      </c>
      <c r="T537">
        <v>51100</v>
      </c>
      <c r="U537" t="s">
        <v>109</v>
      </c>
      <c r="V537" t="s">
        <v>110</v>
      </c>
      <c r="W537" t="s">
        <v>111</v>
      </c>
      <c r="X537" t="s">
        <v>112</v>
      </c>
      <c r="Y537" t="s">
        <v>119</v>
      </c>
    </row>
    <row r="538" spans="1:25">
      <c r="A538">
        <v>10148</v>
      </c>
      <c r="B538">
        <v>47</v>
      </c>
      <c r="C538">
        <v>100</v>
      </c>
      <c r="D538">
        <v>9</v>
      </c>
      <c r="E538">
        <v>5848.68</v>
      </c>
      <c r="F538" s="4">
        <v>37934</v>
      </c>
      <c r="G538" t="s">
        <v>93</v>
      </c>
      <c r="H538">
        <v>3</v>
      </c>
      <c r="I538">
        <v>9</v>
      </c>
      <c r="J538">
        <v>2003</v>
      </c>
      <c r="K538" t="s">
        <v>265</v>
      </c>
      <c r="L538">
        <v>124</v>
      </c>
      <c r="M538" t="s">
        <v>721</v>
      </c>
      <c r="N538" t="s">
        <v>384</v>
      </c>
      <c r="O538" t="s">
        <v>385</v>
      </c>
      <c r="P538" t="s">
        <v>386</v>
      </c>
      <c r="Q538" t="s">
        <v>387</v>
      </c>
      <c r="R538" t="s">
        <v>388</v>
      </c>
      <c r="S538" t="s">
        <v>239</v>
      </c>
      <c r="T538">
        <v>2060</v>
      </c>
      <c r="U538" t="s">
        <v>168</v>
      </c>
      <c r="V538" t="s">
        <v>169</v>
      </c>
      <c r="W538" t="s">
        <v>389</v>
      </c>
      <c r="X538" t="s">
        <v>390</v>
      </c>
      <c r="Y538" t="s">
        <v>119</v>
      </c>
    </row>
    <row r="539" spans="1:25">
      <c r="A539">
        <v>10161</v>
      </c>
      <c r="B539">
        <v>43</v>
      </c>
      <c r="C539">
        <v>100</v>
      </c>
      <c r="D539">
        <v>8</v>
      </c>
      <c r="E539">
        <v>6153.73</v>
      </c>
      <c r="F539" t="s">
        <v>682</v>
      </c>
      <c r="G539" t="s">
        <v>93</v>
      </c>
      <c r="H539">
        <v>4</v>
      </c>
      <c r="I539">
        <v>10</v>
      </c>
      <c r="J539">
        <v>2003</v>
      </c>
      <c r="K539" t="s">
        <v>265</v>
      </c>
      <c r="L539">
        <v>124</v>
      </c>
      <c r="M539" t="s">
        <v>721</v>
      </c>
      <c r="N539" t="s">
        <v>630</v>
      </c>
      <c r="O539" t="s">
        <v>631</v>
      </c>
      <c r="P539" t="s">
        <v>632</v>
      </c>
      <c r="R539" t="s">
        <v>633</v>
      </c>
      <c r="T539">
        <v>8200</v>
      </c>
      <c r="U539" t="s">
        <v>429</v>
      </c>
      <c r="V539" t="s">
        <v>110</v>
      </c>
      <c r="W539" t="s">
        <v>634</v>
      </c>
      <c r="X539" t="s">
        <v>635</v>
      </c>
      <c r="Y539" t="s">
        <v>119</v>
      </c>
    </row>
    <row r="540" spans="1:25">
      <c r="A540">
        <v>10172</v>
      </c>
      <c r="B540">
        <v>42</v>
      </c>
      <c r="C540">
        <v>100</v>
      </c>
      <c r="D540">
        <v>6</v>
      </c>
      <c r="E540">
        <v>4965.24</v>
      </c>
      <c r="F540" s="4">
        <v>37752</v>
      </c>
      <c r="G540" t="s">
        <v>93</v>
      </c>
      <c r="H540">
        <v>4</v>
      </c>
      <c r="I540">
        <v>11</v>
      </c>
      <c r="J540">
        <v>2003</v>
      </c>
      <c r="K540" t="s">
        <v>265</v>
      </c>
      <c r="L540">
        <v>124</v>
      </c>
      <c r="M540" t="s">
        <v>721</v>
      </c>
      <c r="N540" t="s">
        <v>184</v>
      </c>
      <c r="O540">
        <v>2035552570</v>
      </c>
      <c r="P540" t="s">
        <v>185</v>
      </c>
      <c r="R540" t="s">
        <v>186</v>
      </c>
      <c r="S540" t="s">
        <v>187</v>
      </c>
      <c r="T540">
        <v>97562</v>
      </c>
      <c r="U540" t="s">
        <v>100</v>
      </c>
      <c r="V540" t="s">
        <v>101</v>
      </c>
      <c r="W540" t="s">
        <v>188</v>
      </c>
      <c r="X540" t="s">
        <v>126</v>
      </c>
      <c r="Y540" t="s">
        <v>119</v>
      </c>
    </row>
    <row r="541" spans="1:25">
      <c r="A541">
        <v>10181</v>
      </c>
      <c r="B541">
        <v>42</v>
      </c>
      <c r="C541">
        <v>100</v>
      </c>
      <c r="D541">
        <v>2</v>
      </c>
      <c r="E541">
        <v>5435.64</v>
      </c>
      <c r="F541" s="4">
        <v>37966</v>
      </c>
      <c r="G541" t="s">
        <v>93</v>
      </c>
      <c r="H541">
        <v>4</v>
      </c>
      <c r="I541">
        <v>11</v>
      </c>
      <c r="J541">
        <v>2003</v>
      </c>
      <c r="K541" t="s">
        <v>265</v>
      </c>
      <c r="L541">
        <v>124</v>
      </c>
      <c r="M541" t="s">
        <v>721</v>
      </c>
      <c r="N541" t="s">
        <v>144</v>
      </c>
      <c r="O541" t="s">
        <v>145</v>
      </c>
      <c r="P541" t="s">
        <v>146</v>
      </c>
      <c r="R541" t="s">
        <v>147</v>
      </c>
      <c r="T541" t="s">
        <v>148</v>
      </c>
      <c r="U541" t="s">
        <v>149</v>
      </c>
      <c r="V541" t="s">
        <v>110</v>
      </c>
      <c r="W541" t="s">
        <v>150</v>
      </c>
      <c r="X541" t="s">
        <v>151</v>
      </c>
      <c r="Y541" t="s">
        <v>119</v>
      </c>
    </row>
    <row r="542" spans="1:25">
      <c r="A542">
        <v>10192</v>
      </c>
      <c r="B542">
        <v>29</v>
      </c>
      <c r="C542">
        <v>100</v>
      </c>
      <c r="D542">
        <v>7</v>
      </c>
      <c r="E542">
        <v>4258.3599999999997</v>
      </c>
      <c r="F542" t="s">
        <v>561</v>
      </c>
      <c r="G542" t="s">
        <v>93</v>
      </c>
      <c r="H542">
        <v>4</v>
      </c>
      <c r="I542">
        <v>11</v>
      </c>
      <c r="J542">
        <v>2003</v>
      </c>
      <c r="K542" t="s">
        <v>265</v>
      </c>
      <c r="L542">
        <v>124</v>
      </c>
      <c r="M542" t="s">
        <v>721</v>
      </c>
      <c r="N542" t="s">
        <v>372</v>
      </c>
      <c r="O542">
        <v>6035558647</v>
      </c>
      <c r="P542" t="s">
        <v>373</v>
      </c>
      <c r="R542" t="s">
        <v>374</v>
      </c>
      <c r="S542" t="s">
        <v>375</v>
      </c>
      <c r="T542">
        <v>62005</v>
      </c>
      <c r="U542" t="s">
        <v>100</v>
      </c>
      <c r="V542" t="s">
        <v>101</v>
      </c>
      <c r="W542" t="s">
        <v>125</v>
      </c>
      <c r="X542" t="s">
        <v>371</v>
      </c>
      <c r="Y542" t="s">
        <v>119</v>
      </c>
    </row>
    <row r="543" spans="1:25">
      <c r="A543">
        <v>10204</v>
      </c>
      <c r="B543">
        <v>40</v>
      </c>
      <c r="C543">
        <v>100</v>
      </c>
      <c r="D543">
        <v>13</v>
      </c>
      <c r="E543">
        <v>4032</v>
      </c>
      <c r="F543" s="4">
        <v>37664</v>
      </c>
      <c r="G543" t="s">
        <v>93</v>
      </c>
      <c r="H543">
        <v>4</v>
      </c>
      <c r="I543">
        <v>12</v>
      </c>
      <c r="J543">
        <v>2003</v>
      </c>
      <c r="K543" t="s">
        <v>265</v>
      </c>
      <c r="L543">
        <v>124</v>
      </c>
      <c r="M543" t="s">
        <v>721</v>
      </c>
      <c r="N543" t="s">
        <v>603</v>
      </c>
      <c r="O543">
        <v>2125557413</v>
      </c>
      <c r="P543" t="s">
        <v>604</v>
      </c>
      <c r="Q543" t="s">
        <v>605</v>
      </c>
      <c r="R543" t="s">
        <v>98</v>
      </c>
      <c r="S543" t="s">
        <v>99</v>
      </c>
      <c r="T543">
        <v>10022</v>
      </c>
      <c r="U543" t="s">
        <v>100</v>
      </c>
      <c r="V543" t="s">
        <v>101</v>
      </c>
      <c r="W543" t="s">
        <v>125</v>
      </c>
      <c r="X543" t="s">
        <v>606</v>
      </c>
      <c r="Y543" t="s">
        <v>119</v>
      </c>
    </row>
    <row r="544" spans="1:25">
      <c r="A544">
        <v>10212</v>
      </c>
      <c r="B544">
        <v>38</v>
      </c>
      <c r="C544">
        <v>100</v>
      </c>
      <c r="D544">
        <v>6</v>
      </c>
      <c r="E544">
        <v>4492.3599999999997</v>
      </c>
      <c r="F544" t="s">
        <v>653</v>
      </c>
      <c r="G544" t="s">
        <v>93</v>
      </c>
      <c r="H544">
        <v>1</v>
      </c>
      <c r="I544">
        <v>1</v>
      </c>
      <c r="J544">
        <v>2004</v>
      </c>
      <c r="K544" t="s">
        <v>265</v>
      </c>
      <c r="L544">
        <v>124</v>
      </c>
      <c r="M544" t="s">
        <v>721</v>
      </c>
      <c r="N544" t="s">
        <v>257</v>
      </c>
      <c r="O544" t="s">
        <v>258</v>
      </c>
      <c r="P544" t="s">
        <v>259</v>
      </c>
      <c r="R544" t="s">
        <v>260</v>
      </c>
      <c r="T544">
        <v>28034</v>
      </c>
      <c r="U544" t="s">
        <v>261</v>
      </c>
      <c r="V544" t="s">
        <v>110</v>
      </c>
      <c r="W544" t="s">
        <v>262</v>
      </c>
      <c r="X544" t="s">
        <v>263</v>
      </c>
      <c r="Y544" t="s">
        <v>119</v>
      </c>
    </row>
    <row r="545" spans="1:25">
      <c r="A545">
        <v>10226</v>
      </c>
      <c r="B545">
        <v>38</v>
      </c>
      <c r="C545">
        <v>100</v>
      </c>
      <c r="D545">
        <v>4</v>
      </c>
      <c r="E545">
        <v>4161.38</v>
      </c>
      <c r="F545" t="s">
        <v>723</v>
      </c>
      <c r="G545" t="s">
        <v>93</v>
      </c>
      <c r="H545">
        <v>1</v>
      </c>
      <c r="I545">
        <v>2</v>
      </c>
      <c r="J545">
        <v>2004</v>
      </c>
      <c r="K545" t="s">
        <v>265</v>
      </c>
      <c r="L545">
        <v>124</v>
      </c>
      <c r="M545" t="s">
        <v>721</v>
      </c>
      <c r="N545" t="s">
        <v>470</v>
      </c>
      <c r="O545">
        <v>7605558146</v>
      </c>
      <c r="P545" t="s">
        <v>471</v>
      </c>
      <c r="R545" t="s">
        <v>472</v>
      </c>
      <c r="S545" t="s">
        <v>124</v>
      </c>
      <c r="T545">
        <v>91217</v>
      </c>
      <c r="U545" t="s">
        <v>100</v>
      </c>
      <c r="V545" t="s">
        <v>101</v>
      </c>
      <c r="W545" t="s">
        <v>6</v>
      </c>
      <c r="X545" t="s">
        <v>371</v>
      </c>
      <c r="Y545" t="s">
        <v>119</v>
      </c>
    </row>
    <row r="546" spans="1:25">
      <c r="A546">
        <v>10241</v>
      </c>
      <c r="B546">
        <v>21</v>
      </c>
      <c r="C546">
        <v>100</v>
      </c>
      <c r="D546">
        <v>11</v>
      </c>
      <c r="E546">
        <v>2508.66</v>
      </c>
      <c r="F546" t="s">
        <v>683</v>
      </c>
      <c r="G546" t="s">
        <v>93</v>
      </c>
      <c r="H546">
        <v>2</v>
      </c>
      <c r="I546">
        <v>4</v>
      </c>
      <c r="J546">
        <v>2004</v>
      </c>
      <c r="K546" t="s">
        <v>265</v>
      </c>
      <c r="L546">
        <v>124</v>
      </c>
      <c r="M546" t="s">
        <v>721</v>
      </c>
      <c r="N546" t="s">
        <v>674</v>
      </c>
      <c r="O546" t="s">
        <v>675</v>
      </c>
      <c r="P546" t="s">
        <v>676</v>
      </c>
      <c r="R546" t="s">
        <v>677</v>
      </c>
      <c r="T546">
        <v>67000</v>
      </c>
      <c r="U546" t="s">
        <v>109</v>
      </c>
      <c r="V546" t="s">
        <v>110</v>
      </c>
      <c r="W546" t="s">
        <v>678</v>
      </c>
      <c r="X546" t="s">
        <v>679</v>
      </c>
      <c r="Y546" t="s">
        <v>104</v>
      </c>
    </row>
    <row r="547" spans="1:25">
      <c r="A547">
        <v>10253</v>
      </c>
      <c r="B547">
        <v>24</v>
      </c>
      <c r="C547">
        <v>100</v>
      </c>
      <c r="D547">
        <v>1</v>
      </c>
      <c r="E547">
        <v>3374.88</v>
      </c>
      <c r="F547" s="4">
        <v>37992</v>
      </c>
      <c r="G547" t="s">
        <v>444</v>
      </c>
      <c r="H547">
        <v>2</v>
      </c>
      <c r="I547">
        <v>6</v>
      </c>
      <c r="J547">
        <v>2004</v>
      </c>
      <c r="K547" t="s">
        <v>265</v>
      </c>
      <c r="L547">
        <v>124</v>
      </c>
      <c r="M547" t="s">
        <v>721</v>
      </c>
      <c r="N547" t="s">
        <v>247</v>
      </c>
      <c r="O547" t="s">
        <v>248</v>
      </c>
      <c r="P547" t="s">
        <v>249</v>
      </c>
      <c r="R547" t="s">
        <v>250</v>
      </c>
      <c r="T547" t="s">
        <v>251</v>
      </c>
      <c r="U547" t="s">
        <v>252</v>
      </c>
      <c r="V547" t="s">
        <v>110</v>
      </c>
      <c r="W547" t="s">
        <v>253</v>
      </c>
      <c r="X547" t="s">
        <v>254</v>
      </c>
      <c r="Y547" t="s">
        <v>119</v>
      </c>
    </row>
    <row r="548" spans="1:25">
      <c r="A548">
        <v>10266</v>
      </c>
      <c r="B548">
        <v>36</v>
      </c>
      <c r="C548">
        <v>100</v>
      </c>
      <c r="D548">
        <v>2</v>
      </c>
      <c r="E548">
        <v>5196.6000000000004</v>
      </c>
      <c r="F548" s="4">
        <v>38145</v>
      </c>
      <c r="G548" t="s">
        <v>93</v>
      </c>
      <c r="H548">
        <v>3</v>
      </c>
      <c r="I548">
        <v>7</v>
      </c>
      <c r="J548">
        <v>2004</v>
      </c>
      <c r="K548" t="s">
        <v>265</v>
      </c>
      <c r="L548">
        <v>124</v>
      </c>
      <c r="M548" t="s">
        <v>721</v>
      </c>
      <c r="N548" t="s">
        <v>576</v>
      </c>
      <c r="O548" t="s">
        <v>577</v>
      </c>
      <c r="P548" t="s">
        <v>578</v>
      </c>
      <c r="R548" t="s">
        <v>579</v>
      </c>
      <c r="T548">
        <v>42100</v>
      </c>
      <c r="U548" t="s">
        <v>352</v>
      </c>
      <c r="V548" t="s">
        <v>110</v>
      </c>
      <c r="W548" t="s">
        <v>580</v>
      </c>
      <c r="X548" t="s">
        <v>581</v>
      </c>
      <c r="Y548" t="s">
        <v>119</v>
      </c>
    </row>
    <row r="549" spans="1:25">
      <c r="A549">
        <v>10278</v>
      </c>
      <c r="B549">
        <v>23</v>
      </c>
      <c r="C549">
        <v>100</v>
      </c>
      <c r="D549">
        <v>2</v>
      </c>
      <c r="E549">
        <v>2604.52</v>
      </c>
      <c r="F549" s="4">
        <v>38146</v>
      </c>
      <c r="G549" t="s">
        <v>93</v>
      </c>
      <c r="H549">
        <v>3</v>
      </c>
      <c r="I549">
        <v>8</v>
      </c>
      <c r="J549">
        <v>2004</v>
      </c>
      <c r="K549" t="s">
        <v>265</v>
      </c>
      <c r="L549">
        <v>124</v>
      </c>
      <c r="M549" t="s">
        <v>721</v>
      </c>
      <c r="N549" t="s">
        <v>684</v>
      </c>
      <c r="O549">
        <v>7025551838</v>
      </c>
      <c r="P549" t="s">
        <v>685</v>
      </c>
      <c r="R549" t="s">
        <v>686</v>
      </c>
      <c r="S549" t="s">
        <v>687</v>
      </c>
      <c r="T549">
        <v>83030</v>
      </c>
      <c r="U549" t="s">
        <v>100</v>
      </c>
      <c r="V549" t="s">
        <v>101</v>
      </c>
      <c r="W549" t="s">
        <v>188</v>
      </c>
      <c r="X549" t="s">
        <v>517</v>
      </c>
      <c r="Y549" t="s">
        <v>104</v>
      </c>
    </row>
    <row r="550" spans="1:25">
      <c r="A550">
        <v>10288</v>
      </c>
      <c r="B550">
        <v>20</v>
      </c>
      <c r="C550">
        <v>100</v>
      </c>
      <c r="D550">
        <v>14</v>
      </c>
      <c r="E550">
        <v>2936.8</v>
      </c>
      <c r="F550" s="4">
        <v>37995</v>
      </c>
      <c r="G550" t="s">
        <v>93</v>
      </c>
      <c r="H550">
        <v>3</v>
      </c>
      <c r="I550">
        <v>9</v>
      </c>
      <c r="J550">
        <v>2004</v>
      </c>
      <c r="K550" t="s">
        <v>265</v>
      </c>
      <c r="L550">
        <v>124</v>
      </c>
      <c r="M550" t="s">
        <v>721</v>
      </c>
      <c r="N550" t="s">
        <v>536</v>
      </c>
      <c r="O550" t="s">
        <v>537</v>
      </c>
      <c r="P550" t="s">
        <v>538</v>
      </c>
      <c r="Q550" t="s">
        <v>539</v>
      </c>
      <c r="R550" t="s">
        <v>287</v>
      </c>
      <c r="T550">
        <v>69045</v>
      </c>
      <c r="U550" t="s">
        <v>287</v>
      </c>
      <c r="V550" t="s">
        <v>169</v>
      </c>
      <c r="W550" t="s">
        <v>540</v>
      </c>
      <c r="X550" t="s">
        <v>541</v>
      </c>
      <c r="Y550" t="s">
        <v>104</v>
      </c>
    </row>
    <row r="551" spans="1:25">
      <c r="A551">
        <v>10301</v>
      </c>
      <c r="B551">
        <v>32</v>
      </c>
      <c r="C551">
        <v>100</v>
      </c>
      <c r="D551">
        <v>4</v>
      </c>
      <c r="E551">
        <v>3424.64</v>
      </c>
      <c r="F551" s="4">
        <v>37751</v>
      </c>
      <c r="G551" t="s">
        <v>93</v>
      </c>
      <c r="H551">
        <v>4</v>
      </c>
      <c r="I551">
        <v>10</v>
      </c>
      <c r="J551">
        <v>2003</v>
      </c>
      <c r="K551" t="s">
        <v>265</v>
      </c>
      <c r="L551">
        <v>124</v>
      </c>
      <c r="M551" t="s">
        <v>721</v>
      </c>
      <c r="N551" t="s">
        <v>688</v>
      </c>
      <c r="O551" t="s">
        <v>689</v>
      </c>
      <c r="P551" t="s">
        <v>690</v>
      </c>
      <c r="R551" t="s">
        <v>691</v>
      </c>
      <c r="T551" t="s">
        <v>692</v>
      </c>
      <c r="U551" t="s">
        <v>149</v>
      </c>
      <c r="V551" t="s">
        <v>110</v>
      </c>
      <c r="W551" t="s">
        <v>693</v>
      </c>
      <c r="X551" t="s">
        <v>694</v>
      </c>
      <c r="Y551" t="s">
        <v>119</v>
      </c>
    </row>
    <row r="552" spans="1:25">
      <c r="A552">
        <v>10311</v>
      </c>
      <c r="B552">
        <v>29</v>
      </c>
      <c r="C552">
        <v>100</v>
      </c>
      <c r="D552">
        <v>9</v>
      </c>
      <c r="E552">
        <v>2923.2</v>
      </c>
      <c r="F552" t="s">
        <v>592</v>
      </c>
      <c r="G552" t="s">
        <v>93</v>
      </c>
      <c r="H552">
        <v>4</v>
      </c>
      <c r="I552">
        <v>10</v>
      </c>
      <c r="J552">
        <v>2004</v>
      </c>
      <c r="K552" t="s">
        <v>265</v>
      </c>
      <c r="L552">
        <v>124</v>
      </c>
      <c r="M552" t="s">
        <v>721</v>
      </c>
      <c r="N552" t="s">
        <v>257</v>
      </c>
      <c r="O552" t="s">
        <v>258</v>
      </c>
      <c r="P552" t="s">
        <v>259</v>
      </c>
      <c r="R552" t="s">
        <v>260</v>
      </c>
      <c r="T552">
        <v>28034</v>
      </c>
      <c r="U552" t="s">
        <v>261</v>
      </c>
      <c r="V552" t="s">
        <v>110</v>
      </c>
      <c r="W552" t="s">
        <v>262</v>
      </c>
      <c r="X552" t="s">
        <v>263</v>
      </c>
      <c r="Y552" t="s">
        <v>104</v>
      </c>
    </row>
    <row r="553" spans="1:25">
      <c r="A553">
        <v>10321</v>
      </c>
      <c r="B553">
        <v>44</v>
      </c>
      <c r="C553">
        <v>100</v>
      </c>
      <c r="D553">
        <v>6</v>
      </c>
      <c r="E553">
        <v>4489.76</v>
      </c>
      <c r="F553" s="4">
        <v>38088</v>
      </c>
      <c r="G553" t="s">
        <v>93</v>
      </c>
      <c r="H553">
        <v>4</v>
      </c>
      <c r="I553">
        <v>11</v>
      </c>
      <c r="J553">
        <v>2004</v>
      </c>
      <c r="K553" t="s">
        <v>265</v>
      </c>
      <c r="L553">
        <v>124</v>
      </c>
      <c r="M553" t="s">
        <v>721</v>
      </c>
      <c r="N553" t="s">
        <v>242</v>
      </c>
      <c r="O553">
        <v>5085552555</v>
      </c>
      <c r="P553" t="s">
        <v>243</v>
      </c>
      <c r="R553" t="s">
        <v>244</v>
      </c>
      <c r="S553" t="s">
        <v>200</v>
      </c>
      <c r="T553">
        <v>50553</v>
      </c>
      <c r="U553" t="s">
        <v>100</v>
      </c>
      <c r="V553" t="s">
        <v>101</v>
      </c>
      <c r="W553" t="s">
        <v>245</v>
      </c>
      <c r="X553" t="s">
        <v>246</v>
      </c>
      <c r="Y553" t="s">
        <v>119</v>
      </c>
    </row>
    <row r="554" spans="1:25">
      <c r="A554">
        <v>10331</v>
      </c>
      <c r="B554">
        <v>44</v>
      </c>
      <c r="C554">
        <v>100</v>
      </c>
      <c r="D554">
        <v>14</v>
      </c>
      <c r="E554">
        <v>4849.24</v>
      </c>
      <c r="F554" t="s">
        <v>695</v>
      </c>
      <c r="G554" t="s">
        <v>93</v>
      </c>
      <c r="H554">
        <v>4</v>
      </c>
      <c r="I554">
        <v>11</v>
      </c>
      <c r="J554">
        <v>2004</v>
      </c>
      <c r="K554" t="s">
        <v>265</v>
      </c>
      <c r="L554">
        <v>124</v>
      </c>
      <c r="M554" t="s">
        <v>721</v>
      </c>
      <c r="N554" t="s">
        <v>410</v>
      </c>
      <c r="O554">
        <v>2155559857</v>
      </c>
      <c r="P554" t="s">
        <v>411</v>
      </c>
      <c r="R554" t="s">
        <v>306</v>
      </c>
      <c r="S554" t="s">
        <v>221</v>
      </c>
      <c r="T554">
        <v>71270</v>
      </c>
      <c r="U554" t="s">
        <v>100</v>
      </c>
      <c r="V554" t="s">
        <v>101</v>
      </c>
      <c r="W554" t="s">
        <v>201</v>
      </c>
      <c r="X554" t="s">
        <v>412</v>
      </c>
      <c r="Y554" t="s">
        <v>119</v>
      </c>
    </row>
    <row r="555" spans="1:25">
      <c r="A555">
        <v>10343</v>
      </c>
      <c r="B555">
        <v>36</v>
      </c>
      <c r="C555">
        <v>100</v>
      </c>
      <c r="D555">
        <v>4</v>
      </c>
      <c r="E555">
        <v>5848.92</v>
      </c>
      <c r="F555" t="s">
        <v>224</v>
      </c>
      <c r="G555" t="s">
        <v>93</v>
      </c>
      <c r="H555">
        <v>4</v>
      </c>
      <c r="I555">
        <v>11</v>
      </c>
      <c r="J555">
        <v>2004</v>
      </c>
      <c r="K555" t="s">
        <v>265</v>
      </c>
      <c r="L555">
        <v>124</v>
      </c>
      <c r="M555" t="s">
        <v>721</v>
      </c>
      <c r="N555" t="s">
        <v>105</v>
      </c>
      <c r="O555" t="s">
        <v>106</v>
      </c>
      <c r="P555" t="s">
        <v>107</v>
      </c>
      <c r="R555" t="s">
        <v>108</v>
      </c>
      <c r="T555">
        <v>51100</v>
      </c>
      <c r="U555" t="s">
        <v>109</v>
      </c>
      <c r="V555" t="s">
        <v>110</v>
      </c>
      <c r="W555" t="s">
        <v>111</v>
      </c>
      <c r="X555" t="s">
        <v>112</v>
      </c>
      <c r="Y555" t="s">
        <v>119</v>
      </c>
    </row>
    <row r="556" spans="1:25">
      <c r="A556">
        <v>10367</v>
      </c>
      <c r="B556">
        <v>49</v>
      </c>
      <c r="C556">
        <v>56.3</v>
      </c>
      <c r="D556">
        <v>1</v>
      </c>
      <c r="E556">
        <v>2758.7</v>
      </c>
      <c r="F556" s="4">
        <v>38687</v>
      </c>
      <c r="G556" t="s">
        <v>526</v>
      </c>
      <c r="H556">
        <v>1</v>
      </c>
      <c r="I556">
        <v>1</v>
      </c>
      <c r="J556">
        <v>2005</v>
      </c>
      <c r="K556" t="s">
        <v>265</v>
      </c>
      <c r="L556">
        <v>124</v>
      </c>
      <c r="M556" t="s">
        <v>721</v>
      </c>
      <c r="N556" t="s">
        <v>121</v>
      </c>
      <c r="O556">
        <v>6265557265</v>
      </c>
      <c r="P556" t="s">
        <v>122</v>
      </c>
      <c r="R556" t="s">
        <v>123</v>
      </c>
      <c r="S556" t="s">
        <v>124</v>
      </c>
      <c r="T556">
        <v>90003</v>
      </c>
      <c r="U556" t="s">
        <v>100</v>
      </c>
      <c r="V556" t="s">
        <v>101</v>
      </c>
      <c r="W556" t="s">
        <v>125</v>
      </c>
      <c r="X556" t="s">
        <v>126</v>
      </c>
      <c r="Y556" t="s">
        <v>104</v>
      </c>
    </row>
    <row r="557" spans="1:25">
      <c r="A557">
        <v>10378</v>
      </c>
      <c r="B557">
        <v>34</v>
      </c>
      <c r="C557">
        <v>42.64</v>
      </c>
      <c r="D557">
        <v>5</v>
      </c>
      <c r="E557">
        <v>1449.76</v>
      </c>
      <c r="F557" s="4">
        <v>38627</v>
      </c>
      <c r="G557" t="s">
        <v>93</v>
      </c>
      <c r="H557">
        <v>1</v>
      </c>
      <c r="I557">
        <v>2</v>
      </c>
      <c r="J557">
        <v>2005</v>
      </c>
      <c r="K557" t="s">
        <v>265</v>
      </c>
      <c r="L557">
        <v>124</v>
      </c>
      <c r="M557" t="s">
        <v>721</v>
      </c>
      <c r="N557" t="s">
        <v>257</v>
      </c>
      <c r="O557" t="s">
        <v>258</v>
      </c>
      <c r="P557" t="s">
        <v>259</v>
      </c>
      <c r="R557" t="s">
        <v>260</v>
      </c>
      <c r="T557">
        <v>28034</v>
      </c>
      <c r="U557" t="s">
        <v>261</v>
      </c>
      <c r="V557" t="s">
        <v>110</v>
      </c>
      <c r="W557" t="s">
        <v>262</v>
      </c>
      <c r="X557" t="s">
        <v>263</v>
      </c>
      <c r="Y557" t="s">
        <v>104</v>
      </c>
    </row>
    <row r="558" spans="1:25">
      <c r="A558">
        <v>10407</v>
      </c>
      <c r="B558">
        <v>59</v>
      </c>
      <c r="C558">
        <v>100</v>
      </c>
      <c r="D558">
        <v>11</v>
      </c>
      <c r="E558">
        <v>7048.14</v>
      </c>
      <c r="F558" t="s">
        <v>724</v>
      </c>
      <c r="G558" t="s">
        <v>518</v>
      </c>
      <c r="H558">
        <v>2</v>
      </c>
      <c r="I558">
        <v>4</v>
      </c>
      <c r="J558">
        <v>2005</v>
      </c>
      <c r="K558" t="s">
        <v>265</v>
      </c>
      <c r="L558">
        <v>124</v>
      </c>
      <c r="M558" t="s">
        <v>721</v>
      </c>
      <c r="N558" t="s">
        <v>514</v>
      </c>
      <c r="O558">
        <v>4085553659</v>
      </c>
      <c r="P558" t="s">
        <v>515</v>
      </c>
      <c r="R558" t="s">
        <v>516</v>
      </c>
      <c r="S558" t="s">
        <v>124</v>
      </c>
      <c r="T558">
        <v>94217</v>
      </c>
      <c r="U558" t="s">
        <v>100</v>
      </c>
      <c r="V558" t="s">
        <v>101</v>
      </c>
      <c r="W558" t="s">
        <v>175</v>
      </c>
      <c r="X558" t="s">
        <v>517</v>
      </c>
      <c r="Y558" t="s">
        <v>232</v>
      </c>
    </row>
    <row r="559" spans="1:25">
      <c r="A559">
        <v>10419</v>
      </c>
      <c r="B559">
        <v>37</v>
      </c>
      <c r="C559">
        <v>100</v>
      </c>
      <c r="D559">
        <v>1</v>
      </c>
      <c r="E559">
        <v>5202.9399999999996</v>
      </c>
      <c r="F559" t="s">
        <v>600</v>
      </c>
      <c r="G559" t="s">
        <v>93</v>
      </c>
      <c r="H559">
        <v>2</v>
      </c>
      <c r="I559">
        <v>5</v>
      </c>
      <c r="J559">
        <v>2005</v>
      </c>
      <c r="K559" t="s">
        <v>265</v>
      </c>
      <c r="L559">
        <v>124</v>
      </c>
      <c r="M559" t="s">
        <v>721</v>
      </c>
      <c r="N559" t="s">
        <v>225</v>
      </c>
      <c r="O559" t="s">
        <v>226</v>
      </c>
      <c r="P559" t="s">
        <v>227</v>
      </c>
      <c r="R559" t="s">
        <v>228</v>
      </c>
      <c r="T559">
        <v>5020</v>
      </c>
      <c r="U559" t="s">
        <v>229</v>
      </c>
      <c r="V559" t="s">
        <v>110</v>
      </c>
      <c r="W559" t="s">
        <v>230</v>
      </c>
      <c r="X559" t="s">
        <v>231</v>
      </c>
      <c r="Y559" t="s">
        <v>119</v>
      </c>
    </row>
    <row r="560" spans="1:25">
      <c r="A560">
        <v>10106</v>
      </c>
      <c r="B560">
        <v>36</v>
      </c>
      <c r="C560">
        <v>100</v>
      </c>
      <c r="D560">
        <v>12</v>
      </c>
      <c r="E560">
        <v>5279.4</v>
      </c>
      <c r="F560" t="s">
        <v>725</v>
      </c>
      <c r="G560" t="s">
        <v>93</v>
      </c>
      <c r="H560">
        <v>1</v>
      </c>
      <c r="I560">
        <v>2</v>
      </c>
      <c r="J560">
        <v>2003</v>
      </c>
      <c r="K560" t="s">
        <v>726</v>
      </c>
      <c r="L560">
        <v>157</v>
      </c>
      <c r="M560" t="s">
        <v>727</v>
      </c>
      <c r="N560" t="s">
        <v>703</v>
      </c>
      <c r="O560" t="s">
        <v>704</v>
      </c>
      <c r="P560" t="s">
        <v>705</v>
      </c>
      <c r="R560" t="s">
        <v>706</v>
      </c>
      <c r="T560">
        <v>24100</v>
      </c>
      <c r="U560" t="s">
        <v>352</v>
      </c>
      <c r="V560" t="s">
        <v>110</v>
      </c>
      <c r="W560" t="s">
        <v>707</v>
      </c>
      <c r="X560" t="s">
        <v>708</v>
      </c>
      <c r="Y560" t="s">
        <v>119</v>
      </c>
    </row>
    <row r="561" spans="1:25">
      <c r="A561">
        <v>10119</v>
      </c>
      <c r="B561">
        <v>43</v>
      </c>
      <c r="C561">
        <v>100</v>
      </c>
      <c r="D561">
        <v>3</v>
      </c>
      <c r="E561">
        <v>6916.12</v>
      </c>
      <c r="F561" t="s">
        <v>432</v>
      </c>
      <c r="G561" t="s">
        <v>93</v>
      </c>
      <c r="H561">
        <v>2</v>
      </c>
      <c r="I561">
        <v>4</v>
      </c>
      <c r="J561">
        <v>2003</v>
      </c>
      <c r="K561" t="s">
        <v>726</v>
      </c>
      <c r="L561">
        <v>157</v>
      </c>
      <c r="M561" t="s">
        <v>727</v>
      </c>
      <c r="N561" t="s">
        <v>225</v>
      </c>
      <c r="O561" t="s">
        <v>226</v>
      </c>
      <c r="P561" t="s">
        <v>227</v>
      </c>
      <c r="R561" t="s">
        <v>228</v>
      </c>
      <c r="T561">
        <v>5020</v>
      </c>
      <c r="U561" t="s">
        <v>229</v>
      </c>
      <c r="V561" t="s">
        <v>110</v>
      </c>
      <c r="W561" t="s">
        <v>230</v>
      </c>
      <c r="X561" t="s">
        <v>231</v>
      </c>
      <c r="Y561" t="s">
        <v>119</v>
      </c>
    </row>
    <row r="562" spans="1:25">
      <c r="A562">
        <v>10131</v>
      </c>
      <c r="B562">
        <v>21</v>
      </c>
      <c r="C562">
        <v>100</v>
      </c>
      <c r="D562">
        <v>4</v>
      </c>
      <c r="E562">
        <v>2781.66</v>
      </c>
      <c r="F562" t="s">
        <v>728</v>
      </c>
      <c r="G562" t="s">
        <v>93</v>
      </c>
      <c r="H562">
        <v>2</v>
      </c>
      <c r="I562">
        <v>6</v>
      </c>
      <c r="J562">
        <v>2003</v>
      </c>
      <c r="K562" t="s">
        <v>726</v>
      </c>
      <c r="L562">
        <v>157</v>
      </c>
      <c r="M562" t="s">
        <v>727</v>
      </c>
      <c r="N562" t="s">
        <v>729</v>
      </c>
      <c r="O562">
        <v>2035554407</v>
      </c>
      <c r="P562" t="s">
        <v>730</v>
      </c>
      <c r="R562" t="s">
        <v>656</v>
      </c>
      <c r="S562" t="s">
        <v>187</v>
      </c>
      <c r="T562">
        <v>97561</v>
      </c>
      <c r="U562" t="s">
        <v>100</v>
      </c>
      <c r="V562" t="s">
        <v>101</v>
      </c>
      <c r="W562" t="s">
        <v>731</v>
      </c>
      <c r="X562" t="s">
        <v>732</v>
      </c>
      <c r="Y562" t="s">
        <v>104</v>
      </c>
    </row>
    <row r="563" spans="1:25">
      <c r="A563">
        <v>10143</v>
      </c>
      <c r="B563">
        <v>32</v>
      </c>
      <c r="C563">
        <v>100</v>
      </c>
      <c r="D563">
        <v>7</v>
      </c>
      <c r="E563">
        <v>5248</v>
      </c>
      <c r="F563" s="4">
        <v>37902</v>
      </c>
      <c r="G563" t="s">
        <v>93</v>
      </c>
      <c r="H563">
        <v>3</v>
      </c>
      <c r="I563">
        <v>8</v>
      </c>
      <c r="J563">
        <v>2003</v>
      </c>
      <c r="K563" t="s">
        <v>726</v>
      </c>
      <c r="L563">
        <v>157</v>
      </c>
      <c r="M563" t="s">
        <v>727</v>
      </c>
      <c r="N563" t="s">
        <v>439</v>
      </c>
      <c r="O563">
        <v>5085559555</v>
      </c>
      <c r="P563" t="s">
        <v>440</v>
      </c>
      <c r="R563" t="s">
        <v>244</v>
      </c>
      <c r="S563" t="s">
        <v>200</v>
      </c>
      <c r="T563">
        <v>50553</v>
      </c>
      <c r="U563" t="s">
        <v>100</v>
      </c>
      <c r="V563" t="s">
        <v>101</v>
      </c>
      <c r="W563" t="s">
        <v>441</v>
      </c>
      <c r="X563" t="s">
        <v>442</v>
      </c>
      <c r="Y563" t="s">
        <v>119</v>
      </c>
    </row>
    <row r="564" spans="1:25">
      <c r="A564">
        <v>10155</v>
      </c>
      <c r="B564">
        <v>38</v>
      </c>
      <c r="C564">
        <v>100</v>
      </c>
      <c r="D564">
        <v>5</v>
      </c>
      <c r="E564">
        <v>6531.44</v>
      </c>
      <c r="F564" s="4">
        <v>37782</v>
      </c>
      <c r="G564" t="s">
        <v>93</v>
      </c>
      <c r="H564">
        <v>4</v>
      </c>
      <c r="I564">
        <v>10</v>
      </c>
      <c r="J564">
        <v>2003</v>
      </c>
      <c r="K564" t="s">
        <v>726</v>
      </c>
      <c r="L564">
        <v>157</v>
      </c>
      <c r="M564" t="s">
        <v>727</v>
      </c>
      <c r="N564" t="s">
        <v>204</v>
      </c>
      <c r="O564" t="s">
        <v>205</v>
      </c>
      <c r="P564" t="s">
        <v>206</v>
      </c>
      <c r="R564" t="s">
        <v>207</v>
      </c>
      <c r="T564">
        <v>21240</v>
      </c>
      <c r="U564" t="s">
        <v>208</v>
      </c>
      <c r="V564" t="s">
        <v>110</v>
      </c>
      <c r="W564" t="s">
        <v>209</v>
      </c>
      <c r="X564" t="s">
        <v>210</v>
      </c>
      <c r="Y564" t="s">
        <v>119</v>
      </c>
    </row>
    <row r="565" spans="1:25">
      <c r="A565">
        <v>10167</v>
      </c>
      <c r="B565">
        <v>43</v>
      </c>
      <c r="C565">
        <v>100</v>
      </c>
      <c r="D565">
        <v>1</v>
      </c>
      <c r="E565">
        <v>5763.72</v>
      </c>
      <c r="F565" t="s">
        <v>443</v>
      </c>
      <c r="G565" t="s">
        <v>444</v>
      </c>
      <c r="H565">
        <v>4</v>
      </c>
      <c r="I565">
        <v>10</v>
      </c>
      <c r="J565">
        <v>2003</v>
      </c>
      <c r="K565" t="s">
        <v>726</v>
      </c>
      <c r="L565">
        <v>157</v>
      </c>
      <c r="M565" t="s">
        <v>727</v>
      </c>
      <c r="N565" t="s">
        <v>355</v>
      </c>
      <c r="O565" t="s">
        <v>356</v>
      </c>
      <c r="P565" t="s">
        <v>357</v>
      </c>
      <c r="R565" t="s">
        <v>358</v>
      </c>
      <c r="T565" t="s">
        <v>359</v>
      </c>
      <c r="U565" t="s">
        <v>273</v>
      </c>
      <c r="V565" t="s">
        <v>110</v>
      </c>
      <c r="W565" t="s">
        <v>360</v>
      </c>
      <c r="X565" t="s">
        <v>295</v>
      </c>
      <c r="Y565" t="s">
        <v>119</v>
      </c>
    </row>
    <row r="566" spans="1:25">
      <c r="A566">
        <v>10178</v>
      </c>
      <c r="B566">
        <v>42</v>
      </c>
      <c r="C566">
        <v>100</v>
      </c>
      <c r="D566">
        <v>4</v>
      </c>
      <c r="E566">
        <v>6490.68</v>
      </c>
      <c r="F566" s="4">
        <v>37844</v>
      </c>
      <c r="G566" t="s">
        <v>93</v>
      </c>
      <c r="H566">
        <v>4</v>
      </c>
      <c r="I566">
        <v>11</v>
      </c>
      <c r="J566">
        <v>2003</v>
      </c>
      <c r="K566" t="s">
        <v>726</v>
      </c>
      <c r="L566">
        <v>157</v>
      </c>
      <c r="M566" t="s">
        <v>727</v>
      </c>
      <c r="N566" t="s">
        <v>445</v>
      </c>
      <c r="O566" t="s">
        <v>446</v>
      </c>
      <c r="P566" t="s">
        <v>447</v>
      </c>
      <c r="R566" t="s">
        <v>448</v>
      </c>
      <c r="T566">
        <v>31000</v>
      </c>
      <c r="U566" t="s">
        <v>109</v>
      </c>
      <c r="V566" t="s">
        <v>110</v>
      </c>
      <c r="W566" t="s">
        <v>449</v>
      </c>
      <c r="X566" t="s">
        <v>450</v>
      </c>
      <c r="Y566" t="s">
        <v>119</v>
      </c>
    </row>
    <row r="567" spans="1:25">
      <c r="A567">
        <v>10186</v>
      </c>
      <c r="B567">
        <v>32</v>
      </c>
      <c r="C567">
        <v>100</v>
      </c>
      <c r="D567">
        <v>1</v>
      </c>
      <c r="E567">
        <v>6004.8</v>
      </c>
      <c r="F567" t="s">
        <v>451</v>
      </c>
      <c r="G567" t="s">
        <v>93</v>
      </c>
      <c r="H567">
        <v>4</v>
      </c>
      <c r="I567">
        <v>11</v>
      </c>
      <c r="J567">
        <v>2003</v>
      </c>
      <c r="K567" t="s">
        <v>726</v>
      </c>
      <c r="L567">
        <v>157</v>
      </c>
      <c r="M567" t="s">
        <v>727</v>
      </c>
      <c r="N567" t="s">
        <v>452</v>
      </c>
      <c r="O567" t="s">
        <v>453</v>
      </c>
      <c r="P567" t="s">
        <v>454</v>
      </c>
      <c r="R567" t="s">
        <v>436</v>
      </c>
      <c r="T567" t="s">
        <v>455</v>
      </c>
      <c r="U567" t="s">
        <v>252</v>
      </c>
      <c r="V567" t="s">
        <v>110</v>
      </c>
      <c r="W567" t="s">
        <v>456</v>
      </c>
      <c r="X567" t="s">
        <v>457</v>
      </c>
      <c r="Y567" t="s">
        <v>119</v>
      </c>
    </row>
    <row r="568" spans="1:25">
      <c r="A568">
        <v>10198</v>
      </c>
      <c r="B568">
        <v>42</v>
      </c>
      <c r="C568">
        <v>100</v>
      </c>
      <c r="D568">
        <v>4</v>
      </c>
      <c r="E568">
        <v>7483.98</v>
      </c>
      <c r="F568" t="s">
        <v>733</v>
      </c>
      <c r="G568" t="s">
        <v>93</v>
      </c>
      <c r="H568">
        <v>4</v>
      </c>
      <c r="I568">
        <v>11</v>
      </c>
      <c r="J568">
        <v>2003</v>
      </c>
      <c r="K568" t="s">
        <v>726</v>
      </c>
      <c r="L568">
        <v>157</v>
      </c>
      <c r="M568" t="s">
        <v>727</v>
      </c>
      <c r="N568" t="s">
        <v>547</v>
      </c>
      <c r="O568" t="s">
        <v>548</v>
      </c>
      <c r="P568" t="s">
        <v>549</v>
      </c>
      <c r="R568" t="s">
        <v>550</v>
      </c>
      <c r="T568" t="s">
        <v>551</v>
      </c>
      <c r="U568" t="s">
        <v>552</v>
      </c>
      <c r="V568" t="s">
        <v>288</v>
      </c>
      <c r="W568" t="s">
        <v>553</v>
      </c>
      <c r="X568" t="s">
        <v>554</v>
      </c>
      <c r="Y568" t="s">
        <v>232</v>
      </c>
    </row>
    <row r="569" spans="1:25">
      <c r="A569">
        <v>10210</v>
      </c>
      <c r="B569">
        <v>31</v>
      </c>
      <c r="C569">
        <v>100</v>
      </c>
      <c r="D569">
        <v>17</v>
      </c>
      <c r="E569">
        <v>5719.5</v>
      </c>
      <c r="F569" s="4">
        <v>38322</v>
      </c>
      <c r="G569" t="s">
        <v>93</v>
      </c>
      <c r="H569">
        <v>1</v>
      </c>
      <c r="I569">
        <v>1</v>
      </c>
      <c r="J569">
        <v>2004</v>
      </c>
      <c r="K569" t="s">
        <v>726</v>
      </c>
      <c r="L569">
        <v>157</v>
      </c>
      <c r="M569" t="s">
        <v>727</v>
      </c>
      <c r="N569" t="s">
        <v>403</v>
      </c>
      <c r="O569" t="s">
        <v>404</v>
      </c>
      <c r="P569" t="s">
        <v>405</v>
      </c>
      <c r="R569" t="s">
        <v>406</v>
      </c>
      <c r="S569" t="s">
        <v>406</v>
      </c>
      <c r="T569" t="s">
        <v>407</v>
      </c>
      <c r="U569" t="s">
        <v>288</v>
      </c>
      <c r="V569" t="s">
        <v>288</v>
      </c>
      <c r="W569" t="s">
        <v>408</v>
      </c>
      <c r="X569" t="s">
        <v>409</v>
      </c>
      <c r="Y569" t="s">
        <v>119</v>
      </c>
    </row>
    <row r="570" spans="1:25">
      <c r="A570">
        <v>10222</v>
      </c>
      <c r="B570">
        <v>49</v>
      </c>
      <c r="C570">
        <v>100</v>
      </c>
      <c r="D570">
        <v>4</v>
      </c>
      <c r="E570">
        <v>6954.08</v>
      </c>
      <c r="F570" t="s">
        <v>469</v>
      </c>
      <c r="G570" t="s">
        <v>93</v>
      </c>
      <c r="H570">
        <v>1</v>
      </c>
      <c r="I570">
        <v>2</v>
      </c>
      <c r="J570">
        <v>2004</v>
      </c>
      <c r="K570" t="s">
        <v>726</v>
      </c>
      <c r="L570">
        <v>157</v>
      </c>
      <c r="M570" t="s">
        <v>727</v>
      </c>
      <c r="N570" t="s">
        <v>470</v>
      </c>
      <c r="O570">
        <v>7605558146</v>
      </c>
      <c r="P570" t="s">
        <v>471</v>
      </c>
      <c r="R570" t="s">
        <v>472</v>
      </c>
      <c r="S570" t="s">
        <v>124</v>
      </c>
      <c r="T570">
        <v>91217</v>
      </c>
      <c r="U570" t="s">
        <v>100</v>
      </c>
      <c r="V570" t="s">
        <v>101</v>
      </c>
      <c r="W570" t="s">
        <v>6</v>
      </c>
      <c r="X570" t="s">
        <v>371</v>
      </c>
      <c r="Y570" t="s">
        <v>119</v>
      </c>
    </row>
    <row r="571" spans="1:25">
      <c r="A571">
        <v>10250</v>
      </c>
      <c r="B571">
        <v>45</v>
      </c>
      <c r="C571">
        <v>100</v>
      </c>
      <c r="D571">
        <v>14</v>
      </c>
      <c r="E571">
        <v>8160.3</v>
      </c>
      <c r="F571" s="4">
        <v>38296</v>
      </c>
      <c r="G571" t="s">
        <v>93</v>
      </c>
      <c r="H571">
        <v>2</v>
      </c>
      <c r="I571">
        <v>5</v>
      </c>
      <c r="J571">
        <v>2004</v>
      </c>
      <c r="K571" t="s">
        <v>726</v>
      </c>
      <c r="L571">
        <v>157</v>
      </c>
      <c r="M571" t="s">
        <v>727</v>
      </c>
      <c r="N571" t="s">
        <v>514</v>
      </c>
      <c r="O571">
        <v>4085553659</v>
      </c>
      <c r="P571" t="s">
        <v>515</v>
      </c>
      <c r="R571" t="s">
        <v>516</v>
      </c>
      <c r="S571" t="s">
        <v>124</v>
      </c>
      <c r="T571">
        <v>94217</v>
      </c>
      <c r="U571" t="s">
        <v>100</v>
      </c>
      <c r="V571" t="s">
        <v>101</v>
      </c>
      <c r="W571" t="s">
        <v>175</v>
      </c>
      <c r="X571" t="s">
        <v>517</v>
      </c>
      <c r="Y571" t="s">
        <v>232</v>
      </c>
    </row>
    <row r="572" spans="1:25">
      <c r="A572">
        <v>10262</v>
      </c>
      <c r="B572">
        <v>49</v>
      </c>
      <c r="C572">
        <v>100</v>
      </c>
      <c r="D572">
        <v>9</v>
      </c>
      <c r="E572">
        <v>6567.96</v>
      </c>
      <c r="F572" t="s">
        <v>734</v>
      </c>
      <c r="G572" t="s">
        <v>444</v>
      </c>
      <c r="H572">
        <v>2</v>
      </c>
      <c r="I572">
        <v>6</v>
      </c>
      <c r="J572">
        <v>2004</v>
      </c>
      <c r="K572" t="s">
        <v>726</v>
      </c>
      <c r="L572">
        <v>157</v>
      </c>
      <c r="M572" t="s">
        <v>727</v>
      </c>
      <c r="N572" t="s">
        <v>257</v>
      </c>
      <c r="O572" t="s">
        <v>258</v>
      </c>
      <c r="P572" t="s">
        <v>259</v>
      </c>
      <c r="R572" t="s">
        <v>260</v>
      </c>
      <c r="T572">
        <v>28034</v>
      </c>
      <c r="U572" t="s">
        <v>261</v>
      </c>
      <c r="V572" t="s">
        <v>110</v>
      </c>
      <c r="W572" t="s">
        <v>262</v>
      </c>
      <c r="X572" t="s">
        <v>263</v>
      </c>
      <c r="Y572" t="s">
        <v>119</v>
      </c>
    </row>
    <row r="573" spans="1:25">
      <c r="A573">
        <v>10274</v>
      </c>
      <c r="B573">
        <v>41</v>
      </c>
      <c r="C573">
        <v>100</v>
      </c>
      <c r="D573">
        <v>1</v>
      </c>
      <c r="E573">
        <v>6724</v>
      </c>
      <c r="F573" t="s">
        <v>474</v>
      </c>
      <c r="G573" t="s">
        <v>93</v>
      </c>
      <c r="H573">
        <v>3</v>
      </c>
      <c r="I573">
        <v>7</v>
      </c>
      <c r="J573">
        <v>2004</v>
      </c>
      <c r="K573" t="s">
        <v>726</v>
      </c>
      <c r="L573">
        <v>157</v>
      </c>
      <c r="M573" t="s">
        <v>727</v>
      </c>
      <c r="N573" t="s">
        <v>379</v>
      </c>
      <c r="O573">
        <v>6175558555</v>
      </c>
      <c r="P573" t="s">
        <v>380</v>
      </c>
      <c r="R573" t="s">
        <v>381</v>
      </c>
      <c r="S573" t="s">
        <v>200</v>
      </c>
      <c r="T573">
        <v>58339</v>
      </c>
      <c r="U573" t="s">
        <v>100</v>
      </c>
      <c r="V573" t="s">
        <v>101</v>
      </c>
      <c r="W573" t="s">
        <v>370</v>
      </c>
      <c r="X573" t="s">
        <v>382</v>
      </c>
      <c r="Y573" t="s">
        <v>119</v>
      </c>
    </row>
    <row r="574" spans="1:25">
      <c r="A574">
        <v>10284</v>
      </c>
      <c r="B574">
        <v>45</v>
      </c>
      <c r="C574">
        <v>100</v>
      </c>
      <c r="D574">
        <v>11</v>
      </c>
      <c r="E574">
        <v>5747.85</v>
      </c>
      <c r="F574" t="s">
        <v>735</v>
      </c>
      <c r="G574" t="s">
        <v>93</v>
      </c>
      <c r="H574">
        <v>3</v>
      </c>
      <c r="I574">
        <v>8</v>
      </c>
      <c r="J574">
        <v>2004</v>
      </c>
      <c r="K574" t="s">
        <v>726</v>
      </c>
      <c r="L574">
        <v>157</v>
      </c>
      <c r="M574" t="s">
        <v>727</v>
      </c>
      <c r="N574" t="s">
        <v>688</v>
      </c>
      <c r="O574" t="s">
        <v>689</v>
      </c>
      <c r="P574" t="s">
        <v>690</v>
      </c>
      <c r="R574" t="s">
        <v>691</v>
      </c>
      <c r="T574" t="s">
        <v>692</v>
      </c>
      <c r="U574" t="s">
        <v>149</v>
      </c>
      <c r="V574" t="s">
        <v>110</v>
      </c>
      <c r="W574" t="s">
        <v>693</v>
      </c>
      <c r="X574" t="s">
        <v>694</v>
      </c>
      <c r="Y574" t="s">
        <v>119</v>
      </c>
    </row>
    <row r="575" spans="1:25">
      <c r="A575">
        <v>10296</v>
      </c>
      <c r="B575">
        <v>36</v>
      </c>
      <c r="C575">
        <v>100</v>
      </c>
      <c r="D575">
        <v>7</v>
      </c>
      <c r="E575">
        <v>5676.84</v>
      </c>
      <c r="F575" t="s">
        <v>736</v>
      </c>
      <c r="G575" t="s">
        <v>93</v>
      </c>
      <c r="H575">
        <v>3</v>
      </c>
      <c r="I575">
        <v>9</v>
      </c>
      <c r="J575">
        <v>2004</v>
      </c>
      <c r="K575" t="s">
        <v>726</v>
      </c>
      <c r="L575">
        <v>157</v>
      </c>
      <c r="M575" t="s">
        <v>727</v>
      </c>
      <c r="N575" t="s">
        <v>737</v>
      </c>
      <c r="O575" t="s">
        <v>738</v>
      </c>
      <c r="P575" t="s">
        <v>739</v>
      </c>
      <c r="R575" t="s">
        <v>740</v>
      </c>
      <c r="T575">
        <v>80686</v>
      </c>
      <c r="U575" t="s">
        <v>566</v>
      </c>
      <c r="V575" t="s">
        <v>110</v>
      </c>
      <c r="W575" t="s">
        <v>741</v>
      </c>
      <c r="X575" t="s">
        <v>176</v>
      </c>
      <c r="Y575" t="s">
        <v>119</v>
      </c>
    </row>
    <row r="576" spans="1:25">
      <c r="A576">
        <v>10307</v>
      </c>
      <c r="B576">
        <v>39</v>
      </c>
      <c r="C576">
        <v>100</v>
      </c>
      <c r="D576">
        <v>1</v>
      </c>
      <c r="E576">
        <v>7379.97</v>
      </c>
      <c r="F576" t="s">
        <v>494</v>
      </c>
      <c r="G576" t="s">
        <v>93</v>
      </c>
      <c r="H576">
        <v>4</v>
      </c>
      <c r="I576">
        <v>10</v>
      </c>
      <c r="J576">
        <v>2004</v>
      </c>
      <c r="K576" t="s">
        <v>726</v>
      </c>
      <c r="L576">
        <v>157</v>
      </c>
      <c r="M576" t="s">
        <v>727</v>
      </c>
      <c r="N576" t="s">
        <v>304</v>
      </c>
      <c r="O576">
        <v>2155554695</v>
      </c>
      <c r="P576" t="s">
        <v>305</v>
      </c>
      <c r="R576" t="s">
        <v>306</v>
      </c>
      <c r="S576" t="s">
        <v>221</v>
      </c>
      <c r="T576">
        <v>71270</v>
      </c>
      <c r="U576" t="s">
        <v>100</v>
      </c>
      <c r="V576" t="s">
        <v>101</v>
      </c>
      <c r="W576" t="s">
        <v>307</v>
      </c>
      <c r="X576" t="s">
        <v>308</v>
      </c>
      <c r="Y576" t="s">
        <v>232</v>
      </c>
    </row>
    <row r="577" spans="1:25">
      <c r="A577">
        <v>10316</v>
      </c>
      <c r="B577">
        <v>27</v>
      </c>
      <c r="C577">
        <v>100</v>
      </c>
      <c r="D577">
        <v>9</v>
      </c>
      <c r="E577">
        <v>3704.13</v>
      </c>
      <c r="F577" s="4">
        <v>37997</v>
      </c>
      <c r="G577" t="s">
        <v>93</v>
      </c>
      <c r="H577">
        <v>4</v>
      </c>
      <c r="I577">
        <v>11</v>
      </c>
      <c r="J577">
        <v>2004</v>
      </c>
      <c r="K577" t="s">
        <v>726</v>
      </c>
      <c r="L577">
        <v>157</v>
      </c>
      <c r="M577" t="s">
        <v>727</v>
      </c>
      <c r="N577" t="s">
        <v>495</v>
      </c>
      <c r="O577" t="s">
        <v>496</v>
      </c>
      <c r="P577" t="s">
        <v>497</v>
      </c>
      <c r="R577" t="s">
        <v>498</v>
      </c>
      <c r="S577" t="s">
        <v>499</v>
      </c>
      <c r="T577" t="s">
        <v>500</v>
      </c>
      <c r="U577" t="s">
        <v>252</v>
      </c>
      <c r="V577" t="s">
        <v>110</v>
      </c>
      <c r="W577" t="s">
        <v>501</v>
      </c>
      <c r="X577" t="s">
        <v>502</v>
      </c>
      <c r="Y577" t="s">
        <v>119</v>
      </c>
    </row>
    <row r="578" spans="1:25">
      <c r="A578">
        <v>10327</v>
      </c>
      <c r="B578">
        <v>25</v>
      </c>
      <c r="C578">
        <v>100</v>
      </c>
      <c r="D578">
        <v>6</v>
      </c>
      <c r="E578">
        <v>2804.75</v>
      </c>
      <c r="F578" s="4">
        <v>38271</v>
      </c>
      <c r="G578" t="s">
        <v>526</v>
      </c>
      <c r="H578">
        <v>4</v>
      </c>
      <c r="I578">
        <v>11</v>
      </c>
      <c r="J578">
        <v>2004</v>
      </c>
      <c r="K578" t="s">
        <v>726</v>
      </c>
      <c r="L578">
        <v>157</v>
      </c>
      <c r="M578" t="s">
        <v>727</v>
      </c>
      <c r="N578" t="s">
        <v>425</v>
      </c>
      <c r="O578" t="s">
        <v>426</v>
      </c>
      <c r="P578" t="s">
        <v>427</v>
      </c>
      <c r="R578" t="s">
        <v>428</v>
      </c>
      <c r="T578">
        <v>1734</v>
      </c>
      <c r="U578" t="s">
        <v>429</v>
      </c>
      <c r="V578" t="s">
        <v>110</v>
      </c>
      <c r="W578" t="s">
        <v>430</v>
      </c>
      <c r="X578" t="s">
        <v>431</v>
      </c>
      <c r="Y578" t="s">
        <v>104</v>
      </c>
    </row>
    <row r="579" spans="1:25">
      <c r="A579">
        <v>10338</v>
      </c>
      <c r="B579">
        <v>41</v>
      </c>
      <c r="C579">
        <v>100</v>
      </c>
      <c r="D579">
        <v>1</v>
      </c>
      <c r="E579">
        <v>5624.79</v>
      </c>
      <c r="F579" t="s">
        <v>742</v>
      </c>
      <c r="G579" t="s">
        <v>93</v>
      </c>
      <c r="H579">
        <v>4</v>
      </c>
      <c r="I579">
        <v>11</v>
      </c>
      <c r="J579">
        <v>2004</v>
      </c>
      <c r="K579" t="s">
        <v>726</v>
      </c>
      <c r="L579">
        <v>157</v>
      </c>
      <c r="M579" t="s">
        <v>727</v>
      </c>
      <c r="N579" t="s">
        <v>743</v>
      </c>
      <c r="O579" t="s">
        <v>744</v>
      </c>
      <c r="P579" t="s">
        <v>745</v>
      </c>
      <c r="R579" t="s">
        <v>746</v>
      </c>
      <c r="T579" t="s">
        <v>747</v>
      </c>
      <c r="U579" t="s">
        <v>480</v>
      </c>
      <c r="V579" t="s">
        <v>110</v>
      </c>
      <c r="W579" t="s">
        <v>748</v>
      </c>
      <c r="X579" t="s">
        <v>749</v>
      </c>
      <c r="Y579" t="s">
        <v>119</v>
      </c>
    </row>
    <row r="580" spans="1:25">
      <c r="A580">
        <v>10351</v>
      </c>
      <c r="B580">
        <v>39</v>
      </c>
      <c r="C580">
        <v>99.52</v>
      </c>
      <c r="D580">
        <v>1</v>
      </c>
      <c r="E580">
        <v>3881.28</v>
      </c>
      <c r="F580" s="4">
        <v>38058</v>
      </c>
      <c r="G580" t="s">
        <v>93</v>
      </c>
      <c r="H580">
        <v>4</v>
      </c>
      <c r="I580">
        <v>12</v>
      </c>
      <c r="J580">
        <v>2004</v>
      </c>
      <c r="K580" t="s">
        <v>726</v>
      </c>
      <c r="L580">
        <v>157</v>
      </c>
      <c r="M580" t="s">
        <v>727</v>
      </c>
      <c r="N580" t="s">
        <v>433</v>
      </c>
      <c r="O580" t="s">
        <v>434</v>
      </c>
      <c r="P580" t="s">
        <v>435</v>
      </c>
      <c r="R580" t="s">
        <v>436</v>
      </c>
      <c r="T580" t="s">
        <v>437</v>
      </c>
      <c r="U580" t="s">
        <v>252</v>
      </c>
      <c r="V580" t="s">
        <v>110</v>
      </c>
      <c r="W580" t="s">
        <v>130</v>
      </c>
      <c r="X580" t="s">
        <v>438</v>
      </c>
      <c r="Y580" t="s">
        <v>119</v>
      </c>
    </row>
    <row r="581" spans="1:25">
      <c r="A581">
        <v>10373</v>
      </c>
      <c r="B581">
        <v>28</v>
      </c>
      <c r="C581">
        <v>57.55</v>
      </c>
      <c r="D581">
        <v>4</v>
      </c>
      <c r="E581">
        <v>1611.4</v>
      </c>
      <c r="F581" t="s">
        <v>505</v>
      </c>
      <c r="G581" t="s">
        <v>93</v>
      </c>
      <c r="H581">
        <v>1</v>
      </c>
      <c r="I581">
        <v>1</v>
      </c>
      <c r="J581">
        <v>2005</v>
      </c>
      <c r="K581" t="s">
        <v>726</v>
      </c>
      <c r="L581">
        <v>157</v>
      </c>
      <c r="M581" t="s">
        <v>727</v>
      </c>
      <c r="N581" t="s">
        <v>506</v>
      </c>
      <c r="O581" t="s">
        <v>507</v>
      </c>
      <c r="P581" t="s">
        <v>508</v>
      </c>
      <c r="R581" t="s">
        <v>509</v>
      </c>
      <c r="T581">
        <v>90110</v>
      </c>
      <c r="U581" t="s">
        <v>208</v>
      </c>
      <c r="V581" t="s">
        <v>110</v>
      </c>
      <c r="W581" t="s">
        <v>510</v>
      </c>
      <c r="X581" t="s">
        <v>511</v>
      </c>
      <c r="Y581" t="s">
        <v>104</v>
      </c>
    </row>
    <row r="582" spans="1:25">
      <c r="A582">
        <v>10386</v>
      </c>
      <c r="B582">
        <v>25</v>
      </c>
      <c r="C582">
        <v>54.57</v>
      </c>
      <c r="D582">
        <v>7</v>
      </c>
      <c r="E582">
        <v>1364.25</v>
      </c>
      <c r="F582" s="4">
        <v>38355</v>
      </c>
      <c r="G582" t="s">
        <v>526</v>
      </c>
      <c r="H582">
        <v>1</v>
      </c>
      <c r="I582">
        <v>3</v>
      </c>
      <c r="J582">
        <v>2005</v>
      </c>
      <c r="K582" t="s">
        <v>726</v>
      </c>
      <c r="L582">
        <v>157</v>
      </c>
      <c r="M582" t="s">
        <v>727</v>
      </c>
      <c r="N582" t="s">
        <v>257</v>
      </c>
      <c r="O582" t="s">
        <v>258</v>
      </c>
      <c r="P582" t="s">
        <v>259</v>
      </c>
      <c r="R582" t="s">
        <v>260</v>
      </c>
      <c r="T582">
        <v>28034</v>
      </c>
      <c r="U582" t="s">
        <v>261</v>
      </c>
      <c r="V582" t="s">
        <v>110</v>
      </c>
      <c r="W582" t="s">
        <v>262</v>
      </c>
      <c r="X582" t="s">
        <v>263</v>
      </c>
      <c r="Y582" t="s">
        <v>104</v>
      </c>
    </row>
    <row r="583" spans="1:25">
      <c r="A583">
        <v>10398</v>
      </c>
      <c r="B583">
        <v>33</v>
      </c>
      <c r="C583">
        <v>100</v>
      </c>
      <c r="D583">
        <v>11</v>
      </c>
      <c r="E583">
        <v>4215.09</v>
      </c>
      <c r="F583" t="s">
        <v>750</v>
      </c>
      <c r="G583" t="s">
        <v>93</v>
      </c>
      <c r="H583">
        <v>1</v>
      </c>
      <c r="I583">
        <v>3</v>
      </c>
      <c r="J583">
        <v>2005</v>
      </c>
      <c r="K583" t="s">
        <v>726</v>
      </c>
      <c r="L583">
        <v>157</v>
      </c>
      <c r="M583" t="s">
        <v>727</v>
      </c>
      <c r="N583" t="s">
        <v>105</v>
      </c>
      <c r="O583" t="s">
        <v>106</v>
      </c>
      <c r="P583" t="s">
        <v>107</v>
      </c>
      <c r="R583" t="s">
        <v>108</v>
      </c>
      <c r="T583">
        <v>51100</v>
      </c>
      <c r="U583" t="s">
        <v>109</v>
      </c>
      <c r="V583" t="s">
        <v>110</v>
      </c>
      <c r="W583" t="s">
        <v>111</v>
      </c>
      <c r="X583" t="s">
        <v>112</v>
      </c>
      <c r="Y583" t="s">
        <v>119</v>
      </c>
    </row>
    <row r="584" spans="1:25">
      <c r="A584">
        <v>10400</v>
      </c>
      <c r="B584">
        <v>34</v>
      </c>
      <c r="C584">
        <v>100</v>
      </c>
      <c r="D584">
        <v>1</v>
      </c>
      <c r="E584">
        <v>6433.82</v>
      </c>
      <c r="F584" s="4">
        <v>38356</v>
      </c>
      <c r="G584" t="s">
        <v>93</v>
      </c>
      <c r="H584">
        <v>2</v>
      </c>
      <c r="I584">
        <v>4</v>
      </c>
      <c r="J584">
        <v>2005</v>
      </c>
      <c r="K584" t="s">
        <v>726</v>
      </c>
      <c r="L584">
        <v>157</v>
      </c>
      <c r="M584" t="s">
        <v>727</v>
      </c>
      <c r="N584" t="s">
        <v>514</v>
      </c>
      <c r="O584">
        <v>4085553659</v>
      </c>
      <c r="P584" t="s">
        <v>515</v>
      </c>
      <c r="R584" t="s">
        <v>516</v>
      </c>
      <c r="S584" t="s">
        <v>124</v>
      </c>
      <c r="T584">
        <v>94217</v>
      </c>
      <c r="U584" t="s">
        <v>100</v>
      </c>
      <c r="V584" t="s">
        <v>101</v>
      </c>
      <c r="W584" t="s">
        <v>175</v>
      </c>
      <c r="X584" t="s">
        <v>517</v>
      </c>
      <c r="Y584" t="s">
        <v>119</v>
      </c>
    </row>
    <row r="585" spans="1:25">
      <c r="A585">
        <v>10416</v>
      </c>
      <c r="B585">
        <v>24</v>
      </c>
      <c r="C585">
        <v>100</v>
      </c>
      <c r="D585">
        <v>14</v>
      </c>
      <c r="E585">
        <v>4352.16</v>
      </c>
      <c r="F585" s="4">
        <v>38630</v>
      </c>
      <c r="G585" t="s">
        <v>93</v>
      </c>
      <c r="H585">
        <v>2</v>
      </c>
      <c r="I585">
        <v>5</v>
      </c>
      <c r="J585">
        <v>2005</v>
      </c>
      <c r="K585" t="s">
        <v>726</v>
      </c>
      <c r="L585">
        <v>157</v>
      </c>
      <c r="M585" t="s">
        <v>727</v>
      </c>
      <c r="N585" t="s">
        <v>576</v>
      </c>
      <c r="O585" t="s">
        <v>577</v>
      </c>
      <c r="P585" t="s">
        <v>578</v>
      </c>
      <c r="R585" t="s">
        <v>579</v>
      </c>
      <c r="T585">
        <v>42100</v>
      </c>
      <c r="U585" t="s">
        <v>352</v>
      </c>
      <c r="V585" t="s">
        <v>110</v>
      </c>
      <c r="W585" t="s">
        <v>580</v>
      </c>
      <c r="X585" t="s">
        <v>581</v>
      </c>
      <c r="Y585" t="s">
        <v>119</v>
      </c>
    </row>
    <row r="586" spans="1:25">
      <c r="A586">
        <v>10100</v>
      </c>
      <c r="B586">
        <v>30</v>
      </c>
      <c r="C586">
        <v>100</v>
      </c>
      <c r="D586">
        <v>3</v>
      </c>
      <c r="E586">
        <v>5151</v>
      </c>
      <c r="F586" s="4">
        <v>37773</v>
      </c>
      <c r="G586" t="s">
        <v>93</v>
      </c>
      <c r="H586">
        <v>1</v>
      </c>
      <c r="I586">
        <v>1</v>
      </c>
      <c r="J586">
        <v>2003</v>
      </c>
      <c r="K586" t="s">
        <v>697</v>
      </c>
      <c r="L586">
        <v>170</v>
      </c>
      <c r="M586" t="s">
        <v>751</v>
      </c>
      <c r="N586" t="s">
        <v>372</v>
      </c>
      <c r="O586">
        <v>6035558647</v>
      </c>
      <c r="P586" t="s">
        <v>373</v>
      </c>
      <c r="R586" t="s">
        <v>374</v>
      </c>
      <c r="S586" t="s">
        <v>375</v>
      </c>
      <c r="T586">
        <v>62005</v>
      </c>
      <c r="U586" t="s">
        <v>100</v>
      </c>
      <c r="V586" t="s">
        <v>101</v>
      </c>
      <c r="W586" t="s">
        <v>125</v>
      </c>
      <c r="X586" t="s">
        <v>371</v>
      </c>
      <c r="Y586" t="s">
        <v>119</v>
      </c>
    </row>
    <row r="587" spans="1:25">
      <c r="A587">
        <v>10110</v>
      </c>
      <c r="B587">
        <v>42</v>
      </c>
      <c r="C587">
        <v>100</v>
      </c>
      <c r="D587">
        <v>7</v>
      </c>
      <c r="E587">
        <v>6069</v>
      </c>
      <c r="F587" t="s">
        <v>720</v>
      </c>
      <c r="G587" t="s">
        <v>93</v>
      </c>
      <c r="H587">
        <v>1</v>
      </c>
      <c r="I587">
        <v>3</v>
      </c>
      <c r="J587">
        <v>2003</v>
      </c>
      <c r="K587" t="s">
        <v>697</v>
      </c>
      <c r="L587">
        <v>170</v>
      </c>
      <c r="M587" t="s">
        <v>751</v>
      </c>
      <c r="N587" t="s">
        <v>624</v>
      </c>
      <c r="O587" t="s">
        <v>625</v>
      </c>
      <c r="P587" t="s">
        <v>626</v>
      </c>
      <c r="R587" t="s">
        <v>627</v>
      </c>
      <c r="T587" t="s">
        <v>628</v>
      </c>
      <c r="U587" t="s">
        <v>252</v>
      </c>
      <c r="V587" t="s">
        <v>110</v>
      </c>
      <c r="W587" t="s">
        <v>629</v>
      </c>
      <c r="X587" t="s">
        <v>167</v>
      </c>
      <c r="Y587" t="s">
        <v>119</v>
      </c>
    </row>
    <row r="588" spans="1:25">
      <c r="A588">
        <v>10124</v>
      </c>
      <c r="B588">
        <v>21</v>
      </c>
      <c r="C588">
        <v>100</v>
      </c>
      <c r="D588">
        <v>6</v>
      </c>
      <c r="E588">
        <v>2856</v>
      </c>
      <c r="F588" t="s">
        <v>700</v>
      </c>
      <c r="G588" t="s">
        <v>93</v>
      </c>
      <c r="H588">
        <v>2</v>
      </c>
      <c r="I588">
        <v>5</v>
      </c>
      <c r="J588">
        <v>2003</v>
      </c>
      <c r="K588" t="s">
        <v>697</v>
      </c>
      <c r="L588">
        <v>170</v>
      </c>
      <c r="M588" t="s">
        <v>751</v>
      </c>
      <c r="N588" t="s">
        <v>684</v>
      </c>
      <c r="O588">
        <v>7025551838</v>
      </c>
      <c r="P588" t="s">
        <v>685</v>
      </c>
      <c r="R588" t="s">
        <v>686</v>
      </c>
      <c r="S588" t="s">
        <v>687</v>
      </c>
      <c r="T588">
        <v>83030</v>
      </c>
      <c r="U588" t="s">
        <v>100</v>
      </c>
      <c r="V588" t="s">
        <v>101</v>
      </c>
      <c r="W588" t="s">
        <v>188</v>
      </c>
      <c r="X588" t="s">
        <v>517</v>
      </c>
      <c r="Y588" t="s">
        <v>104</v>
      </c>
    </row>
    <row r="589" spans="1:25">
      <c r="A589">
        <v>10149</v>
      </c>
      <c r="B589">
        <v>34</v>
      </c>
      <c r="C589">
        <v>100</v>
      </c>
      <c r="D589">
        <v>11</v>
      </c>
      <c r="E589">
        <v>5375.4</v>
      </c>
      <c r="F589" s="4">
        <v>37964</v>
      </c>
      <c r="G589" t="s">
        <v>93</v>
      </c>
      <c r="H589">
        <v>3</v>
      </c>
      <c r="I589">
        <v>9</v>
      </c>
      <c r="J589">
        <v>2003</v>
      </c>
      <c r="K589" t="s">
        <v>697</v>
      </c>
      <c r="L589">
        <v>170</v>
      </c>
      <c r="M589" t="s">
        <v>751</v>
      </c>
      <c r="N589" t="s">
        <v>668</v>
      </c>
      <c r="O589">
        <v>4155554312</v>
      </c>
      <c r="P589" t="s">
        <v>669</v>
      </c>
      <c r="R589" t="s">
        <v>670</v>
      </c>
      <c r="S589" t="s">
        <v>124</v>
      </c>
      <c r="T589">
        <v>94217</v>
      </c>
      <c r="U589" t="s">
        <v>100</v>
      </c>
      <c r="V589" t="s">
        <v>101</v>
      </c>
      <c r="W589" t="s">
        <v>671</v>
      </c>
      <c r="X589" t="s">
        <v>517</v>
      </c>
      <c r="Y589" t="s">
        <v>119</v>
      </c>
    </row>
    <row r="590" spans="1:25">
      <c r="A590">
        <v>10162</v>
      </c>
      <c r="B590">
        <v>29</v>
      </c>
      <c r="C590">
        <v>100</v>
      </c>
      <c r="D590">
        <v>9</v>
      </c>
      <c r="E590">
        <v>5176.5</v>
      </c>
      <c r="F590" t="s">
        <v>702</v>
      </c>
      <c r="G590" t="s">
        <v>93</v>
      </c>
      <c r="H590">
        <v>4</v>
      </c>
      <c r="I590">
        <v>10</v>
      </c>
      <c r="J590">
        <v>2003</v>
      </c>
      <c r="K590" t="s">
        <v>697</v>
      </c>
      <c r="L590">
        <v>170</v>
      </c>
      <c r="M590" t="s">
        <v>751</v>
      </c>
      <c r="N590" t="s">
        <v>127</v>
      </c>
      <c r="O590">
        <v>6505551386</v>
      </c>
      <c r="P590" t="s">
        <v>128</v>
      </c>
      <c r="R590" t="s">
        <v>129</v>
      </c>
      <c r="S590" t="s">
        <v>124</v>
      </c>
      <c r="U590" t="s">
        <v>100</v>
      </c>
      <c r="V590" t="s">
        <v>101</v>
      </c>
      <c r="W590" t="s">
        <v>130</v>
      </c>
      <c r="X590" t="s">
        <v>126</v>
      </c>
      <c r="Y590" t="s">
        <v>119</v>
      </c>
    </row>
    <row r="591" spans="1:25">
      <c r="A591">
        <v>10173</v>
      </c>
      <c r="B591">
        <v>24</v>
      </c>
      <c r="C591">
        <v>100</v>
      </c>
      <c r="D591">
        <v>13</v>
      </c>
      <c r="E591">
        <v>3508.8</v>
      </c>
      <c r="F591" s="4">
        <v>37752</v>
      </c>
      <c r="G591" t="s">
        <v>93</v>
      </c>
      <c r="H591">
        <v>4</v>
      </c>
      <c r="I591">
        <v>11</v>
      </c>
      <c r="J591">
        <v>2003</v>
      </c>
      <c r="K591" t="s">
        <v>697</v>
      </c>
      <c r="L591">
        <v>170</v>
      </c>
      <c r="M591" t="s">
        <v>751</v>
      </c>
      <c r="N591" t="s">
        <v>703</v>
      </c>
      <c r="O591" t="s">
        <v>704</v>
      </c>
      <c r="P591" t="s">
        <v>705</v>
      </c>
      <c r="R591" t="s">
        <v>706</v>
      </c>
      <c r="T591">
        <v>24100</v>
      </c>
      <c r="U591" t="s">
        <v>352</v>
      </c>
      <c r="V591" t="s">
        <v>110</v>
      </c>
      <c r="W591" t="s">
        <v>707</v>
      </c>
      <c r="X591" t="s">
        <v>708</v>
      </c>
      <c r="Y591" t="s">
        <v>119</v>
      </c>
    </row>
    <row r="592" spans="1:25">
      <c r="A592">
        <v>10182</v>
      </c>
      <c r="B592">
        <v>44</v>
      </c>
      <c r="C592">
        <v>100</v>
      </c>
      <c r="D592">
        <v>10</v>
      </c>
      <c r="E592">
        <v>7554.8</v>
      </c>
      <c r="F592" s="4">
        <v>37966</v>
      </c>
      <c r="G592" t="s">
        <v>93</v>
      </c>
      <c r="H592">
        <v>4</v>
      </c>
      <c r="I592">
        <v>11</v>
      </c>
      <c r="J592">
        <v>2003</v>
      </c>
      <c r="K592" t="s">
        <v>697</v>
      </c>
      <c r="L592">
        <v>170</v>
      </c>
      <c r="M592" t="s">
        <v>751</v>
      </c>
      <c r="N592" t="s">
        <v>367</v>
      </c>
      <c r="O592">
        <v>4155551450</v>
      </c>
      <c r="P592" t="s">
        <v>368</v>
      </c>
      <c r="R592" t="s">
        <v>369</v>
      </c>
      <c r="S592" t="s">
        <v>124</v>
      </c>
      <c r="T592">
        <v>97562</v>
      </c>
      <c r="U592" t="s">
        <v>100</v>
      </c>
      <c r="V592" t="s">
        <v>101</v>
      </c>
      <c r="W592" t="s">
        <v>370</v>
      </c>
      <c r="X592" t="s">
        <v>371</v>
      </c>
      <c r="Y592" t="s">
        <v>232</v>
      </c>
    </row>
    <row r="593" spans="1:25">
      <c r="A593">
        <v>10193</v>
      </c>
      <c r="B593">
        <v>21</v>
      </c>
      <c r="C593">
        <v>100</v>
      </c>
      <c r="D593">
        <v>14</v>
      </c>
      <c r="E593">
        <v>3141.6</v>
      </c>
      <c r="F593" t="s">
        <v>709</v>
      </c>
      <c r="G593" t="s">
        <v>93</v>
      </c>
      <c r="H593">
        <v>4</v>
      </c>
      <c r="I593">
        <v>11</v>
      </c>
      <c r="J593">
        <v>2003</v>
      </c>
      <c r="K593" t="s">
        <v>697</v>
      </c>
      <c r="L593">
        <v>170</v>
      </c>
      <c r="M593" t="s">
        <v>751</v>
      </c>
      <c r="N593" t="s">
        <v>710</v>
      </c>
      <c r="O593" t="s">
        <v>711</v>
      </c>
      <c r="P593" t="s">
        <v>712</v>
      </c>
      <c r="R593" t="s">
        <v>713</v>
      </c>
      <c r="S593" t="s">
        <v>167</v>
      </c>
      <c r="T593">
        <v>3150</v>
      </c>
      <c r="U593" t="s">
        <v>168</v>
      </c>
      <c r="V593" t="s">
        <v>169</v>
      </c>
      <c r="W593" t="s">
        <v>714</v>
      </c>
      <c r="X593" t="s">
        <v>715</v>
      </c>
      <c r="Y593" t="s">
        <v>119</v>
      </c>
    </row>
    <row r="594" spans="1:25">
      <c r="A594">
        <v>10204</v>
      </c>
      <c r="B594">
        <v>33</v>
      </c>
      <c r="C594">
        <v>100</v>
      </c>
      <c r="D594">
        <v>4</v>
      </c>
      <c r="E594">
        <v>5890.5</v>
      </c>
      <c r="F594" s="4">
        <v>37664</v>
      </c>
      <c r="G594" t="s">
        <v>93</v>
      </c>
      <c r="H594">
        <v>4</v>
      </c>
      <c r="I594">
        <v>12</v>
      </c>
      <c r="J594">
        <v>2003</v>
      </c>
      <c r="K594" t="s">
        <v>697</v>
      </c>
      <c r="L594">
        <v>170</v>
      </c>
      <c r="M594" t="s">
        <v>751</v>
      </c>
      <c r="N594" t="s">
        <v>603</v>
      </c>
      <c r="O594">
        <v>2125557413</v>
      </c>
      <c r="P594" t="s">
        <v>604</v>
      </c>
      <c r="Q594" t="s">
        <v>605</v>
      </c>
      <c r="R594" t="s">
        <v>98</v>
      </c>
      <c r="S594" t="s">
        <v>99</v>
      </c>
      <c r="T594">
        <v>10022</v>
      </c>
      <c r="U594" t="s">
        <v>100</v>
      </c>
      <c r="V594" t="s">
        <v>101</v>
      </c>
      <c r="W594" t="s">
        <v>125</v>
      </c>
      <c r="X594" t="s">
        <v>606</v>
      </c>
      <c r="Y594" t="s">
        <v>119</v>
      </c>
    </row>
    <row r="595" spans="1:25">
      <c r="A595">
        <v>10214</v>
      </c>
      <c r="B595">
        <v>30</v>
      </c>
      <c r="C595">
        <v>100</v>
      </c>
      <c r="D595">
        <v>7</v>
      </c>
      <c r="E595">
        <v>5967</v>
      </c>
      <c r="F595" t="s">
        <v>752</v>
      </c>
      <c r="G595" t="s">
        <v>93</v>
      </c>
      <c r="H595">
        <v>1</v>
      </c>
      <c r="I595">
        <v>1</v>
      </c>
      <c r="J595">
        <v>2004</v>
      </c>
      <c r="K595" t="s">
        <v>697</v>
      </c>
      <c r="L595">
        <v>170</v>
      </c>
      <c r="M595" t="s">
        <v>751</v>
      </c>
      <c r="N595" t="s">
        <v>277</v>
      </c>
      <c r="O595" t="s">
        <v>278</v>
      </c>
      <c r="P595" t="s">
        <v>279</v>
      </c>
      <c r="R595" t="s">
        <v>260</v>
      </c>
      <c r="T595">
        <v>28023</v>
      </c>
      <c r="U595" t="s">
        <v>261</v>
      </c>
      <c r="V595" t="s">
        <v>110</v>
      </c>
      <c r="W595" t="s">
        <v>280</v>
      </c>
      <c r="X595" t="s">
        <v>281</v>
      </c>
      <c r="Y595" t="s">
        <v>119</v>
      </c>
    </row>
    <row r="596" spans="1:25">
      <c r="A596">
        <v>10227</v>
      </c>
      <c r="B596">
        <v>26</v>
      </c>
      <c r="C596">
        <v>100</v>
      </c>
      <c r="D596">
        <v>10</v>
      </c>
      <c r="E596">
        <v>3712.8</v>
      </c>
      <c r="F596" s="4">
        <v>38020</v>
      </c>
      <c r="G596" t="s">
        <v>93</v>
      </c>
      <c r="H596">
        <v>1</v>
      </c>
      <c r="I596">
        <v>3</v>
      </c>
      <c r="J596">
        <v>2004</v>
      </c>
      <c r="K596" t="s">
        <v>697</v>
      </c>
      <c r="L596">
        <v>170</v>
      </c>
      <c r="M596" t="s">
        <v>751</v>
      </c>
      <c r="N596" t="s">
        <v>310</v>
      </c>
      <c r="O596" t="s">
        <v>311</v>
      </c>
      <c r="P596" t="s">
        <v>312</v>
      </c>
      <c r="R596" t="s">
        <v>313</v>
      </c>
      <c r="T596">
        <v>69004</v>
      </c>
      <c r="U596" t="s">
        <v>109</v>
      </c>
      <c r="V596" t="s">
        <v>110</v>
      </c>
      <c r="W596" t="s">
        <v>314</v>
      </c>
      <c r="X596" t="s">
        <v>315</v>
      </c>
      <c r="Y596" t="s">
        <v>119</v>
      </c>
    </row>
    <row r="597" spans="1:25">
      <c r="A597">
        <v>10241</v>
      </c>
      <c r="B597">
        <v>41</v>
      </c>
      <c r="C597">
        <v>100</v>
      </c>
      <c r="D597">
        <v>2</v>
      </c>
      <c r="E597">
        <v>7597.3</v>
      </c>
      <c r="F597" t="s">
        <v>683</v>
      </c>
      <c r="G597" t="s">
        <v>93</v>
      </c>
      <c r="H597">
        <v>2</v>
      </c>
      <c r="I597">
        <v>4</v>
      </c>
      <c r="J597">
        <v>2004</v>
      </c>
      <c r="K597" t="s">
        <v>697</v>
      </c>
      <c r="L597">
        <v>170</v>
      </c>
      <c r="M597" t="s">
        <v>751</v>
      </c>
      <c r="N597" t="s">
        <v>674</v>
      </c>
      <c r="O597" t="s">
        <v>675</v>
      </c>
      <c r="P597" t="s">
        <v>676</v>
      </c>
      <c r="R597" t="s">
        <v>677</v>
      </c>
      <c r="T597">
        <v>67000</v>
      </c>
      <c r="U597" t="s">
        <v>109</v>
      </c>
      <c r="V597" t="s">
        <v>110</v>
      </c>
      <c r="W597" t="s">
        <v>678</v>
      </c>
      <c r="X597" t="s">
        <v>679</v>
      </c>
      <c r="Y597" t="s">
        <v>232</v>
      </c>
    </row>
    <row r="598" spans="1:25">
      <c r="A598">
        <v>10280</v>
      </c>
      <c r="B598">
        <v>26</v>
      </c>
      <c r="C598">
        <v>100</v>
      </c>
      <c r="D598">
        <v>16</v>
      </c>
      <c r="E598">
        <v>3668.6</v>
      </c>
      <c r="F598" t="s">
        <v>347</v>
      </c>
      <c r="G598" t="s">
        <v>93</v>
      </c>
      <c r="H598">
        <v>3</v>
      </c>
      <c r="I598">
        <v>8</v>
      </c>
      <c r="J598">
        <v>2004</v>
      </c>
      <c r="K598" t="s">
        <v>697</v>
      </c>
      <c r="L598">
        <v>170</v>
      </c>
      <c r="M598" t="s">
        <v>751</v>
      </c>
      <c r="N598" t="s">
        <v>348</v>
      </c>
      <c r="O598" t="s">
        <v>349</v>
      </c>
      <c r="P598" t="s">
        <v>350</v>
      </c>
      <c r="R598" t="s">
        <v>351</v>
      </c>
      <c r="T598">
        <v>10100</v>
      </c>
      <c r="U598" t="s">
        <v>352</v>
      </c>
      <c r="V598" t="s">
        <v>110</v>
      </c>
      <c r="W598" t="s">
        <v>353</v>
      </c>
      <c r="X598" t="s">
        <v>354</v>
      </c>
      <c r="Y598" t="s">
        <v>119</v>
      </c>
    </row>
    <row r="599" spans="1:25">
      <c r="A599">
        <v>10288</v>
      </c>
      <c r="B599">
        <v>32</v>
      </c>
      <c r="C599">
        <v>100</v>
      </c>
      <c r="D599">
        <v>5</v>
      </c>
      <c r="E599">
        <v>5875.2</v>
      </c>
      <c r="F599" s="4">
        <v>37995</v>
      </c>
      <c r="G599" t="s">
        <v>93</v>
      </c>
      <c r="H599">
        <v>3</v>
      </c>
      <c r="I599">
        <v>9</v>
      </c>
      <c r="J599">
        <v>2004</v>
      </c>
      <c r="K599" t="s">
        <v>697</v>
      </c>
      <c r="L599">
        <v>170</v>
      </c>
      <c r="M599" t="s">
        <v>751</v>
      </c>
      <c r="N599" t="s">
        <v>536</v>
      </c>
      <c r="O599" t="s">
        <v>537</v>
      </c>
      <c r="P599" t="s">
        <v>538</v>
      </c>
      <c r="Q599" t="s">
        <v>539</v>
      </c>
      <c r="R599" t="s">
        <v>287</v>
      </c>
      <c r="T599">
        <v>69045</v>
      </c>
      <c r="U599" t="s">
        <v>287</v>
      </c>
      <c r="V599" t="s">
        <v>169</v>
      </c>
      <c r="W599" t="s">
        <v>540</v>
      </c>
      <c r="X599" t="s">
        <v>541</v>
      </c>
      <c r="Y599" t="s">
        <v>119</v>
      </c>
    </row>
    <row r="600" spans="1:25">
      <c r="A600">
        <v>10302</v>
      </c>
      <c r="B600">
        <v>43</v>
      </c>
      <c r="C600">
        <v>100</v>
      </c>
      <c r="D600">
        <v>1</v>
      </c>
      <c r="E600">
        <v>7310</v>
      </c>
      <c r="F600" s="4">
        <v>37782</v>
      </c>
      <c r="G600" t="s">
        <v>93</v>
      </c>
      <c r="H600">
        <v>4</v>
      </c>
      <c r="I600">
        <v>10</v>
      </c>
      <c r="J600">
        <v>2003</v>
      </c>
      <c r="K600" t="s">
        <v>697</v>
      </c>
      <c r="L600">
        <v>170</v>
      </c>
      <c r="M600" t="s">
        <v>751</v>
      </c>
      <c r="N600" t="s">
        <v>247</v>
      </c>
      <c r="O600" t="s">
        <v>248</v>
      </c>
      <c r="P600" t="s">
        <v>249</v>
      </c>
      <c r="R600" t="s">
        <v>250</v>
      </c>
      <c r="T600" t="s">
        <v>251</v>
      </c>
      <c r="U600" t="s">
        <v>252</v>
      </c>
      <c r="V600" t="s">
        <v>110</v>
      </c>
      <c r="W600" t="s">
        <v>253</v>
      </c>
      <c r="X600" t="s">
        <v>254</v>
      </c>
      <c r="Y600" t="s">
        <v>232</v>
      </c>
    </row>
    <row r="601" spans="1:25">
      <c r="A601">
        <v>10312</v>
      </c>
      <c r="B601">
        <v>48</v>
      </c>
      <c r="C601">
        <v>100</v>
      </c>
      <c r="D601">
        <v>17</v>
      </c>
      <c r="E601">
        <v>8078.4</v>
      </c>
      <c r="F601" t="s">
        <v>366</v>
      </c>
      <c r="G601" t="s">
        <v>93</v>
      </c>
      <c r="H601">
        <v>4</v>
      </c>
      <c r="I601">
        <v>10</v>
      </c>
      <c r="J601">
        <v>2004</v>
      </c>
      <c r="K601" t="s">
        <v>697</v>
      </c>
      <c r="L601">
        <v>170</v>
      </c>
      <c r="M601" t="s">
        <v>751</v>
      </c>
      <c r="N601" t="s">
        <v>367</v>
      </c>
      <c r="O601">
        <v>4155551450</v>
      </c>
      <c r="P601" t="s">
        <v>368</v>
      </c>
      <c r="R601" t="s">
        <v>369</v>
      </c>
      <c r="S601" t="s">
        <v>124</v>
      </c>
      <c r="T601">
        <v>97562</v>
      </c>
      <c r="U601" t="s">
        <v>100</v>
      </c>
      <c r="V601" t="s">
        <v>101</v>
      </c>
      <c r="W601" t="s">
        <v>370</v>
      </c>
      <c r="X601" t="s">
        <v>371</v>
      </c>
      <c r="Y601" t="s">
        <v>232</v>
      </c>
    </row>
    <row r="602" spans="1:25">
      <c r="A602">
        <v>10331</v>
      </c>
      <c r="B602">
        <v>44</v>
      </c>
      <c r="C602">
        <v>74.040000000000006</v>
      </c>
      <c r="D602">
        <v>7</v>
      </c>
      <c r="E602">
        <v>3257.76</v>
      </c>
      <c r="F602" t="s">
        <v>695</v>
      </c>
      <c r="G602" t="s">
        <v>93</v>
      </c>
      <c r="H602">
        <v>4</v>
      </c>
      <c r="I602">
        <v>11</v>
      </c>
      <c r="J602">
        <v>2004</v>
      </c>
      <c r="K602" t="s">
        <v>697</v>
      </c>
      <c r="L602">
        <v>170</v>
      </c>
      <c r="M602" t="s">
        <v>751</v>
      </c>
      <c r="N602" t="s">
        <v>410</v>
      </c>
      <c r="O602">
        <v>2155559857</v>
      </c>
      <c r="P602" t="s">
        <v>411</v>
      </c>
      <c r="R602" t="s">
        <v>306</v>
      </c>
      <c r="S602" t="s">
        <v>221</v>
      </c>
      <c r="T602">
        <v>71270</v>
      </c>
      <c r="U602" t="s">
        <v>100</v>
      </c>
      <c r="V602" t="s">
        <v>101</v>
      </c>
      <c r="W602" t="s">
        <v>201</v>
      </c>
      <c r="X602" t="s">
        <v>412</v>
      </c>
      <c r="Y602" t="s">
        <v>119</v>
      </c>
    </row>
    <row r="603" spans="1:25">
      <c r="A603">
        <v>10344</v>
      </c>
      <c r="B603">
        <v>45</v>
      </c>
      <c r="C603">
        <v>100</v>
      </c>
      <c r="D603">
        <v>1</v>
      </c>
      <c r="E603">
        <v>7650</v>
      </c>
      <c r="F603" t="s">
        <v>753</v>
      </c>
      <c r="G603" t="s">
        <v>93</v>
      </c>
      <c r="H603">
        <v>4</v>
      </c>
      <c r="I603">
        <v>11</v>
      </c>
      <c r="J603">
        <v>2004</v>
      </c>
      <c r="K603" t="s">
        <v>697</v>
      </c>
      <c r="L603">
        <v>170</v>
      </c>
      <c r="M603" t="s">
        <v>751</v>
      </c>
      <c r="N603" t="s">
        <v>555</v>
      </c>
      <c r="O603" t="s">
        <v>556</v>
      </c>
      <c r="P603" t="s">
        <v>557</v>
      </c>
      <c r="R603" t="s">
        <v>558</v>
      </c>
      <c r="T603">
        <v>13008</v>
      </c>
      <c r="U603" t="s">
        <v>109</v>
      </c>
      <c r="V603" t="s">
        <v>110</v>
      </c>
      <c r="W603" t="s">
        <v>559</v>
      </c>
      <c r="X603" t="s">
        <v>560</v>
      </c>
      <c r="Y603" t="s">
        <v>232</v>
      </c>
    </row>
    <row r="604" spans="1:25">
      <c r="A604">
        <v>10367</v>
      </c>
      <c r="B604">
        <v>37</v>
      </c>
      <c r="C604">
        <v>100</v>
      </c>
      <c r="D604">
        <v>3</v>
      </c>
      <c r="E604">
        <v>4703.8100000000004</v>
      </c>
      <c r="F604" s="4">
        <v>38687</v>
      </c>
      <c r="G604" t="s">
        <v>526</v>
      </c>
      <c r="H604">
        <v>1</v>
      </c>
      <c r="I604">
        <v>1</v>
      </c>
      <c r="J604">
        <v>2005</v>
      </c>
      <c r="K604" t="s">
        <v>697</v>
      </c>
      <c r="L604">
        <v>170</v>
      </c>
      <c r="M604" t="s">
        <v>751</v>
      </c>
      <c r="N604" t="s">
        <v>121</v>
      </c>
      <c r="O604">
        <v>6265557265</v>
      </c>
      <c r="P604" t="s">
        <v>122</v>
      </c>
      <c r="R604" t="s">
        <v>123</v>
      </c>
      <c r="S604" t="s">
        <v>124</v>
      </c>
      <c r="T604">
        <v>90003</v>
      </c>
      <c r="U604" t="s">
        <v>100</v>
      </c>
      <c r="V604" t="s">
        <v>101</v>
      </c>
      <c r="W604" t="s">
        <v>125</v>
      </c>
      <c r="X604" t="s">
        <v>126</v>
      </c>
      <c r="Y604" t="s">
        <v>119</v>
      </c>
    </row>
    <row r="605" spans="1:25">
      <c r="A605">
        <v>10379</v>
      </c>
      <c r="B605">
        <v>39</v>
      </c>
      <c r="C605">
        <v>100</v>
      </c>
      <c r="D605">
        <v>2</v>
      </c>
      <c r="E605">
        <v>5399.55</v>
      </c>
      <c r="F605" s="4">
        <v>38627</v>
      </c>
      <c r="G605" t="s">
        <v>93</v>
      </c>
      <c r="H605">
        <v>1</v>
      </c>
      <c r="I605">
        <v>2</v>
      </c>
      <c r="J605">
        <v>2005</v>
      </c>
      <c r="K605" t="s">
        <v>697</v>
      </c>
      <c r="L605">
        <v>170</v>
      </c>
      <c r="M605" t="s">
        <v>751</v>
      </c>
      <c r="N605" t="s">
        <v>257</v>
      </c>
      <c r="O605" t="s">
        <v>258</v>
      </c>
      <c r="P605" t="s">
        <v>259</v>
      </c>
      <c r="R605" t="s">
        <v>260</v>
      </c>
      <c r="T605">
        <v>28034</v>
      </c>
      <c r="U605" t="s">
        <v>261</v>
      </c>
      <c r="V605" t="s">
        <v>110</v>
      </c>
      <c r="W605" t="s">
        <v>262</v>
      </c>
      <c r="X605" t="s">
        <v>263</v>
      </c>
      <c r="Y605" t="s">
        <v>119</v>
      </c>
    </row>
    <row r="606" spans="1:25">
      <c r="A606">
        <v>10407</v>
      </c>
      <c r="B606">
        <v>76</v>
      </c>
      <c r="C606">
        <v>100</v>
      </c>
      <c r="D606">
        <v>2</v>
      </c>
      <c r="E606">
        <v>14082.8</v>
      </c>
      <c r="F606" t="s">
        <v>724</v>
      </c>
      <c r="G606" t="s">
        <v>518</v>
      </c>
      <c r="H606">
        <v>2</v>
      </c>
      <c r="I606">
        <v>4</v>
      </c>
      <c r="J606">
        <v>2005</v>
      </c>
      <c r="K606" t="s">
        <v>697</v>
      </c>
      <c r="L606">
        <v>170</v>
      </c>
      <c r="M606" t="s">
        <v>751</v>
      </c>
      <c r="N606" t="s">
        <v>514</v>
      </c>
      <c r="O606">
        <v>4085553659</v>
      </c>
      <c r="P606" t="s">
        <v>515</v>
      </c>
      <c r="R606" t="s">
        <v>516</v>
      </c>
      <c r="S606" t="s">
        <v>124</v>
      </c>
      <c r="T606">
        <v>94217</v>
      </c>
      <c r="U606" t="s">
        <v>100</v>
      </c>
      <c r="V606" t="s">
        <v>101</v>
      </c>
      <c r="W606" t="s">
        <v>175</v>
      </c>
      <c r="X606" t="s">
        <v>517</v>
      </c>
      <c r="Y606" t="s">
        <v>232</v>
      </c>
    </row>
    <row r="607" spans="1:25">
      <c r="A607">
        <v>10420</v>
      </c>
      <c r="B607">
        <v>37</v>
      </c>
      <c r="C607">
        <v>100</v>
      </c>
      <c r="D607">
        <v>5</v>
      </c>
      <c r="E607">
        <v>5283.6</v>
      </c>
      <c r="F607" t="s">
        <v>754</v>
      </c>
      <c r="G607" t="s">
        <v>400</v>
      </c>
      <c r="H607">
        <v>2</v>
      </c>
      <c r="I607">
        <v>5</v>
      </c>
      <c r="J607">
        <v>2005</v>
      </c>
      <c r="K607" t="s">
        <v>697</v>
      </c>
      <c r="L607">
        <v>170</v>
      </c>
      <c r="M607" t="s">
        <v>751</v>
      </c>
      <c r="N607" t="s">
        <v>234</v>
      </c>
      <c r="O607" t="s">
        <v>235</v>
      </c>
      <c r="P607" t="s">
        <v>236</v>
      </c>
      <c r="Q607" t="s">
        <v>237</v>
      </c>
      <c r="R607" t="s">
        <v>238</v>
      </c>
      <c r="S607" t="s">
        <v>239</v>
      </c>
      <c r="T607">
        <v>2067</v>
      </c>
      <c r="U607" t="s">
        <v>168</v>
      </c>
      <c r="V607" t="s">
        <v>169</v>
      </c>
      <c r="W607" t="s">
        <v>240</v>
      </c>
      <c r="X607" t="s">
        <v>241</v>
      </c>
      <c r="Y607" t="s">
        <v>119</v>
      </c>
    </row>
    <row r="608" spans="1:25">
      <c r="A608">
        <v>10108</v>
      </c>
      <c r="B608">
        <v>38</v>
      </c>
      <c r="C608">
        <v>82.39</v>
      </c>
      <c r="D608">
        <v>2</v>
      </c>
      <c r="E608">
        <v>3130.82</v>
      </c>
      <c r="F608" s="4">
        <v>37683</v>
      </c>
      <c r="G608" t="s">
        <v>93</v>
      </c>
      <c r="H608">
        <v>1</v>
      </c>
      <c r="I608">
        <v>3</v>
      </c>
      <c r="J608">
        <v>2003</v>
      </c>
      <c r="K608" t="s">
        <v>265</v>
      </c>
      <c r="L608">
        <v>77</v>
      </c>
      <c r="M608" t="s">
        <v>755</v>
      </c>
      <c r="N608" t="s">
        <v>547</v>
      </c>
      <c r="O608" t="s">
        <v>548</v>
      </c>
      <c r="P608" t="s">
        <v>549</v>
      </c>
      <c r="R608" t="s">
        <v>550</v>
      </c>
      <c r="T608" t="s">
        <v>551</v>
      </c>
      <c r="U608" t="s">
        <v>552</v>
      </c>
      <c r="V608" t="s">
        <v>288</v>
      </c>
      <c r="W608" t="s">
        <v>553</v>
      </c>
      <c r="X608" t="s">
        <v>554</v>
      </c>
      <c r="Y608" t="s">
        <v>119</v>
      </c>
    </row>
    <row r="609" spans="1:25">
      <c r="A609">
        <v>10122</v>
      </c>
      <c r="B609">
        <v>43</v>
      </c>
      <c r="C609">
        <v>72.38</v>
      </c>
      <c r="D609">
        <v>6</v>
      </c>
      <c r="E609">
        <v>3112.34</v>
      </c>
      <c r="F609" s="4">
        <v>37838</v>
      </c>
      <c r="G609" t="s">
        <v>93</v>
      </c>
      <c r="H609">
        <v>2</v>
      </c>
      <c r="I609">
        <v>5</v>
      </c>
      <c r="J609">
        <v>2003</v>
      </c>
      <c r="K609" t="s">
        <v>265</v>
      </c>
      <c r="L609">
        <v>77</v>
      </c>
      <c r="M609" t="s">
        <v>755</v>
      </c>
      <c r="N609" t="s">
        <v>555</v>
      </c>
      <c r="O609" t="s">
        <v>556</v>
      </c>
      <c r="P609" t="s">
        <v>557</v>
      </c>
      <c r="R609" t="s">
        <v>558</v>
      </c>
      <c r="T609">
        <v>13008</v>
      </c>
      <c r="U609" t="s">
        <v>109</v>
      </c>
      <c r="V609" t="s">
        <v>110</v>
      </c>
      <c r="W609" t="s">
        <v>559</v>
      </c>
      <c r="X609" t="s">
        <v>560</v>
      </c>
      <c r="Y609" t="s">
        <v>119</v>
      </c>
    </row>
    <row r="610" spans="1:25">
      <c r="A610">
        <v>10135</v>
      </c>
      <c r="B610">
        <v>48</v>
      </c>
      <c r="C610">
        <v>79.31</v>
      </c>
      <c r="D610">
        <v>3</v>
      </c>
      <c r="E610">
        <v>3806.88</v>
      </c>
      <c r="F610" s="4">
        <v>37659</v>
      </c>
      <c r="G610" t="s">
        <v>93</v>
      </c>
      <c r="H610">
        <v>3</v>
      </c>
      <c r="I610">
        <v>7</v>
      </c>
      <c r="J610">
        <v>2003</v>
      </c>
      <c r="K610" t="s">
        <v>265</v>
      </c>
      <c r="L610">
        <v>77</v>
      </c>
      <c r="M610" t="s">
        <v>755</v>
      </c>
      <c r="N610" t="s">
        <v>367</v>
      </c>
      <c r="O610">
        <v>4155551450</v>
      </c>
      <c r="P610" t="s">
        <v>368</v>
      </c>
      <c r="R610" t="s">
        <v>369</v>
      </c>
      <c r="S610" t="s">
        <v>124</v>
      </c>
      <c r="T610">
        <v>97562</v>
      </c>
      <c r="U610" t="s">
        <v>100</v>
      </c>
      <c r="V610" t="s">
        <v>101</v>
      </c>
      <c r="W610" t="s">
        <v>370</v>
      </c>
      <c r="X610" t="s">
        <v>371</v>
      </c>
      <c r="Y610" t="s">
        <v>119</v>
      </c>
    </row>
    <row r="611" spans="1:25">
      <c r="A611">
        <v>10147</v>
      </c>
      <c r="B611">
        <v>26</v>
      </c>
      <c r="C611">
        <v>82.39</v>
      </c>
      <c r="D611">
        <v>3</v>
      </c>
      <c r="E611">
        <v>2142.14</v>
      </c>
      <c r="F611" s="4">
        <v>37750</v>
      </c>
      <c r="G611" t="s">
        <v>93</v>
      </c>
      <c r="H611">
        <v>3</v>
      </c>
      <c r="I611">
        <v>9</v>
      </c>
      <c r="J611">
        <v>2003</v>
      </c>
      <c r="K611" t="s">
        <v>265</v>
      </c>
      <c r="L611">
        <v>77</v>
      </c>
      <c r="M611" t="s">
        <v>755</v>
      </c>
      <c r="N611" t="s">
        <v>379</v>
      </c>
      <c r="O611">
        <v>6175558555</v>
      </c>
      <c r="P611" t="s">
        <v>380</v>
      </c>
      <c r="R611" t="s">
        <v>381</v>
      </c>
      <c r="S611" t="s">
        <v>200</v>
      </c>
      <c r="T611">
        <v>58339</v>
      </c>
      <c r="U611" t="s">
        <v>100</v>
      </c>
      <c r="V611" t="s">
        <v>101</v>
      </c>
      <c r="W611" t="s">
        <v>370</v>
      </c>
      <c r="X611" t="s">
        <v>382</v>
      </c>
      <c r="Y611" t="s">
        <v>104</v>
      </c>
    </row>
    <row r="612" spans="1:25">
      <c r="A612">
        <v>10160</v>
      </c>
      <c r="B612">
        <v>38</v>
      </c>
      <c r="C612">
        <v>88.55</v>
      </c>
      <c r="D612">
        <v>4</v>
      </c>
      <c r="E612">
        <v>3364.9</v>
      </c>
      <c r="F612" s="4">
        <v>37935</v>
      </c>
      <c r="G612" t="s">
        <v>93</v>
      </c>
      <c r="H612">
        <v>4</v>
      </c>
      <c r="I612">
        <v>10</v>
      </c>
      <c r="J612">
        <v>2003</v>
      </c>
      <c r="K612" t="s">
        <v>265</v>
      </c>
      <c r="L612">
        <v>77</v>
      </c>
      <c r="M612" t="s">
        <v>755</v>
      </c>
      <c r="N612" t="s">
        <v>465</v>
      </c>
      <c r="O612">
        <v>2155554369</v>
      </c>
      <c r="P612" t="s">
        <v>466</v>
      </c>
      <c r="R612" t="s">
        <v>467</v>
      </c>
      <c r="S612" t="s">
        <v>124</v>
      </c>
      <c r="U612" t="s">
        <v>100</v>
      </c>
      <c r="V612" t="s">
        <v>101</v>
      </c>
      <c r="W612" t="s">
        <v>468</v>
      </c>
      <c r="X612" t="s">
        <v>176</v>
      </c>
      <c r="Y612" t="s">
        <v>119</v>
      </c>
    </row>
    <row r="613" spans="1:25">
      <c r="A613">
        <v>10170</v>
      </c>
      <c r="B613">
        <v>20</v>
      </c>
      <c r="C613">
        <v>63.14</v>
      </c>
      <c r="D613">
        <v>2</v>
      </c>
      <c r="E613">
        <v>1262.8</v>
      </c>
      <c r="F613" s="4">
        <v>37722</v>
      </c>
      <c r="G613" t="s">
        <v>93</v>
      </c>
      <c r="H613">
        <v>4</v>
      </c>
      <c r="I613">
        <v>11</v>
      </c>
      <c r="J613">
        <v>2003</v>
      </c>
      <c r="K613" t="s">
        <v>265</v>
      </c>
      <c r="L613">
        <v>77</v>
      </c>
      <c r="M613" t="s">
        <v>755</v>
      </c>
      <c r="N613" t="s">
        <v>527</v>
      </c>
      <c r="O613" t="s">
        <v>528</v>
      </c>
      <c r="P613" t="s">
        <v>529</v>
      </c>
      <c r="R613" t="s">
        <v>530</v>
      </c>
      <c r="T613">
        <v>8010</v>
      </c>
      <c r="U613" t="s">
        <v>229</v>
      </c>
      <c r="V613" t="s">
        <v>110</v>
      </c>
      <c r="W613" t="s">
        <v>531</v>
      </c>
      <c r="X613" t="s">
        <v>532</v>
      </c>
      <c r="Y613" t="s">
        <v>104</v>
      </c>
    </row>
    <row r="614" spans="1:25">
      <c r="A614">
        <v>10181</v>
      </c>
      <c r="B614">
        <v>22</v>
      </c>
      <c r="C614">
        <v>73.92</v>
      </c>
      <c r="D614">
        <v>10</v>
      </c>
      <c r="E614">
        <v>1626.24</v>
      </c>
      <c r="F614" s="4">
        <v>37966</v>
      </c>
      <c r="G614" t="s">
        <v>93</v>
      </c>
      <c r="H614">
        <v>4</v>
      </c>
      <c r="I614">
        <v>11</v>
      </c>
      <c r="J614">
        <v>2003</v>
      </c>
      <c r="K614" t="s">
        <v>265</v>
      </c>
      <c r="L614">
        <v>77</v>
      </c>
      <c r="M614" t="s">
        <v>755</v>
      </c>
      <c r="N614" t="s">
        <v>144</v>
      </c>
      <c r="O614" t="s">
        <v>145</v>
      </c>
      <c r="P614" t="s">
        <v>146</v>
      </c>
      <c r="R614" t="s">
        <v>147</v>
      </c>
      <c r="T614" t="s">
        <v>148</v>
      </c>
      <c r="U614" t="s">
        <v>149</v>
      </c>
      <c r="V614" t="s">
        <v>110</v>
      </c>
      <c r="W614" t="s">
        <v>150</v>
      </c>
      <c r="X614" t="s">
        <v>151</v>
      </c>
      <c r="Y614" t="s">
        <v>104</v>
      </c>
    </row>
    <row r="615" spans="1:25">
      <c r="A615">
        <v>10192</v>
      </c>
      <c r="B615">
        <v>45</v>
      </c>
      <c r="C615">
        <v>90.86</v>
      </c>
      <c r="D615">
        <v>15</v>
      </c>
      <c r="E615">
        <v>4088.7</v>
      </c>
      <c r="F615" t="s">
        <v>561</v>
      </c>
      <c r="G615" t="s">
        <v>93</v>
      </c>
      <c r="H615">
        <v>4</v>
      </c>
      <c r="I615">
        <v>11</v>
      </c>
      <c r="J615">
        <v>2003</v>
      </c>
      <c r="K615" t="s">
        <v>265</v>
      </c>
      <c r="L615">
        <v>77</v>
      </c>
      <c r="M615" t="s">
        <v>755</v>
      </c>
      <c r="N615" t="s">
        <v>372</v>
      </c>
      <c r="O615">
        <v>6035558647</v>
      </c>
      <c r="P615" t="s">
        <v>373</v>
      </c>
      <c r="R615" t="s">
        <v>374</v>
      </c>
      <c r="S615" t="s">
        <v>375</v>
      </c>
      <c r="T615">
        <v>62005</v>
      </c>
      <c r="U615" t="s">
        <v>100</v>
      </c>
      <c r="V615" t="s">
        <v>101</v>
      </c>
      <c r="W615" t="s">
        <v>125</v>
      </c>
      <c r="X615" t="s">
        <v>371</v>
      </c>
      <c r="Y615" t="s">
        <v>119</v>
      </c>
    </row>
    <row r="616" spans="1:25">
      <c r="A616">
        <v>10203</v>
      </c>
      <c r="B616">
        <v>45</v>
      </c>
      <c r="C616">
        <v>85.47</v>
      </c>
      <c r="D616">
        <v>4</v>
      </c>
      <c r="E616">
        <v>3846.15</v>
      </c>
      <c r="F616" s="4">
        <v>37664</v>
      </c>
      <c r="G616" t="s">
        <v>93</v>
      </c>
      <c r="H616">
        <v>4</v>
      </c>
      <c r="I616">
        <v>12</v>
      </c>
      <c r="J616">
        <v>2003</v>
      </c>
      <c r="K616" t="s">
        <v>265</v>
      </c>
      <c r="L616">
        <v>77</v>
      </c>
      <c r="M616" t="s">
        <v>755</v>
      </c>
      <c r="N616" t="s">
        <v>257</v>
      </c>
      <c r="O616" t="s">
        <v>258</v>
      </c>
      <c r="P616" t="s">
        <v>259</v>
      </c>
      <c r="R616" t="s">
        <v>260</v>
      </c>
      <c r="T616">
        <v>28034</v>
      </c>
      <c r="U616" t="s">
        <v>261</v>
      </c>
      <c r="V616" t="s">
        <v>110</v>
      </c>
      <c r="W616" t="s">
        <v>262</v>
      </c>
      <c r="X616" t="s">
        <v>263</v>
      </c>
      <c r="Y616" t="s">
        <v>119</v>
      </c>
    </row>
    <row r="617" spans="1:25">
      <c r="A617">
        <v>10212</v>
      </c>
      <c r="B617">
        <v>20</v>
      </c>
      <c r="C617">
        <v>66.989999999999995</v>
      </c>
      <c r="D617">
        <v>14</v>
      </c>
      <c r="E617">
        <v>1339.8</v>
      </c>
      <c r="F617" t="s">
        <v>653</v>
      </c>
      <c r="G617" t="s">
        <v>93</v>
      </c>
      <c r="H617">
        <v>1</v>
      </c>
      <c r="I617">
        <v>1</v>
      </c>
      <c r="J617">
        <v>2004</v>
      </c>
      <c r="K617" t="s">
        <v>265</v>
      </c>
      <c r="L617">
        <v>77</v>
      </c>
      <c r="M617" t="s">
        <v>755</v>
      </c>
      <c r="N617" t="s">
        <v>257</v>
      </c>
      <c r="O617" t="s">
        <v>258</v>
      </c>
      <c r="P617" t="s">
        <v>259</v>
      </c>
      <c r="R617" t="s">
        <v>260</v>
      </c>
      <c r="T617">
        <v>28034</v>
      </c>
      <c r="U617" t="s">
        <v>261</v>
      </c>
      <c r="V617" t="s">
        <v>110</v>
      </c>
      <c r="W617" t="s">
        <v>262</v>
      </c>
      <c r="X617" t="s">
        <v>263</v>
      </c>
      <c r="Y617" t="s">
        <v>104</v>
      </c>
    </row>
    <row r="618" spans="1:25">
      <c r="A618">
        <v>10225</v>
      </c>
      <c r="B618">
        <v>47</v>
      </c>
      <c r="C618">
        <v>64.680000000000007</v>
      </c>
      <c r="D618">
        <v>5</v>
      </c>
      <c r="E618">
        <v>3039.96</v>
      </c>
      <c r="F618" t="s">
        <v>569</v>
      </c>
      <c r="G618" t="s">
        <v>93</v>
      </c>
      <c r="H618">
        <v>1</v>
      </c>
      <c r="I618">
        <v>2</v>
      </c>
      <c r="J618">
        <v>2004</v>
      </c>
      <c r="K618" t="s">
        <v>265</v>
      </c>
      <c r="L618">
        <v>77</v>
      </c>
      <c r="M618" t="s">
        <v>755</v>
      </c>
      <c r="N618" t="s">
        <v>570</v>
      </c>
      <c r="O618" t="s">
        <v>571</v>
      </c>
      <c r="P618" t="s">
        <v>572</v>
      </c>
      <c r="R618" t="s">
        <v>573</v>
      </c>
      <c r="T618">
        <v>1203</v>
      </c>
      <c r="U618" t="s">
        <v>574</v>
      </c>
      <c r="V618" t="s">
        <v>110</v>
      </c>
      <c r="W618" t="s">
        <v>575</v>
      </c>
      <c r="X618" t="s">
        <v>176</v>
      </c>
      <c r="Y618" t="s">
        <v>119</v>
      </c>
    </row>
    <row r="619" spans="1:25">
      <c r="A619">
        <v>10239</v>
      </c>
      <c r="B619">
        <v>46</v>
      </c>
      <c r="C619">
        <v>73.92</v>
      </c>
      <c r="D619">
        <v>4</v>
      </c>
      <c r="E619">
        <v>3400.32</v>
      </c>
      <c r="F619" s="4">
        <v>38325</v>
      </c>
      <c r="G619" t="s">
        <v>93</v>
      </c>
      <c r="H619">
        <v>2</v>
      </c>
      <c r="I619">
        <v>4</v>
      </c>
      <c r="J619">
        <v>2004</v>
      </c>
      <c r="K619" t="s">
        <v>265</v>
      </c>
      <c r="L619">
        <v>77</v>
      </c>
      <c r="M619" t="s">
        <v>755</v>
      </c>
      <c r="N619" t="s">
        <v>506</v>
      </c>
      <c r="O619" t="s">
        <v>507</v>
      </c>
      <c r="P619" t="s">
        <v>508</v>
      </c>
      <c r="R619" t="s">
        <v>509</v>
      </c>
      <c r="T619">
        <v>90110</v>
      </c>
      <c r="U619" t="s">
        <v>208</v>
      </c>
      <c r="V619" t="s">
        <v>110</v>
      </c>
      <c r="W619" t="s">
        <v>510</v>
      </c>
      <c r="X619" t="s">
        <v>511</v>
      </c>
      <c r="Y619" t="s">
        <v>119</v>
      </c>
    </row>
    <row r="620" spans="1:25">
      <c r="A620">
        <v>10253</v>
      </c>
      <c r="B620">
        <v>23</v>
      </c>
      <c r="C620">
        <v>83.93</v>
      </c>
      <c r="D620">
        <v>9</v>
      </c>
      <c r="E620">
        <v>1930.39</v>
      </c>
      <c r="F620" s="4">
        <v>37992</v>
      </c>
      <c r="G620" t="s">
        <v>444</v>
      </c>
      <c r="H620">
        <v>2</v>
      </c>
      <c r="I620">
        <v>6</v>
      </c>
      <c r="J620">
        <v>2004</v>
      </c>
      <c r="K620" t="s">
        <v>265</v>
      </c>
      <c r="L620">
        <v>77</v>
      </c>
      <c r="M620" t="s">
        <v>755</v>
      </c>
      <c r="N620" t="s">
        <v>247</v>
      </c>
      <c r="O620" t="s">
        <v>248</v>
      </c>
      <c r="P620" t="s">
        <v>249</v>
      </c>
      <c r="R620" t="s">
        <v>250</v>
      </c>
      <c r="T620" t="s">
        <v>251</v>
      </c>
      <c r="U620" t="s">
        <v>252</v>
      </c>
      <c r="V620" t="s">
        <v>110</v>
      </c>
      <c r="W620" t="s">
        <v>253</v>
      </c>
      <c r="X620" t="s">
        <v>254</v>
      </c>
      <c r="Y620" t="s">
        <v>104</v>
      </c>
    </row>
    <row r="621" spans="1:25">
      <c r="A621">
        <v>10266</v>
      </c>
      <c r="B621">
        <v>33</v>
      </c>
      <c r="C621">
        <v>74.69</v>
      </c>
      <c r="D621">
        <v>10</v>
      </c>
      <c r="E621">
        <v>2464.77</v>
      </c>
      <c r="F621" s="4">
        <v>38145</v>
      </c>
      <c r="G621" t="s">
        <v>93</v>
      </c>
      <c r="H621">
        <v>3</v>
      </c>
      <c r="I621">
        <v>7</v>
      </c>
      <c r="J621">
        <v>2004</v>
      </c>
      <c r="K621" t="s">
        <v>265</v>
      </c>
      <c r="L621">
        <v>77</v>
      </c>
      <c r="M621" t="s">
        <v>755</v>
      </c>
      <c r="N621" t="s">
        <v>576</v>
      </c>
      <c r="O621" t="s">
        <v>577</v>
      </c>
      <c r="P621" t="s">
        <v>578</v>
      </c>
      <c r="R621" t="s">
        <v>579</v>
      </c>
      <c r="T621">
        <v>42100</v>
      </c>
      <c r="U621" t="s">
        <v>352</v>
      </c>
      <c r="V621" t="s">
        <v>110</v>
      </c>
      <c r="W621" t="s">
        <v>580</v>
      </c>
      <c r="X621" t="s">
        <v>581</v>
      </c>
      <c r="Y621" t="s">
        <v>104</v>
      </c>
    </row>
    <row r="622" spans="1:25">
      <c r="A622">
        <v>10278</v>
      </c>
      <c r="B622">
        <v>29</v>
      </c>
      <c r="C622">
        <v>90.86</v>
      </c>
      <c r="D622">
        <v>10</v>
      </c>
      <c r="E622">
        <v>2634.94</v>
      </c>
      <c r="F622" s="4">
        <v>38146</v>
      </c>
      <c r="G622" t="s">
        <v>93</v>
      </c>
      <c r="H622">
        <v>3</v>
      </c>
      <c r="I622">
        <v>8</v>
      </c>
      <c r="J622">
        <v>2004</v>
      </c>
      <c r="K622" t="s">
        <v>265</v>
      </c>
      <c r="L622">
        <v>77</v>
      </c>
      <c r="M622" t="s">
        <v>755</v>
      </c>
      <c r="N622" t="s">
        <v>684</v>
      </c>
      <c r="O622">
        <v>7025551838</v>
      </c>
      <c r="P622" t="s">
        <v>685</v>
      </c>
      <c r="R622" t="s">
        <v>686</v>
      </c>
      <c r="S622" t="s">
        <v>687</v>
      </c>
      <c r="T622">
        <v>83030</v>
      </c>
      <c r="U622" t="s">
        <v>100</v>
      </c>
      <c r="V622" t="s">
        <v>101</v>
      </c>
      <c r="W622" t="s">
        <v>188</v>
      </c>
      <c r="X622" t="s">
        <v>517</v>
      </c>
      <c r="Y622" t="s">
        <v>104</v>
      </c>
    </row>
    <row r="623" spans="1:25">
      <c r="A623">
        <v>10287</v>
      </c>
      <c r="B623">
        <v>44</v>
      </c>
      <c r="C623">
        <v>82.39</v>
      </c>
      <c r="D623">
        <v>8</v>
      </c>
      <c r="E623">
        <v>3625.16</v>
      </c>
      <c r="F623" t="s">
        <v>586</v>
      </c>
      <c r="G623" t="s">
        <v>93</v>
      </c>
      <c r="H623">
        <v>3</v>
      </c>
      <c r="I623">
        <v>8</v>
      </c>
      <c r="J623">
        <v>2004</v>
      </c>
      <c r="K623" t="s">
        <v>265</v>
      </c>
      <c r="L623">
        <v>77</v>
      </c>
      <c r="M623" t="s">
        <v>755</v>
      </c>
      <c r="N623" t="s">
        <v>570</v>
      </c>
      <c r="O623" t="s">
        <v>571</v>
      </c>
      <c r="P623" t="s">
        <v>572</v>
      </c>
      <c r="R623" t="s">
        <v>573</v>
      </c>
      <c r="T623">
        <v>1203</v>
      </c>
      <c r="U623" t="s">
        <v>574</v>
      </c>
      <c r="V623" t="s">
        <v>110</v>
      </c>
      <c r="W623" t="s">
        <v>575</v>
      </c>
      <c r="X623" t="s">
        <v>176</v>
      </c>
      <c r="Y623" t="s">
        <v>119</v>
      </c>
    </row>
    <row r="624" spans="1:25">
      <c r="A624">
        <v>10300</v>
      </c>
      <c r="B624">
        <v>41</v>
      </c>
      <c r="C624">
        <v>92.4</v>
      </c>
      <c r="D624">
        <v>1</v>
      </c>
      <c r="E624">
        <v>3788.4</v>
      </c>
      <c r="F624" s="4">
        <v>37721</v>
      </c>
      <c r="G624" t="s">
        <v>93</v>
      </c>
      <c r="H624">
        <v>4</v>
      </c>
      <c r="I624">
        <v>10</v>
      </c>
      <c r="J624">
        <v>2003</v>
      </c>
      <c r="K624" t="s">
        <v>265</v>
      </c>
      <c r="L624">
        <v>77</v>
      </c>
      <c r="M624" t="s">
        <v>755</v>
      </c>
      <c r="N624" t="s">
        <v>587</v>
      </c>
      <c r="O624" t="s">
        <v>588</v>
      </c>
      <c r="P624" t="s">
        <v>589</v>
      </c>
      <c r="R624" t="s">
        <v>590</v>
      </c>
      <c r="T624">
        <v>60528</v>
      </c>
      <c r="U624" t="s">
        <v>566</v>
      </c>
      <c r="V624" t="s">
        <v>110</v>
      </c>
      <c r="W624" t="s">
        <v>591</v>
      </c>
      <c r="X624" t="s">
        <v>532</v>
      </c>
      <c r="Y624" t="s">
        <v>119</v>
      </c>
    </row>
    <row r="625" spans="1:25">
      <c r="A625">
        <v>10310</v>
      </c>
      <c r="B625">
        <v>20</v>
      </c>
      <c r="C625">
        <v>91.63</v>
      </c>
      <c r="D625">
        <v>6</v>
      </c>
      <c r="E625">
        <v>1832.6</v>
      </c>
      <c r="F625" t="s">
        <v>592</v>
      </c>
      <c r="G625" t="s">
        <v>93</v>
      </c>
      <c r="H625">
        <v>4</v>
      </c>
      <c r="I625">
        <v>10</v>
      </c>
      <c r="J625">
        <v>2004</v>
      </c>
      <c r="K625" t="s">
        <v>265</v>
      </c>
      <c r="L625">
        <v>77</v>
      </c>
      <c r="M625" t="s">
        <v>755</v>
      </c>
      <c r="N625" t="s">
        <v>562</v>
      </c>
      <c r="O625" t="s">
        <v>563</v>
      </c>
      <c r="P625" t="s">
        <v>564</v>
      </c>
      <c r="R625" t="s">
        <v>565</v>
      </c>
      <c r="T625">
        <v>50739</v>
      </c>
      <c r="U625" t="s">
        <v>566</v>
      </c>
      <c r="V625" t="s">
        <v>110</v>
      </c>
      <c r="W625" t="s">
        <v>567</v>
      </c>
      <c r="X625" t="s">
        <v>568</v>
      </c>
      <c r="Y625" t="s">
        <v>104</v>
      </c>
    </row>
    <row r="626" spans="1:25">
      <c r="A626">
        <v>10321</v>
      </c>
      <c r="B626">
        <v>37</v>
      </c>
      <c r="C626">
        <v>78.540000000000006</v>
      </c>
      <c r="D626">
        <v>14</v>
      </c>
      <c r="E626">
        <v>2905.98</v>
      </c>
      <c r="F626" s="4">
        <v>38088</v>
      </c>
      <c r="G626" t="s">
        <v>93</v>
      </c>
      <c r="H626">
        <v>4</v>
      </c>
      <c r="I626">
        <v>11</v>
      </c>
      <c r="J626">
        <v>2004</v>
      </c>
      <c r="K626" t="s">
        <v>265</v>
      </c>
      <c r="L626">
        <v>77</v>
      </c>
      <c r="M626" t="s">
        <v>755</v>
      </c>
      <c r="N626" t="s">
        <v>242</v>
      </c>
      <c r="O626">
        <v>5085552555</v>
      </c>
      <c r="P626" t="s">
        <v>243</v>
      </c>
      <c r="R626" t="s">
        <v>244</v>
      </c>
      <c r="S626" t="s">
        <v>200</v>
      </c>
      <c r="T626">
        <v>50553</v>
      </c>
      <c r="U626" t="s">
        <v>100</v>
      </c>
      <c r="V626" t="s">
        <v>101</v>
      </c>
      <c r="W626" t="s">
        <v>245</v>
      </c>
      <c r="X626" t="s">
        <v>246</v>
      </c>
      <c r="Y626" t="s">
        <v>104</v>
      </c>
    </row>
    <row r="627" spans="1:25">
      <c r="A627">
        <v>10329</v>
      </c>
      <c r="B627">
        <v>29</v>
      </c>
      <c r="C627">
        <v>100</v>
      </c>
      <c r="D627">
        <v>9</v>
      </c>
      <c r="E627">
        <v>2954.81</v>
      </c>
      <c r="F627" t="s">
        <v>223</v>
      </c>
      <c r="G627" t="s">
        <v>93</v>
      </c>
      <c r="H627">
        <v>4</v>
      </c>
      <c r="I627">
        <v>11</v>
      </c>
      <c r="J627">
        <v>2004</v>
      </c>
      <c r="K627" t="s">
        <v>265</v>
      </c>
      <c r="L627">
        <v>77</v>
      </c>
      <c r="M627" t="s">
        <v>755</v>
      </c>
      <c r="N627" t="s">
        <v>96</v>
      </c>
      <c r="O627">
        <v>2125557818</v>
      </c>
      <c r="P627" t="s">
        <v>97</v>
      </c>
      <c r="R627" t="s">
        <v>98</v>
      </c>
      <c r="S627" t="s">
        <v>99</v>
      </c>
      <c r="T627">
        <v>10022</v>
      </c>
      <c r="U627" t="s">
        <v>100</v>
      </c>
      <c r="V627" t="s">
        <v>101</v>
      </c>
      <c r="W627" t="s">
        <v>102</v>
      </c>
      <c r="X627" t="s">
        <v>103</v>
      </c>
      <c r="Y627" t="s">
        <v>104</v>
      </c>
    </row>
    <row r="628" spans="1:25">
      <c r="A628">
        <v>10342</v>
      </c>
      <c r="B628">
        <v>55</v>
      </c>
      <c r="C628">
        <v>65.45</v>
      </c>
      <c r="D628">
        <v>1</v>
      </c>
      <c r="E628">
        <v>3599.75</v>
      </c>
      <c r="F628" t="s">
        <v>224</v>
      </c>
      <c r="G628" t="s">
        <v>93</v>
      </c>
      <c r="H628">
        <v>4</v>
      </c>
      <c r="I628">
        <v>11</v>
      </c>
      <c r="J628">
        <v>2004</v>
      </c>
      <c r="K628" t="s">
        <v>265</v>
      </c>
      <c r="L628">
        <v>77</v>
      </c>
      <c r="M628" t="s">
        <v>755</v>
      </c>
      <c r="N628" t="s">
        <v>162</v>
      </c>
      <c r="O628" t="s">
        <v>163</v>
      </c>
      <c r="P628" t="s">
        <v>164</v>
      </c>
      <c r="Q628" t="s">
        <v>165</v>
      </c>
      <c r="R628" t="s">
        <v>166</v>
      </c>
      <c r="S628" t="s">
        <v>167</v>
      </c>
      <c r="T628">
        <v>3004</v>
      </c>
      <c r="U628" t="s">
        <v>168</v>
      </c>
      <c r="V628" t="s">
        <v>169</v>
      </c>
      <c r="W628" t="s">
        <v>170</v>
      </c>
      <c r="X628" t="s">
        <v>171</v>
      </c>
      <c r="Y628" t="s">
        <v>119</v>
      </c>
    </row>
    <row r="629" spans="1:25">
      <c r="A629">
        <v>10363</v>
      </c>
      <c r="B629">
        <v>22</v>
      </c>
      <c r="C629">
        <v>100</v>
      </c>
      <c r="D629">
        <v>7</v>
      </c>
      <c r="E629">
        <v>3686.54</v>
      </c>
      <c r="F629" s="4">
        <v>38504</v>
      </c>
      <c r="G629" t="s">
        <v>93</v>
      </c>
      <c r="H629">
        <v>1</v>
      </c>
      <c r="I629">
        <v>1</v>
      </c>
      <c r="J629">
        <v>2005</v>
      </c>
      <c r="K629" t="s">
        <v>265</v>
      </c>
      <c r="L629">
        <v>77</v>
      </c>
      <c r="M629" t="s">
        <v>755</v>
      </c>
      <c r="N629" t="s">
        <v>593</v>
      </c>
      <c r="O629" t="s">
        <v>594</v>
      </c>
      <c r="P629" t="s">
        <v>595</v>
      </c>
      <c r="R629" t="s">
        <v>596</v>
      </c>
      <c r="T629" t="s">
        <v>597</v>
      </c>
      <c r="U629" t="s">
        <v>208</v>
      </c>
      <c r="V629" t="s">
        <v>110</v>
      </c>
      <c r="W629" t="s">
        <v>598</v>
      </c>
      <c r="X629" t="s">
        <v>599</v>
      </c>
      <c r="Y629" t="s">
        <v>119</v>
      </c>
    </row>
    <row r="630" spans="1:25">
      <c r="A630">
        <v>10377</v>
      </c>
      <c r="B630">
        <v>31</v>
      </c>
      <c r="C630">
        <v>67.760000000000005</v>
      </c>
      <c r="D630">
        <v>4</v>
      </c>
      <c r="E630">
        <v>2100.56</v>
      </c>
      <c r="F630" s="4">
        <v>38597</v>
      </c>
      <c r="G630" t="s">
        <v>93</v>
      </c>
      <c r="H630">
        <v>1</v>
      </c>
      <c r="I630">
        <v>2</v>
      </c>
      <c r="J630">
        <v>2005</v>
      </c>
      <c r="K630" t="s">
        <v>265</v>
      </c>
      <c r="L630">
        <v>77</v>
      </c>
      <c r="M630" t="s">
        <v>755</v>
      </c>
      <c r="N630" t="s">
        <v>204</v>
      </c>
      <c r="O630" t="s">
        <v>205</v>
      </c>
      <c r="P630" t="s">
        <v>206</v>
      </c>
      <c r="R630" t="s">
        <v>207</v>
      </c>
      <c r="T630">
        <v>21240</v>
      </c>
      <c r="U630" t="s">
        <v>208</v>
      </c>
      <c r="V630" t="s">
        <v>110</v>
      </c>
      <c r="W630" t="s">
        <v>209</v>
      </c>
      <c r="X630" t="s">
        <v>210</v>
      </c>
      <c r="Y630" t="s">
        <v>104</v>
      </c>
    </row>
    <row r="631" spans="1:25">
      <c r="A631">
        <v>10389</v>
      </c>
      <c r="B631">
        <v>49</v>
      </c>
      <c r="C631">
        <v>79.22</v>
      </c>
      <c r="D631">
        <v>3</v>
      </c>
      <c r="E631">
        <v>3881.78</v>
      </c>
      <c r="F631" s="4">
        <v>38414</v>
      </c>
      <c r="G631" t="s">
        <v>93</v>
      </c>
      <c r="H631">
        <v>1</v>
      </c>
      <c r="I631">
        <v>3</v>
      </c>
      <c r="J631">
        <v>2005</v>
      </c>
      <c r="K631" t="s">
        <v>265</v>
      </c>
      <c r="L631">
        <v>77</v>
      </c>
      <c r="M631" t="s">
        <v>755</v>
      </c>
      <c r="N631" t="s">
        <v>355</v>
      </c>
      <c r="O631" t="s">
        <v>356</v>
      </c>
      <c r="P631" t="s">
        <v>357</v>
      </c>
      <c r="R631" t="s">
        <v>358</v>
      </c>
      <c r="T631" t="s">
        <v>359</v>
      </c>
      <c r="U631" t="s">
        <v>273</v>
      </c>
      <c r="V631" t="s">
        <v>110</v>
      </c>
      <c r="W631" t="s">
        <v>360</v>
      </c>
      <c r="X631" t="s">
        <v>295</v>
      </c>
      <c r="Y631" t="s">
        <v>119</v>
      </c>
    </row>
    <row r="632" spans="1:25">
      <c r="A632">
        <v>10405</v>
      </c>
      <c r="B632">
        <v>61</v>
      </c>
      <c r="C632">
        <v>73.92</v>
      </c>
      <c r="D632">
        <v>4</v>
      </c>
      <c r="E632">
        <v>4509.12</v>
      </c>
      <c r="F632" t="s">
        <v>673</v>
      </c>
      <c r="G632" t="s">
        <v>93</v>
      </c>
      <c r="H632">
        <v>2</v>
      </c>
      <c r="I632">
        <v>4</v>
      </c>
      <c r="J632">
        <v>2005</v>
      </c>
      <c r="K632" t="s">
        <v>265</v>
      </c>
      <c r="L632">
        <v>77</v>
      </c>
      <c r="M632" t="s">
        <v>755</v>
      </c>
      <c r="N632" t="s">
        <v>674</v>
      </c>
      <c r="O632" t="s">
        <v>675</v>
      </c>
      <c r="P632" t="s">
        <v>676</v>
      </c>
      <c r="R632" t="s">
        <v>677</v>
      </c>
      <c r="T632">
        <v>67000</v>
      </c>
      <c r="U632" t="s">
        <v>109</v>
      </c>
      <c r="V632" t="s">
        <v>110</v>
      </c>
      <c r="W632" t="s">
        <v>678</v>
      </c>
      <c r="X632" t="s">
        <v>679</v>
      </c>
      <c r="Y632" t="s">
        <v>119</v>
      </c>
    </row>
    <row r="633" spans="1:25">
      <c r="A633">
        <v>10419</v>
      </c>
      <c r="B633">
        <v>39</v>
      </c>
      <c r="C633">
        <v>83.93</v>
      </c>
      <c r="D633">
        <v>9</v>
      </c>
      <c r="E633">
        <v>3273.27</v>
      </c>
      <c r="F633" t="s">
        <v>600</v>
      </c>
      <c r="G633" t="s">
        <v>93</v>
      </c>
      <c r="H633">
        <v>2</v>
      </c>
      <c r="I633">
        <v>5</v>
      </c>
      <c r="J633">
        <v>2005</v>
      </c>
      <c r="K633" t="s">
        <v>265</v>
      </c>
      <c r="L633">
        <v>77</v>
      </c>
      <c r="M633" t="s">
        <v>755</v>
      </c>
      <c r="N633" t="s">
        <v>225</v>
      </c>
      <c r="O633" t="s">
        <v>226</v>
      </c>
      <c r="P633" t="s">
        <v>227</v>
      </c>
      <c r="R633" t="s">
        <v>228</v>
      </c>
      <c r="T633">
        <v>5020</v>
      </c>
      <c r="U633" t="s">
        <v>229</v>
      </c>
      <c r="V633" t="s">
        <v>110</v>
      </c>
      <c r="W633" t="s">
        <v>230</v>
      </c>
      <c r="X633" t="s">
        <v>231</v>
      </c>
      <c r="Y633" t="s">
        <v>119</v>
      </c>
    </row>
    <row r="634" spans="1:25">
      <c r="A634">
        <v>10109</v>
      </c>
      <c r="B634">
        <v>38</v>
      </c>
      <c r="C634">
        <v>100</v>
      </c>
      <c r="D634">
        <v>3</v>
      </c>
      <c r="E634">
        <v>4432.7</v>
      </c>
      <c r="F634" s="4">
        <v>37897</v>
      </c>
      <c r="G634" t="s">
        <v>93</v>
      </c>
      <c r="H634">
        <v>1</v>
      </c>
      <c r="I634">
        <v>3</v>
      </c>
      <c r="J634">
        <v>2003</v>
      </c>
      <c r="K634" t="s">
        <v>265</v>
      </c>
      <c r="L634">
        <v>142</v>
      </c>
      <c r="M634" t="s">
        <v>756</v>
      </c>
      <c r="N634" t="s">
        <v>410</v>
      </c>
      <c r="O634">
        <v>2155559857</v>
      </c>
      <c r="P634" t="s">
        <v>411</v>
      </c>
      <c r="R634" t="s">
        <v>306</v>
      </c>
      <c r="S634" t="s">
        <v>221</v>
      </c>
      <c r="T634">
        <v>71270</v>
      </c>
      <c r="U634" t="s">
        <v>100</v>
      </c>
      <c r="V634" t="s">
        <v>101</v>
      </c>
      <c r="W634" t="s">
        <v>201</v>
      </c>
      <c r="X634" t="s">
        <v>412</v>
      </c>
      <c r="Y634" t="s">
        <v>119</v>
      </c>
    </row>
    <row r="635" spans="1:25">
      <c r="A635">
        <v>10122</v>
      </c>
      <c r="B635">
        <v>31</v>
      </c>
      <c r="C635">
        <v>100</v>
      </c>
      <c r="D635">
        <v>1</v>
      </c>
      <c r="E635">
        <v>4100.99</v>
      </c>
      <c r="F635" s="4">
        <v>37838</v>
      </c>
      <c r="G635" t="s">
        <v>93</v>
      </c>
      <c r="H635">
        <v>2</v>
      </c>
      <c r="I635">
        <v>5</v>
      </c>
      <c r="J635">
        <v>2003</v>
      </c>
      <c r="K635" t="s">
        <v>265</v>
      </c>
      <c r="L635">
        <v>142</v>
      </c>
      <c r="M635" t="s">
        <v>756</v>
      </c>
      <c r="N635" t="s">
        <v>555</v>
      </c>
      <c r="O635" t="s">
        <v>556</v>
      </c>
      <c r="P635" t="s">
        <v>557</v>
      </c>
      <c r="R635" t="s">
        <v>558</v>
      </c>
      <c r="T635">
        <v>13008</v>
      </c>
      <c r="U635" t="s">
        <v>109</v>
      </c>
      <c r="V635" t="s">
        <v>110</v>
      </c>
      <c r="W635" t="s">
        <v>559</v>
      </c>
      <c r="X635" t="s">
        <v>560</v>
      </c>
      <c r="Y635" t="s">
        <v>119</v>
      </c>
    </row>
    <row r="636" spans="1:25">
      <c r="A636">
        <v>10136</v>
      </c>
      <c r="B636">
        <v>36</v>
      </c>
      <c r="C636">
        <v>100</v>
      </c>
      <c r="D636">
        <v>1</v>
      </c>
      <c r="E636">
        <v>5274.72</v>
      </c>
      <c r="F636" s="4">
        <v>37718</v>
      </c>
      <c r="G636" t="s">
        <v>93</v>
      </c>
      <c r="H636">
        <v>3</v>
      </c>
      <c r="I636">
        <v>7</v>
      </c>
      <c r="J636">
        <v>2003</v>
      </c>
      <c r="K636" t="s">
        <v>265</v>
      </c>
      <c r="L636">
        <v>142</v>
      </c>
      <c r="M636" t="s">
        <v>756</v>
      </c>
      <c r="N636" t="s">
        <v>445</v>
      </c>
      <c r="O636" t="s">
        <v>446</v>
      </c>
      <c r="P636" t="s">
        <v>447</v>
      </c>
      <c r="R636" t="s">
        <v>448</v>
      </c>
      <c r="T636">
        <v>31000</v>
      </c>
      <c r="U636" t="s">
        <v>109</v>
      </c>
      <c r="V636" t="s">
        <v>110</v>
      </c>
      <c r="W636" t="s">
        <v>449</v>
      </c>
      <c r="X636" t="s">
        <v>450</v>
      </c>
      <c r="Y636" t="s">
        <v>119</v>
      </c>
    </row>
    <row r="637" spans="1:25">
      <c r="A637">
        <v>10148</v>
      </c>
      <c r="B637">
        <v>25</v>
      </c>
      <c r="C637">
        <v>100</v>
      </c>
      <c r="D637">
        <v>12</v>
      </c>
      <c r="E637">
        <v>4232</v>
      </c>
      <c r="F637" s="4">
        <v>37934</v>
      </c>
      <c r="G637" t="s">
        <v>93</v>
      </c>
      <c r="H637">
        <v>3</v>
      </c>
      <c r="I637">
        <v>9</v>
      </c>
      <c r="J637">
        <v>2003</v>
      </c>
      <c r="K637" t="s">
        <v>265</v>
      </c>
      <c r="L637">
        <v>142</v>
      </c>
      <c r="M637" t="s">
        <v>756</v>
      </c>
      <c r="N637" t="s">
        <v>384</v>
      </c>
      <c r="O637" t="s">
        <v>385</v>
      </c>
      <c r="P637" t="s">
        <v>386</v>
      </c>
      <c r="Q637" t="s">
        <v>387</v>
      </c>
      <c r="R637" t="s">
        <v>388</v>
      </c>
      <c r="S637" t="s">
        <v>239</v>
      </c>
      <c r="T637">
        <v>2060</v>
      </c>
      <c r="U637" t="s">
        <v>168</v>
      </c>
      <c r="V637" t="s">
        <v>169</v>
      </c>
      <c r="W637" t="s">
        <v>389</v>
      </c>
      <c r="X637" t="s">
        <v>390</v>
      </c>
      <c r="Y637" t="s">
        <v>119</v>
      </c>
    </row>
    <row r="638" spans="1:25">
      <c r="A638">
        <v>10161</v>
      </c>
      <c r="B638">
        <v>48</v>
      </c>
      <c r="C638">
        <v>100</v>
      </c>
      <c r="D638">
        <v>11</v>
      </c>
      <c r="E638">
        <v>6145.44</v>
      </c>
      <c r="F638" t="s">
        <v>682</v>
      </c>
      <c r="G638" t="s">
        <v>93</v>
      </c>
      <c r="H638">
        <v>4</v>
      </c>
      <c r="I638">
        <v>10</v>
      </c>
      <c r="J638">
        <v>2003</v>
      </c>
      <c r="K638" t="s">
        <v>265</v>
      </c>
      <c r="L638">
        <v>142</v>
      </c>
      <c r="M638" t="s">
        <v>756</v>
      </c>
      <c r="N638" t="s">
        <v>630</v>
      </c>
      <c r="O638" t="s">
        <v>631</v>
      </c>
      <c r="P638" t="s">
        <v>632</v>
      </c>
      <c r="R638" t="s">
        <v>633</v>
      </c>
      <c r="T638">
        <v>8200</v>
      </c>
      <c r="U638" t="s">
        <v>429</v>
      </c>
      <c r="V638" t="s">
        <v>110</v>
      </c>
      <c r="W638" t="s">
        <v>634</v>
      </c>
      <c r="X638" t="s">
        <v>635</v>
      </c>
      <c r="Y638" t="s">
        <v>119</v>
      </c>
    </row>
    <row r="639" spans="1:25">
      <c r="A639">
        <v>10171</v>
      </c>
      <c r="B639">
        <v>35</v>
      </c>
      <c r="C639">
        <v>100</v>
      </c>
      <c r="D639">
        <v>1</v>
      </c>
      <c r="E639">
        <v>4680.2</v>
      </c>
      <c r="F639" s="4">
        <v>37752</v>
      </c>
      <c r="G639" t="s">
        <v>93</v>
      </c>
      <c r="H639">
        <v>4</v>
      </c>
      <c r="I639">
        <v>11</v>
      </c>
      <c r="J639">
        <v>2003</v>
      </c>
      <c r="K639" t="s">
        <v>265</v>
      </c>
      <c r="L639">
        <v>142</v>
      </c>
      <c r="M639" t="s">
        <v>756</v>
      </c>
      <c r="N639" t="s">
        <v>391</v>
      </c>
      <c r="O639" t="s">
        <v>392</v>
      </c>
      <c r="P639" t="s">
        <v>393</v>
      </c>
      <c r="R639" t="s">
        <v>394</v>
      </c>
      <c r="S639" t="s">
        <v>395</v>
      </c>
      <c r="T639" t="s">
        <v>396</v>
      </c>
      <c r="U639" t="s">
        <v>322</v>
      </c>
      <c r="V639" t="s">
        <v>101</v>
      </c>
      <c r="W639" t="s">
        <v>397</v>
      </c>
      <c r="X639" t="s">
        <v>398</v>
      </c>
      <c r="Y639" t="s">
        <v>119</v>
      </c>
    </row>
    <row r="640" spans="1:25">
      <c r="A640">
        <v>10181</v>
      </c>
      <c r="B640">
        <v>21</v>
      </c>
      <c r="C640">
        <v>100</v>
      </c>
      <c r="D640">
        <v>5</v>
      </c>
      <c r="E640">
        <v>3286.08</v>
      </c>
      <c r="F640" s="4">
        <v>37966</v>
      </c>
      <c r="G640" t="s">
        <v>93</v>
      </c>
      <c r="H640">
        <v>4</v>
      </c>
      <c r="I640">
        <v>11</v>
      </c>
      <c r="J640">
        <v>2003</v>
      </c>
      <c r="K640" t="s">
        <v>265</v>
      </c>
      <c r="L640">
        <v>142</v>
      </c>
      <c r="M640" t="s">
        <v>756</v>
      </c>
      <c r="N640" t="s">
        <v>144</v>
      </c>
      <c r="O640" t="s">
        <v>145</v>
      </c>
      <c r="P640" t="s">
        <v>146</v>
      </c>
      <c r="R640" t="s">
        <v>147</v>
      </c>
      <c r="T640" t="s">
        <v>148</v>
      </c>
      <c r="U640" t="s">
        <v>149</v>
      </c>
      <c r="V640" t="s">
        <v>110</v>
      </c>
      <c r="W640" t="s">
        <v>150</v>
      </c>
      <c r="X640" t="s">
        <v>151</v>
      </c>
      <c r="Y640" t="s">
        <v>119</v>
      </c>
    </row>
    <row r="641" spans="1:25">
      <c r="A641">
        <v>10192</v>
      </c>
      <c r="B641">
        <v>47</v>
      </c>
      <c r="C641">
        <v>100</v>
      </c>
      <c r="D641">
        <v>10</v>
      </c>
      <c r="E641">
        <v>7421.3</v>
      </c>
      <c r="F641" t="s">
        <v>561</v>
      </c>
      <c r="G641" t="s">
        <v>93</v>
      </c>
      <c r="H641">
        <v>4</v>
      </c>
      <c r="I641">
        <v>11</v>
      </c>
      <c r="J641">
        <v>2003</v>
      </c>
      <c r="K641" t="s">
        <v>265</v>
      </c>
      <c r="L641">
        <v>142</v>
      </c>
      <c r="M641" t="s">
        <v>756</v>
      </c>
      <c r="N641" t="s">
        <v>372</v>
      </c>
      <c r="O641">
        <v>6035558647</v>
      </c>
      <c r="P641" t="s">
        <v>373</v>
      </c>
      <c r="R641" t="s">
        <v>374</v>
      </c>
      <c r="S641" t="s">
        <v>375</v>
      </c>
      <c r="T641">
        <v>62005</v>
      </c>
      <c r="U641" t="s">
        <v>100</v>
      </c>
      <c r="V641" t="s">
        <v>101</v>
      </c>
      <c r="W641" t="s">
        <v>125</v>
      </c>
      <c r="X641" t="s">
        <v>371</v>
      </c>
      <c r="Y641" t="s">
        <v>232</v>
      </c>
    </row>
    <row r="642" spans="1:25">
      <c r="A642">
        <v>10204</v>
      </c>
      <c r="B642">
        <v>38</v>
      </c>
      <c r="C642">
        <v>100</v>
      </c>
      <c r="D642">
        <v>16</v>
      </c>
      <c r="E642">
        <v>6432.64</v>
      </c>
      <c r="F642" s="4">
        <v>37664</v>
      </c>
      <c r="G642" t="s">
        <v>93</v>
      </c>
      <c r="H642">
        <v>4</v>
      </c>
      <c r="I642">
        <v>12</v>
      </c>
      <c r="J642">
        <v>2003</v>
      </c>
      <c r="K642" t="s">
        <v>265</v>
      </c>
      <c r="L642">
        <v>142</v>
      </c>
      <c r="M642" t="s">
        <v>756</v>
      </c>
      <c r="N642" t="s">
        <v>603</v>
      </c>
      <c r="O642">
        <v>2125557413</v>
      </c>
      <c r="P642" t="s">
        <v>604</v>
      </c>
      <c r="Q642" t="s">
        <v>605</v>
      </c>
      <c r="R642" t="s">
        <v>98</v>
      </c>
      <c r="S642" t="s">
        <v>99</v>
      </c>
      <c r="T642">
        <v>10022</v>
      </c>
      <c r="U642" t="s">
        <v>100</v>
      </c>
      <c r="V642" t="s">
        <v>101</v>
      </c>
      <c r="W642" t="s">
        <v>125</v>
      </c>
      <c r="X642" t="s">
        <v>606</v>
      </c>
      <c r="Y642" t="s">
        <v>119</v>
      </c>
    </row>
    <row r="643" spans="1:25">
      <c r="A643">
        <v>10212</v>
      </c>
      <c r="B643">
        <v>41</v>
      </c>
      <c r="C643">
        <v>100</v>
      </c>
      <c r="D643">
        <v>9</v>
      </c>
      <c r="E643">
        <v>4840.87</v>
      </c>
      <c r="F643" t="s">
        <v>653</v>
      </c>
      <c r="G643" t="s">
        <v>93</v>
      </c>
      <c r="H643">
        <v>1</v>
      </c>
      <c r="I643">
        <v>1</v>
      </c>
      <c r="J643">
        <v>2004</v>
      </c>
      <c r="K643" t="s">
        <v>265</v>
      </c>
      <c r="L643">
        <v>142</v>
      </c>
      <c r="M643" t="s">
        <v>756</v>
      </c>
      <c r="N643" t="s">
        <v>257</v>
      </c>
      <c r="O643" t="s">
        <v>258</v>
      </c>
      <c r="P643" t="s">
        <v>259</v>
      </c>
      <c r="R643" t="s">
        <v>260</v>
      </c>
      <c r="T643">
        <v>28034</v>
      </c>
      <c r="U643" t="s">
        <v>261</v>
      </c>
      <c r="V643" t="s">
        <v>110</v>
      </c>
      <c r="W643" t="s">
        <v>262</v>
      </c>
      <c r="X643" t="s">
        <v>263</v>
      </c>
      <c r="Y643" t="s">
        <v>119</v>
      </c>
    </row>
    <row r="644" spans="1:25">
      <c r="A644">
        <v>10226</v>
      </c>
      <c r="B644">
        <v>24</v>
      </c>
      <c r="C644">
        <v>100</v>
      </c>
      <c r="D644">
        <v>7</v>
      </c>
      <c r="E644">
        <v>3892.08</v>
      </c>
      <c r="F644" t="s">
        <v>723</v>
      </c>
      <c r="G644" t="s">
        <v>93</v>
      </c>
      <c r="H644">
        <v>1</v>
      </c>
      <c r="I644">
        <v>2</v>
      </c>
      <c r="J644">
        <v>2004</v>
      </c>
      <c r="K644" t="s">
        <v>265</v>
      </c>
      <c r="L644">
        <v>142</v>
      </c>
      <c r="M644" t="s">
        <v>756</v>
      </c>
      <c r="N644" t="s">
        <v>470</v>
      </c>
      <c r="O644">
        <v>7605558146</v>
      </c>
      <c r="P644" t="s">
        <v>471</v>
      </c>
      <c r="R644" t="s">
        <v>472</v>
      </c>
      <c r="S644" t="s">
        <v>124</v>
      </c>
      <c r="T644">
        <v>91217</v>
      </c>
      <c r="U644" t="s">
        <v>100</v>
      </c>
      <c r="V644" t="s">
        <v>101</v>
      </c>
      <c r="W644" t="s">
        <v>6</v>
      </c>
      <c r="X644" t="s">
        <v>371</v>
      </c>
      <c r="Y644" t="s">
        <v>119</v>
      </c>
    </row>
    <row r="645" spans="1:25">
      <c r="A645">
        <v>10240</v>
      </c>
      <c r="B645">
        <v>37</v>
      </c>
      <c r="C645">
        <v>100</v>
      </c>
      <c r="D645">
        <v>2</v>
      </c>
      <c r="E645">
        <v>5526.32</v>
      </c>
      <c r="F645" t="s">
        <v>683</v>
      </c>
      <c r="G645" t="s">
        <v>93</v>
      </c>
      <c r="H645">
        <v>2</v>
      </c>
      <c r="I645">
        <v>4</v>
      </c>
      <c r="J645">
        <v>2004</v>
      </c>
      <c r="K645" t="s">
        <v>265</v>
      </c>
      <c r="L645">
        <v>142</v>
      </c>
      <c r="M645" t="s">
        <v>756</v>
      </c>
      <c r="N645" t="s">
        <v>403</v>
      </c>
      <c r="O645" t="s">
        <v>404</v>
      </c>
      <c r="P645" t="s">
        <v>405</v>
      </c>
      <c r="R645" t="s">
        <v>406</v>
      </c>
      <c r="S645" t="s">
        <v>406</v>
      </c>
      <c r="T645" t="s">
        <v>407</v>
      </c>
      <c r="U645" t="s">
        <v>288</v>
      </c>
      <c r="V645" t="s">
        <v>288</v>
      </c>
      <c r="W645" t="s">
        <v>408</v>
      </c>
      <c r="X645" t="s">
        <v>409</v>
      </c>
      <c r="Y645" t="s">
        <v>119</v>
      </c>
    </row>
    <row r="646" spans="1:25">
      <c r="A646">
        <v>10253</v>
      </c>
      <c r="B646">
        <v>33</v>
      </c>
      <c r="C646">
        <v>100</v>
      </c>
      <c r="D646">
        <v>4</v>
      </c>
      <c r="E646">
        <v>4459.62</v>
      </c>
      <c r="F646" s="4">
        <v>37992</v>
      </c>
      <c r="G646" t="s">
        <v>444</v>
      </c>
      <c r="H646">
        <v>2</v>
      </c>
      <c r="I646">
        <v>6</v>
      </c>
      <c r="J646">
        <v>2004</v>
      </c>
      <c r="K646" t="s">
        <v>265</v>
      </c>
      <c r="L646">
        <v>142</v>
      </c>
      <c r="M646" t="s">
        <v>756</v>
      </c>
      <c r="N646" t="s">
        <v>247</v>
      </c>
      <c r="O646" t="s">
        <v>248</v>
      </c>
      <c r="P646" t="s">
        <v>249</v>
      </c>
      <c r="R646" t="s">
        <v>250</v>
      </c>
      <c r="T646" t="s">
        <v>251</v>
      </c>
      <c r="U646" t="s">
        <v>252</v>
      </c>
      <c r="V646" t="s">
        <v>110</v>
      </c>
      <c r="W646" t="s">
        <v>253</v>
      </c>
      <c r="X646" t="s">
        <v>254</v>
      </c>
      <c r="Y646" t="s">
        <v>119</v>
      </c>
    </row>
    <row r="647" spans="1:25">
      <c r="A647">
        <v>10266</v>
      </c>
      <c r="B647">
        <v>49</v>
      </c>
      <c r="C647">
        <v>100</v>
      </c>
      <c r="D647">
        <v>5</v>
      </c>
      <c r="E647">
        <v>6203.4</v>
      </c>
      <c r="F647" s="4">
        <v>38145</v>
      </c>
      <c r="G647" t="s">
        <v>93</v>
      </c>
      <c r="H647">
        <v>3</v>
      </c>
      <c r="I647">
        <v>7</v>
      </c>
      <c r="J647">
        <v>2004</v>
      </c>
      <c r="K647" t="s">
        <v>265</v>
      </c>
      <c r="L647">
        <v>142</v>
      </c>
      <c r="M647" t="s">
        <v>756</v>
      </c>
      <c r="N647" t="s">
        <v>576</v>
      </c>
      <c r="O647" t="s">
        <v>577</v>
      </c>
      <c r="P647" t="s">
        <v>578</v>
      </c>
      <c r="R647" t="s">
        <v>579</v>
      </c>
      <c r="T647">
        <v>42100</v>
      </c>
      <c r="U647" t="s">
        <v>352</v>
      </c>
      <c r="V647" t="s">
        <v>110</v>
      </c>
      <c r="W647" t="s">
        <v>580</v>
      </c>
      <c r="X647" t="s">
        <v>581</v>
      </c>
      <c r="Y647" t="s">
        <v>119</v>
      </c>
    </row>
    <row r="648" spans="1:25">
      <c r="A648">
        <v>10278</v>
      </c>
      <c r="B648">
        <v>29</v>
      </c>
      <c r="C648">
        <v>100</v>
      </c>
      <c r="D648">
        <v>5</v>
      </c>
      <c r="E648">
        <v>3754.05</v>
      </c>
      <c r="F648" s="4">
        <v>38146</v>
      </c>
      <c r="G648" t="s">
        <v>93</v>
      </c>
      <c r="H648">
        <v>3</v>
      </c>
      <c r="I648">
        <v>8</v>
      </c>
      <c r="J648">
        <v>2004</v>
      </c>
      <c r="K648" t="s">
        <v>265</v>
      </c>
      <c r="L648">
        <v>142</v>
      </c>
      <c r="M648" t="s">
        <v>756</v>
      </c>
      <c r="N648" t="s">
        <v>684</v>
      </c>
      <c r="O648">
        <v>7025551838</v>
      </c>
      <c r="P648" t="s">
        <v>685</v>
      </c>
      <c r="R648" t="s">
        <v>686</v>
      </c>
      <c r="S648" t="s">
        <v>687</v>
      </c>
      <c r="T648">
        <v>83030</v>
      </c>
      <c r="U648" t="s">
        <v>100</v>
      </c>
      <c r="V648" t="s">
        <v>101</v>
      </c>
      <c r="W648" t="s">
        <v>188</v>
      </c>
      <c r="X648" t="s">
        <v>517</v>
      </c>
      <c r="Y648" t="s">
        <v>119</v>
      </c>
    </row>
    <row r="649" spans="1:25">
      <c r="A649">
        <v>10287</v>
      </c>
      <c r="B649">
        <v>24</v>
      </c>
      <c r="C649">
        <v>100</v>
      </c>
      <c r="D649">
        <v>3</v>
      </c>
      <c r="E649">
        <v>3516.48</v>
      </c>
      <c r="F649" t="s">
        <v>586</v>
      </c>
      <c r="G649" t="s">
        <v>93</v>
      </c>
      <c r="H649">
        <v>3</v>
      </c>
      <c r="I649">
        <v>8</v>
      </c>
      <c r="J649">
        <v>2004</v>
      </c>
      <c r="K649" t="s">
        <v>265</v>
      </c>
      <c r="L649">
        <v>142</v>
      </c>
      <c r="M649" t="s">
        <v>756</v>
      </c>
      <c r="N649" t="s">
        <v>570</v>
      </c>
      <c r="O649" t="s">
        <v>571</v>
      </c>
      <c r="P649" t="s">
        <v>572</v>
      </c>
      <c r="R649" t="s">
        <v>573</v>
      </c>
      <c r="T649">
        <v>1203</v>
      </c>
      <c r="U649" t="s">
        <v>574</v>
      </c>
      <c r="V649" t="s">
        <v>110</v>
      </c>
      <c r="W649" t="s">
        <v>575</v>
      </c>
      <c r="X649" t="s">
        <v>176</v>
      </c>
      <c r="Y649" t="s">
        <v>119</v>
      </c>
    </row>
    <row r="650" spans="1:25">
      <c r="A650">
        <v>10301</v>
      </c>
      <c r="B650">
        <v>47</v>
      </c>
      <c r="C650">
        <v>100</v>
      </c>
      <c r="D650">
        <v>7</v>
      </c>
      <c r="E650">
        <v>7488.04</v>
      </c>
      <c r="F650" s="4">
        <v>37751</v>
      </c>
      <c r="G650" t="s">
        <v>93</v>
      </c>
      <c r="H650">
        <v>4</v>
      </c>
      <c r="I650">
        <v>10</v>
      </c>
      <c r="J650">
        <v>2003</v>
      </c>
      <c r="K650" t="s">
        <v>265</v>
      </c>
      <c r="L650">
        <v>142</v>
      </c>
      <c r="M650" t="s">
        <v>756</v>
      </c>
      <c r="N650" t="s">
        <v>688</v>
      </c>
      <c r="O650" t="s">
        <v>689</v>
      </c>
      <c r="P650" t="s">
        <v>690</v>
      </c>
      <c r="R650" t="s">
        <v>691</v>
      </c>
      <c r="T650" t="s">
        <v>692</v>
      </c>
      <c r="U650" t="s">
        <v>149</v>
      </c>
      <c r="V650" t="s">
        <v>110</v>
      </c>
      <c r="W650" t="s">
        <v>693</v>
      </c>
      <c r="X650" t="s">
        <v>694</v>
      </c>
      <c r="Y650" t="s">
        <v>232</v>
      </c>
    </row>
    <row r="651" spans="1:25">
      <c r="A651">
        <v>10310</v>
      </c>
      <c r="B651">
        <v>24</v>
      </c>
      <c r="C651">
        <v>100</v>
      </c>
      <c r="D651">
        <v>1</v>
      </c>
      <c r="E651">
        <v>3448.08</v>
      </c>
      <c r="F651" t="s">
        <v>592</v>
      </c>
      <c r="G651" t="s">
        <v>93</v>
      </c>
      <c r="H651">
        <v>4</v>
      </c>
      <c r="I651">
        <v>10</v>
      </c>
      <c r="J651">
        <v>2004</v>
      </c>
      <c r="K651" t="s">
        <v>265</v>
      </c>
      <c r="L651">
        <v>142</v>
      </c>
      <c r="M651" t="s">
        <v>756</v>
      </c>
      <c r="N651" t="s">
        <v>562</v>
      </c>
      <c r="O651" t="s">
        <v>563</v>
      </c>
      <c r="P651" t="s">
        <v>564</v>
      </c>
      <c r="R651" t="s">
        <v>565</v>
      </c>
      <c r="T651">
        <v>50739</v>
      </c>
      <c r="U651" t="s">
        <v>566</v>
      </c>
      <c r="V651" t="s">
        <v>110</v>
      </c>
      <c r="W651" t="s">
        <v>567</v>
      </c>
      <c r="X651" t="s">
        <v>568</v>
      </c>
      <c r="Y651" t="s">
        <v>119</v>
      </c>
    </row>
    <row r="652" spans="1:25">
      <c r="A652">
        <v>10321</v>
      </c>
      <c r="B652">
        <v>25</v>
      </c>
      <c r="C652">
        <v>100</v>
      </c>
      <c r="D652">
        <v>9</v>
      </c>
      <c r="E652">
        <v>3734</v>
      </c>
      <c r="F652" s="4">
        <v>38088</v>
      </c>
      <c r="G652" t="s">
        <v>93</v>
      </c>
      <c r="H652">
        <v>4</v>
      </c>
      <c r="I652">
        <v>11</v>
      </c>
      <c r="J652">
        <v>2004</v>
      </c>
      <c r="K652" t="s">
        <v>265</v>
      </c>
      <c r="L652">
        <v>142</v>
      </c>
      <c r="M652" t="s">
        <v>756</v>
      </c>
      <c r="N652" t="s">
        <v>242</v>
      </c>
      <c r="O652">
        <v>5085552555</v>
      </c>
      <c r="P652" t="s">
        <v>243</v>
      </c>
      <c r="R652" t="s">
        <v>244</v>
      </c>
      <c r="S652" t="s">
        <v>200</v>
      </c>
      <c r="T652">
        <v>50553</v>
      </c>
      <c r="U652" t="s">
        <v>100</v>
      </c>
      <c r="V652" t="s">
        <v>101</v>
      </c>
      <c r="W652" t="s">
        <v>245</v>
      </c>
      <c r="X652" t="s">
        <v>246</v>
      </c>
      <c r="Y652" t="s">
        <v>119</v>
      </c>
    </row>
    <row r="653" spans="1:25">
      <c r="A653">
        <v>10331</v>
      </c>
      <c r="B653">
        <v>30</v>
      </c>
      <c r="C653">
        <v>32.47</v>
      </c>
      <c r="D653">
        <v>8</v>
      </c>
      <c r="E653">
        <v>974.1</v>
      </c>
      <c r="F653" t="s">
        <v>695</v>
      </c>
      <c r="G653" t="s">
        <v>93</v>
      </c>
      <c r="H653">
        <v>4</v>
      </c>
      <c r="I653">
        <v>11</v>
      </c>
      <c r="J653">
        <v>2004</v>
      </c>
      <c r="K653" t="s">
        <v>265</v>
      </c>
      <c r="L653">
        <v>142</v>
      </c>
      <c r="M653" t="s">
        <v>756</v>
      </c>
      <c r="N653" t="s">
        <v>410</v>
      </c>
      <c r="O653">
        <v>2155559857</v>
      </c>
      <c r="P653" t="s">
        <v>411</v>
      </c>
      <c r="R653" t="s">
        <v>306</v>
      </c>
      <c r="S653" t="s">
        <v>221</v>
      </c>
      <c r="T653">
        <v>71270</v>
      </c>
      <c r="U653" t="s">
        <v>100</v>
      </c>
      <c r="V653" t="s">
        <v>101</v>
      </c>
      <c r="W653" t="s">
        <v>201</v>
      </c>
      <c r="X653" t="s">
        <v>412</v>
      </c>
      <c r="Y653" t="s">
        <v>104</v>
      </c>
    </row>
    <row r="654" spans="1:25">
      <c r="A654">
        <v>10342</v>
      </c>
      <c r="B654">
        <v>22</v>
      </c>
      <c r="C654">
        <v>100</v>
      </c>
      <c r="D654">
        <v>3</v>
      </c>
      <c r="E654">
        <v>3160.74</v>
      </c>
      <c r="F654" t="s">
        <v>224</v>
      </c>
      <c r="G654" t="s">
        <v>93</v>
      </c>
      <c r="H654">
        <v>4</v>
      </c>
      <c r="I654">
        <v>11</v>
      </c>
      <c r="J654">
        <v>2004</v>
      </c>
      <c r="K654" t="s">
        <v>265</v>
      </c>
      <c r="L654">
        <v>142</v>
      </c>
      <c r="M654" t="s">
        <v>756</v>
      </c>
      <c r="N654" t="s">
        <v>162</v>
      </c>
      <c r="O654" t="s">
        <v>163</v>
      </c>
      <c r="P654" t="s">
        <v>164</v>
      </c>
      <c r="Q654" t="s">
        <v>165</v>
      </c>
      <c r="R654" t="s">
        <v>166</v>
      </c>
      <c r="S654" t="s">
        <v>167</v>
      </c>
      <c r="T654">
        <v>3004</v>
      </c>
      <c r="U654" t="s">
        <v>168</v>
      </c>
      <c r="V654" t="s">
        <v>169</v>
      </c>
      <c r="W654" t="s">
        <v>170</v>
      </c>
      <c r="X654" t="s">
        <v>171</v>
      </c>
      <c r="Y654" t="s">
        <v>119</v>
      </c>
    </row>
    <row r="655" spans="1:25">
      <c r="A655">
        <v>10356</v>
      </c>
      <c r="B655">
        <v>27</v>
      </c>
      <c r="C655">
        <v>64.69</v>
      </c>
      <c r="D655">
        <v>2</v>
      </c>
      <c r="E655">
        <v>1746.63</v>
      </c>
      <c r="F655" s="4">
        <v>38242</v>
      </c>
      <c r="G655" t="s">
        <v>93</v>
      </c>
      <c r="H655">
        <v>4</v>
      </c>
      <c r="I655">
        <v>12</v>
      </c>
      <c r="J655">
        <v>2004</v>
      </c>
      <c r="K655" t="s">
        <v>265</v>
      </c>
      <c r="L655">
        <v>142</v>
      </c>
      <c r="M655" t="s">
        <v>756</v>
      </c>
      <c r="N655" t="s">
        <v>113</v>
      </c>
      <c r="O655" t="s">
        <v>114</v>
      </c>
      <c r="P655" t="s">
        <v>115</v>
      </c>
      <c r="R655" t="s">
        <v>116</v>
      </c>
      <c r="T655">
        <v>75508</v>
      </c>
      <c r="U655" t="s">
        <v>109</v>
      </c>
      <c r="V655" t="s">
        <v>110</v>
      </c>
      <c r="W655" t="s">
        <v>117</v>
      </c>
      <c r="X655" t="s">
        <v>118</v>
      </c>
      <c r="Y655" t="s">
        <v>104</v>
      </c>
    </row>
    <row r="656" spans="1:25">
      <c r="A656">
        <v>10366</v>
      </c>
      <c r="B656">
        <v>34</v>
      </c>
      <c r="C656">
        <v>100</v>
      </c>
      <c r="D656">
        <v>3</v>
      </c>
      <c r="E656">
        <v>4207.84</v>
      </c>
      <c r="F656" s="4">
        <v>38626</v>
      </c>
      <c r="G656" t="s">
        <v>93</v>
      </c>
      <c r="H656">
        <v>1</v>
      </c>
      <c r="I656">
        <v>1</v>
      </c>
      <c r="J656">
        <v>2005</v>
      </c>
      <c r="K656" t="s">
        <v>265</v>
      </c>
      <c r="L656">
        <v>142</v>
      </c>
      <c r="M656" t="s">
        <v>756</v>
      </c>
      <c r="N656" t="s">
        <v>743</v>
      </c>
      <c r="O656" t="s">
        <v>744</v>
      </c>
      <c r="P656" t="s">
        <v>745</v>
      </c>
      <c r="R656" t="s">
        <v>746</v>
      </c>
      <c r="T656" t="s">
        <v>747</v>
      </c>
      <c r="U656" t="s">
        <v>480</v>
      </c>
      <c r="V656" t="s">
        <v>110</v>
      </c>
      <c r="W656" t="s">
        <v>748</v>
      </c>
      <c r="X656" t="s">
        <v>749</v>
      </c>
      <c r="Y656" t="s">
        <v>119</v>
      </c>
    </row>
    <row r="657" spans="1:25">
      <c r="A657">
        <v>10377</v>
      </c>
      <c r="B657">
        <v>36</v>
      </c>
      <c r="C657">
        <v>100</v>
      </c>
      <c r="D657">
        <v>6</v>
      </c>
      <c r="E657">
        <v>4352.76</v>
      </c>
      <c r="F657" s="4">
        <v>38597</v>
      </c>
      <c r="G657" t="s">
        <v>93</v>
      </c>
      <c r="H657">
        <v>1</v>
      </c>
      <c r="I657">
        <v>2</v>
      </c>
      <c r="J657">
        <v>2005</v>
      </c>
      <c r="K657" t="s">
        <v>265</v>
      </c>
      <c r="L657">
        <v>142</v>
      </c>
      <c r="M657" t="s">
        <v>756</v>
      </c>
      <c r="N657" t="s">
        <v>204</v>
      </c>
      <c r="O657" t="s">
        <v>205</v>
      </c>
      <c r="P657" t="s">
        <v>206</v>
      </c>
      <c r="R657" t="s">
        <v>207</v>
      </c>
      <c r="T657">
        <v>21240</v>
      </c>
      <c r="U657" t="s">
        <v>208</v>
      </c>
      <c r="V657" t="s">
        <v>110</v>
      </c>
      <c r="W657" t="s">
        <v>209</v>
      </c>
      <c r="X657" t="s">
        <v>210</v>
      </c>
      <c r="Y657" t="s">
        <v>119</v>
      </c>
    </row>
    <row r="658" spans="1:25">
      <c r="A658">
        <v>10390</v>
      </c>
      <c r="B658">
        <v>34</v>
      </c>
      <c r="C658">
        <v>43.05</v>
      </c>
      <c r="D658">
        <v>15</v>
      </c>
      <c r="E658">
        <v>1463.7</v>
      </c>
      <c r="F658" s="4">
        <v>38445</v>
      </c>
      <c r="G658" t="s">
        <v>93</v>
      </c>
      <c r="H658">
        <v>1</v>
      </c>
      <c r="I658">
        <v>3</v>
      </c>
      <c r="J658">
        <v>2005</v>
      </c>
      <c r="K658" t="s">
        <v>265</v>
      </c>
      <c r="L658">
        <v>142</v>
      </c>
      <c r="M658" t="s">
        <v>756</v>
      </c>
      <c r="N658" t="s">
        <v>367</v>
      </c>
      <c r="O658">
        <v>4155551450</v>
      </c>
      <c r="P658" t="s">
        <v>368</v>
      </c>
      <c r="R658" t="s">
        <v>369</v>
      </c>
      <c r="S658" t="s">
        <v>124</v>
      </c>
      <c r="T658">
        <v>97562</v>
      </c>
      <c r="U658" t="s">
        <v>100</v>
      </c>
      <c r="V658" t="s">
        <v>101</v>
      </c>
      <c r="W658" t="s">
        <v>370</v>
      </c>
      <c r="X658" t="s">
        <v>371</v>
      </c>
      <c r="Y658" t="s">
        <v>104</v>
      </c>
    </row>
    <row r="659" spans="1:25">
      <c r="A659">
        <v>10406</v>
      </c>
      <c r="B659">
        <v>48</v>
      </c>
      <c r="C659">
        <v>100</v>
      </c>
      <c r="D659">
        <v>2</v>
      </c>
      <c r="E659">
        <v>7169.28</v>
      </c>
      <c r="F659" t="s">
        <v>696</v>
      </c>
      <c r="G659" t="s">
        <v>256</v>
      </c>
      <c r="H659">
        <v>2</v>
      </c>
      <c r="I659">
        <v>4</v>
      </c>
      <c r="J659">
        <v>2005</v>
      </c>
      <c r="K659" t="s">
        <v>265</v>
      </c>
      <c r="L659">
        <v>142</v>
      </c>
      <c r="M659" t="s">
        <v>756</v>
      </c>
      <c r="N659" t="s">
        <v>425</v>
      </c>
      <c r="O659" t="s">
        <v>426</v>
      </c>
      <c r="P659" t="s">
        <v>427</v>
      </c>
      <c r="R659" t="s">
        <v>428</v>
      </c>
      <c r="T659">
        <v>1734</v>
      </c>
      <c r="U659" t="s">
        <v>429</v>
      </c>
      <c r="V659" t="s">
        <v>110</v>
      </c>
      <c r="W659" t="s">
        <v>430</v>
      </c>
      <c r="X659" t="s">
        <v>431</v>
      </c>
      <c r="Y659" t="s">
        <v>232</v>
      </c>
    </row>
    <row r="660" spans="1:25">
      <c r="A660">
        <v>10419</v>
      </c>
      <c r="B660">
        <v>34</v>
      </c>
      <c r="C660">
        <v>100</v>
      </c>
      <c r="D660">
        <v>4</v>
      </c>
      <c r="E660">
        <v>4594.76</v>
      </c>
      <c r="F660" t="s">
        <v>600</v>
      </c>
      <c r="G660" t="s">
        <v>93</v>
      </c>
      <c r="H660">
        <v>2</v>
      </c>
      <c r="I660">
        <v>5</v>
      </c>
      <c r="J660">
        <v>2005</v>
      </c>
      <c r="K660" t="s">
        <v>265</v>
      </c>
      <c r="L660">
        <v>142</v>
      </c>
      <c r="M660" t="s">
        <v>756</v>
      </c>
      <c r="N660" t="s">
        <v>225</v>
      </c>
      <c r="O660" t="s">
        <v>226</v>
      </c>
      <c r="P660" t="s">
        <v>227</v>
      </c>
      <c r="R660" t="s">
        <v>228</v>
      </c>
      <c r="T660">
        <v>5020</v>
      </c>
      <c r="U660" t="s">
        <v>229</v>
      </c>
      <c r="V660" t="s">
        <v>110</v>
      </c>
      <c r="W660" t="s">
        <v>230</v>
      </c>
      <c r="X660" t="s">
        <v>231</v>
      </c>
      <c r="Y660" t="s">
        <v>119</v>
      </c>
    </row>
    <row r="661" spans="1:25">
      <c r="A661">
        <v>10104</v>
      </c>
      <c r="B661">
        <v>24</v>
      </c>
      <c r="C661">
        <v>100</v>
      </c>
      <c r="D661">
        <v>8</v>
      </c>
      <c r="E661">
        <v>3457.92</v>
      </c>
      <c r="F661" t="s">
        <v>648</v>
      </c>
      <c r="G661" t="s">
        <v>93</v>
      </c>
      <c r="H661">
        <v>1</v>
      </c>
      <c r="I661">
        <v>1</v>
      </c>
      <c r="J661">
        <v>2003</v>
      </c>
      <c r="K661" t="s">
        <v>265</v>
      </c>
      <c r="L661">
        <v>163</v>
      </c>
      <c r="M661" t="s">
        <v>757</v>
      </c>
      <c r="N661" t="s">
        <v>257</v>
      </c>
      <c r="O661" t="s">
        <v>258</v>
      </c>
      <c r="P661" t="s">
        <v>259</v>
      </c>
      <c r="R661" t="s">
        <v>260</v>
      </c>
      <c r="T661">
        <v>28034</v>
      </c>
      <c r="U661" t="s">
        <v>261</v>
      </c>
      <c r="V661" t="s">
        <v>110</v>
      </c>
      <c r="W661" t="s">
        <v>262</v>
      </c>
      <c r="X661" t="s">
        <v>263</v>
      </c>
      <c r="Y661" t="s">
        <v>119</v>
      </c>
    </row>
    <row r="662" spans="1:25">
      <c r="A662">
        <v>10115</v>
      </c>
      <c r="B662">
        <v>46</v>
      </c>
      <c r="C662">
        <v>100</v>
      </c>
      <c r="D662">
        <v>4</v>
      </c>
      <c r="E662">
        <v>7381.16</v>
      </c>
      <c r="F662" s="4">
        <v>37715</v>
      </c>
      <c r="G662" t="s">
        <v>93</v>
      </c>
      <c r="H662">
        <v>2</v>
      </c>
      <c r="I662">
        <v>4</v>
      </c>
      <c r="J662">
        <v>2003</v>
      </c>
      <c r="K662" t="s">
        <v>265</v>
      </c>
      <c r="L662">
        <v>163</v>
      </c>
      <c r="M662" t="s">
        <v>757</v>
      </c>
      <c r="N662" t="s">
        <v>292</v>
      </c>
      <c r="O662">
        <v>2125558493</v>
      </c>
      <c r="P662" t="s">
        <v>293</v>
      </c>
      <c r="Q662" t="s">
        <v>294</v>
      </c>
      <c r="R662" t="s">
        <v>98</v>
      </c>
      <c r="S662" t="s">
        <v>99</v>
      </c>
      <c r="T662">
        <v>10022</v>
      </c>
      <c r="U662" t="s">
        <v>100</v>
      </c>
      <c r="V662" t="s">
        <v>101</v>
      </c>
      <c r="W662" t="s">
        <v>201</v>
      </c>
      <c r="X662" t="s">
        <v>295</v>
      </c>
      <c r="Y662" t="s">
        <v>232</v>
      </c>
    </row>
    <row r="663" spans="1:25">
      <c r="A663">
        <v>10127</v>
      </c>
      <c r="B663">
        <v>45</v>
      </c>
      <c r="C663">
        <v>100</v>
      </c>
      <c r="D663">
        <v>10</v>
      </c>
      <c r="E663">
        <v>7146.9</v>
      </c>
      <c r="F663" s="4">
        <v>37686</v>
      </c>
      <c r="G663" t="s">
        <v>93</v>
      </c>
      <c r="H663">
        <v>2</v>
      </c>
      <c r="I663">
        <v>6</v>
      </c>
      <c r="J663">
        <v>2003</v>
      </c>
      <c r="K663" t="s">
        <v>265</v>
      </c>
      <c r="L663">
        <v>163</v>
      </c>
      <c r="M663" t="s">
        <v>757</v>
      </c>
      <c r="N663" t="s">
        <v>603</v>
      </c>
      <c r="O663">
        <v>2125557413</v>
      </c>
      <c r="P663" t="s">
        <v>604</v>
      </c>
      <c r="Q663" t="s">
        <v>605</v>
      </c>
      <c r="R663" t="s">
        <v>98</v>
      </c>
      <c r="S663" t="s">
        <v>99</v>
      </c>
      <c r="T663">
        <v>10022</v>
      </c>
      <c r="U663" t="s">
        <v>100</v>
      </c>
      <c r="V663" t="s">
        <v>101</v>
      </c>
      <c r="W663" t="s">
        <v>125</v>
      </c>
      <c r="X663" t="s">
        <v>606</v>
      </c>
      <c r="Y663" t="s">
        <v>232</v>
      </c>
    </row>
    <row r="664" spans="1:25">
      <c r="A664">
        <v>10141</v>
      </c>
      <c r="B664">
        <v>39</v>
      </c>
      <c r="C664">
        <v>100</v>
      </c>
      <c r="D664">
        <v>4</v>
      </c>
      <c r="E664">
        <v>5938.53</v>
      </c>
      <c r="F664" s="4">
        <v>37629</v>
      </c>
      <c r="G664" t="s">
        <v>93</v>
      </c>
      <c r="H664">
        <v>3</v>
      </c>
      <c r="I664">
        <v>8</v>
      </c>
      <c r="J664">
        <v>2003</v>
      </c>
      <c r="K664" t="s">
        <v>265</v>
      </c>
      <c r="L664">
        <v>163</v>
      </c>
      <c r="M664" t="s">
        <v>757</v>
      </c>
      <c r="N664" t="s">
        <v>593</v>
      </c>
      <c r="O664" t="s">
        <v>594</v>
      </c>
      <c r="P664" t="s">
        <v>595</v>
      </c>
      <c r="R664" t="s">
        <v>596</v>
      </c>
      <c r="T664" t="s">
        <v>597</v>
      </c>
      <c r="U664" t="s">
        <v>208</v>
      </c>
      <c r="V664" t="s">
        <v>110</v>
      </c>
      <c r="W664" t="s">
        <v>598</v>
      </c>
      <c r="X664" t="s">
        <v>599</v>
      </c>
      <c r="Y664" t="s">
        <v>119</v>
      </c>
    </row>
    <row r="665" spans="1:25">
      <c r="A665">
        <v>10151</v>
      </c>
      <c r="B665">
        <v>43</v>
      </c>
      <c r="C665">
        <v>100</v>
      </c>
      <c r="D665">
        <v>2</v>
      </c>
      <c r="E665">
        <v>7110.91</v>
      </c>
      <c r="F665" t="s">
        <v>661</v>
      </c>
      <c r="G665" t="s">
        <v>93</v>
      </c>
      <c r="H665">
        <v>3</v>
      </c>
      <c r="I665">
        <v>9</v>
      </c>
      <c r="J665">
        <v>2003</v>
      </c>
      <c r="K665" t="s">
        <v>265</v>
      </c>
      <c r="L665">
        <v>163</v>
      </c>
      <c r="M665" t="s">
        <v>757</v>
      </c>
      <c r="N665" t="s">
        <v>506</v>
      </c>
      <c r="O665" t="s">
        <v>507</v>
      </c>
      <c r="P665" t="s">
        <v>508</v>
      </c>
      <c r="R665" t="s">
        <v>509</v>
      </c>
      <c r="T665">
        <v>90110</v>
      </c>
      <c r="U665" t="s">
        <v>208</v>
      </c>
      <c r="V665" t="s">
        <v>110</v>
      </c>
      <c r="W665" t="s">
        <v>510</v>
      </c>
      <c r="X665" t="s">
        <v>511</v>
      </c>
      <c r="Y665" t="s">
        <v>232</v>
      </c>
    </row>
    <row r="666" spans="1:25">
      <c r="A666">
        <v>10165</v>
      </c>
      <c r="B666">
        <v>29</v>
      </c>
      <c r="C666">
        <v>100</v>
      </c>
      <c r="D666">
        <v>11</v>
      </c>
      <c r="E666">
        <v>5032.95</v>
      </c>
      <c r="F666" t="s">
        <v>608</v>
      </c>
      <c r="G666" t="s">
        <v>93</v>
      </c>
      <c r="H666">
        <v>4</v>
      </c>
      <c r="I666">
        <v>10</v>
      </c>
      <c r="J666">
        <v>2003</v>
      </c>
      <c r="K666" t="s">
        <v>265</v>
      </c>
      <c r="L666">
        <v>163</v>
      </c>
      <c r="M666" t="s">
        <v>757</v>
      </c>
      <c r="N666" t="s">
        <v>284</v>
      </c>
      <c r="O666" t="s">
        <v>285</v>
      </c>
      <c r="P666" t="s">
        <v>286</v>
      </c>
      <c r="R666" t="s">
        <v>287</v>
      </c>
      <c r="T666">
        <v>79903</v>
      </c>
      <c r="U666" t="s">
        <v>287</v>
      </c>
      <c r="V666" t="s">
        <v>288</v>
      </c>
      <c r="W666" t="s">
        <v>289</v>
      </c>
      <c r="X666" t="s">
        <v>290</v>
      </c>
      <c r="Y666" t="s">
        <v>119</v>
      </c>
    </row>
    <row r="667" spans="1:25">
      <c r="A667">
        <v>10176</v>
      </c>
      <c r="B667">
        <v>20</v>
      </c>
      <c r="C667">
        <v>100</v>
      </c>
      <c r="D667">
        <v>10</v>
      </c>
      <c r="E667">
        <v>3667.6</v>
      </c>
      <c r="F667" s="4">
        <v>37783</v>
      </c>
      <c r="G667" t="s">
        <v>93</v>
      </c>
      <c r="H667">
        <v>4</v>
      </c>
      <c r="I667">
        <v>11</v>
      </c>
      <c r="J667">
        <v>2003</v>
      </c>
      <c r="K667" t="s">
        <v>265</v>
      </c>
      <c r="L667">
        <v>163</v>
      </c>
      <c r="M667" t="s">
        <v>757</v>
      </c>
      <c r="N667" t="s">
        <v>576</v>
      </c>
      <c r="O667" t="s">
        <v>577</v>
      </c>
      <c r="P667" t="s">
        <v>578</v>
      </c>
      <c r="R667" t="s">
        <v>579</v>
      </c>
      <c r="T667">
        <v>42100</v>
      </c>
      <c r="U667" t="s">
        <v>352</v>
      </c>
      <c r="V667" t="s">
        <v>110</v>
      </c>
      <c r="W667" t="s">
        <v>580</v>
      </c>
      <c r="X667" t="s">
        <v>581</v>
      </c>
      <c r="Y667" t="s">
        <v>119</v>
      </c>
    </row>
    <row r="668" spans="1:25">
      <c r="A668">
        <v>10184</v>
      </c>
      <c r="B668">
        <v>46</v>
      </c>
      <c r="C668">
        <v>100</v>
      </c>
      <c r="D668">
        <v>5</v>
      </c>
      <c r="E668">
        <v>7381.16</v>
      </c>
      <c r="F668" t="s">
        <v>451</v>
      </c>
      <c r="G668" t="s">
        <v>93</v>
      </c>
      <c r="H668">
        <v>4</v>
      </c>
      <c r="I668">
        <v>11</v>
      </c>
      <c r="J668">
        <v>2003</v>
      </c>
      <c r="K668" t="s">
        <v>265</v>
      </c>
      <c r="L668">
        <v>163</v>
      </c>
      <c r="M668" t="s">
        <v>757</v>
      </c>
      <c r="N668" t="s">
        <v>662</v>
      </c>
      <c r="O668" t="s">
        <v>663</v>
      </c>
      <c r="P668" t="s">
        <v>664</v>
      </c>
      <c r="R668" t="s">
        <v>665</v>
      </c>
      <c r="T668">
        <v>41101</v>
      </c>
      <c r="U668" t="s">
        <v>261</v>
      </c>
      <c r="V668" t="s">
        <v>110</v>
      </c>
      <c r="W668" t="s">
        <v>666</v>
      </c>
      <c r="X668" t="s">
        <v>667</v>
      </c>
      <c r="Y668" t="s">
        <v>232</v>
      </c>
    </row>
    <row r="669" spans="1:25">
      <c r="A669">
        <v>10195</v>
      </c>
      <c r="B669">
        <v>27</v>
      </c>
      <c r="C669">
        <v>100</v>
      </c>
      <c r="D669">
        <v>5</v>
      </c>
      <c r="E669">
        <v>5128.1099999999997</v>
      </c>
      <c r="F669" t="s">
        <v>309</v>
      </c>
      <c r="G669" t="s">
        <v>93</v>
      </c>
      <c r="H669">
        <v>4</v>
      </c>
      <c r="I669">
        <v>11</v>
      </c>
      <c r="J669">
        <v>2003</v>
      </c>
      <c r="K669" t="s">
        <v>265</v>
      </c>
      <c r="L669">
        <v>163</v>
      </c>
      <c r="M669" t="s">
        <v>757</v>
      </c>
      <c r="N669" t="s">
        <v>419</v>
      </c>
      <c r="O669">
        <v>9145554562</v>
      </c>
      <c r="P669" t="s">
        <v>420</v>
      </c>
      <c r="R669" t="s">
        <v>421</v>
      </c>
      <c r="S669" t="s">
        <v>99</v>
      </c>
      <c r="T669">
        <v>24067</v>
      </c>
      <c r="U669" t="s">
        <v>100</v>
      </c>
      <c r="V669" t="s">
        <v>101</v>
      </c>
      <c r="W669" t="s">
        <v>175</v>
      </c>
      <c r="X669" t="s">
        <v>329</v>
      </c>
      <c r="Y669" t="s">
        <v>119</v>
      </c>
    </row>
    <row r="670" spans="1:25">
      <c r="A670">
        <v>10207</v>
      </c>
      <c r="B670">
        <v>44</v>
      </c>
      <c r="C670">
        <v>100</v>
      </c>
      <c r="D670">
        <v>6</v>
      </c>
      <c r="E670">
        <v>7060.24</v>
      </c>
      <c r="F670" s="4">
        <v>37876</v>
      </c>
      <c r="G670" t="s">
        <v>93</v>
      </c>
      <c r="H670">
        <v>4</v>
      </c>
      <c r="I670">
        <v>12</v>
      </c>
      <c r="J670">
        <v>2003</v>
      </c>
      <c r="K670" t="s">
        <v>265</v>
      </c>
      <c r="L670">
        <v>163</v>
      </c>
      <c r="M670" t="s">
        <v>757</v>
      </c>
      <c r="N670" t="s">
        <v>533</v>
      </c>
      <c r="O670">
        <v>6175552555</v>
      </c>
      <c r="P670" t="s">
        <v>534</v>
      </c>
      <c r="R670" t="s">
        <v>492</v>
      </c>
      <c r="S670" t="s">
        <v>200</v>
      </c>
      <c r="T670">
        <v>51003</v>
      </c>
      <c r="U670" t="s">
        <v>100</v>
      </c>
      <c r="V670" t="s">
        <v>101</v>
      </c>
      <c r="W670" t="s">
        <v>535</v>
      </c>
      <c r="X670" t="s">
        <v>371</v>
      </c>
      <c r="Y670" t="s">
        <v>232</v>
      </c>
    </row>
    <row r="671" spans="1:25">
      <c r="A671">
        <v>10219</v>
      </c>
      <c r="B671">
        <v>43</v>
      </c>
      <c r="C671">
        <v>100</v>
      </c>
      <c r="D671">
        <v>1</v>
      </c>
      <c r="E671">
        <v>8448.64</v>
      </c>
      <c r="F671" s="4">
        <v>38262</v>
      </c>
      <c r="G671" t="s">
        <v>93</v>
      </c>
      <c r="H671">
        <v>1</v>
      </c>
      <c r="I671">
        <v>2</v>
      </c>
      <c r="J671">
        <v>2004</v>
      </c>
      <c r="K671" t="s">
        <v>265</v>
      </c>
      <c r="L671">
        <v>163</v>
      </c>
      <c r="M671" t="s">
        <v>757</v>
      </c>
      <c r="N671" t="s">
        <v>668</v>
      </c>
      <c r="O671">
        <v>4155554312</v>
      </c>
      <c r="P671" t="s">
        <v>669</v>
      </c>
      <c r="R671" t="s">
        <v>670</v>
      </c>
      <c r="S671" t="s">
        <v>124</v>
      </c>
      <c r="T671">
        <v>94217</v>
      </c>
      <c r="U671" t="s">
        <v>100</v>
      </c>
      <c r="V671" t="s">
        <v>101</v>
      </c>
      <c r="W671" t="s">
        <v>671</v>
      </c>
      <c r="X671" t="s">
        <v>517</v>
      </c>
      <c r="Y671" t="s">
        <v>232</v>
      </c>
    </row>
    <row r="672" spans="1:25">
      <c r="A672">
        <v>10230</v>
      </c>
      <c r="B672">
        <v>49</v>
      </c>
      <c r="C672">
        <v>100</v>
      </c>
      <c r="D672">
        <v>8</v>
      </c>
      <c r="E672">
        <v>7300.51</v>
      </c>
      <c r="F672" t="s">
        <v>650</v>
      </c>
      <c r="G672" t="s">
        <v>93</v>
      </c>
      <c r="H672">
        <v>1</v>
      </c>
      <c r="I672">
        <v>3</v>
      </c>
      <c r="J672">
        <v>2004</v>
      </c>
      <c r="K672" t="s">
        <v>265</v>
      </c>
      <c r="L672">
        <v>163</v>
      </c>
      <c r="M672" t="s">
        <v>757</v>
      </c>
      <c r="N672" t="s">
        <v>587</v>
      </c>
      <c r="O672" t="s">
        <v>588</v>
      </c>
      <c r="P672" t="s">
        <v>589</v>
      </c>
      <c r="R672" t="s">
        <v>590</v>
      </c>
      <c r="T672">
        <v>60528</v>
      </c>
      <c r="U672" t="s">
        <v>566</v>
      </c>
      <c r="V672" t="s">
        <v>110</v>
      </c>
      <c r="W672" t="s">
        <v>591</v>
      </c>
      <c r="X672" t="s">
        <v>532</v>
      </c>
      <c r="Y672" t="s">
        <v>232</v>
      </c>
    </row>
    <row r="673" spans="1:25">
      <c r="A673">
        <v>10246</v>
      </c>
      <c r="B673">
        <v>40</v>
      </c>
      <c r="C673">
        <v>100</v>
      </c>
      <c r="D673">
        <v>4</v>
      </c>
      <c r="E673">
        <v>6549.2</v>
      </c>
      <c r="F673" s="4">
        <v>38112</v>
      </c>
      <c r="G673" t="s">
        <v>93</v>
      </c>
      <c r="H673">
        <v>2</v>
      </c>
      <c r="I673">
        <v>5</v>
      </c>
      <c r="J673">
        <v>2004</v>
      </c>
      <c r="K673" t="s">
        <v>265</v>
      </c>
      <c r="L673">
        <v>163</v>
      </c>
      <c r="M673" t="s">
        <v>757</v>
      </c>
      <c r="N673" t="s">
        <v>257</v>
      </c>
      <c r="O673" t="s">
        <v>258</v>
      </c>
      <c r="P673" t="s">
        <v>259</v>
      </c>
      <c r="R673" t="s">
        <v>260</v>
      </c>
      <c r="T673">
        <v>28034</v>
      </c>
      <c r="U673" t="s">
        <v>261</v>
      </c>
      <c r="V673" t="s">
        <v>110</v>
      </c>
      <c r="W673" t="s">
        <v>262</v>
      </c>
      <c r="X673" t="s">
        <v>263</v>
      </c>
      <c r="Y673" t="s">
        <v>119</v>
      </c>
    </row>
    <row r="674" spans="1:25">
      <c r="A674">
        <v>10259</v>
      </c>
      <c r="B674">
        <v>30</v>
      </c>
      <c r="C674">
        <v>100</v>
      </c>
      <c r="D674">
        <v>3</v>
      </c>
      <c r="E674">
        <v>5697.9</v>
      </c>
      <c r="F674" t="s">
        <v>337</v>
      </c>
      <c r="G674" t="s">
        <v>93</v>
      </c>
      <c r="H674">
        <v>2</v>
      </c>
      <c r="I674">
        <v>6</v>
      </c>
      <c r="J674">
        <v>2004</v>
      </c>
      <c r="K674" t="s">
        <v>265</v>
      </c>
      <c r="L674">
        <v>163</v>
      </c>
      <c r="M674" t="s">
        <v>757</v>
      </c>
      <c r="N674" t="s">
        <v>536</v>
      </c>
      <c r="O674" t="s">
        <v>537</v>
      </c>
      <c r="P674" t="s">
        <v>538</v>
      </c>
      <c r="Q674" t="s">
        <v>539</v>
      </c>
      <c r="R674" t="s">
        <v>287</v>
      </c>
      <c r="T674">
        <v>69045</v>
      </c>
      <c r="U674" t="s">
        <v>287</v>
      </c>
      <c r="V674" t="s">
        <v>169</v>
      </c>
      <c r="W674" t="s">
        <v>540</v>
      </c>
      <c r="X674" t="s">
        <v>541</v>
      </c>
      <c r="Y674" t="s">
        <v>119</v>
      </c>
    </row>
    <row r="675" spans="1:25">
      <c r="A675">
        <v>10271</v>
      </c>
      <c r="B675">
        <v>50</v>
      </c>
      <c r="C675">
        <v>100</v>
      </c>
      <c r="D675">
        <v>4</v>
      </c>
      <c r="E675">
        <v>9169</v>
      </c>
      <c r="F675" t="s">
        <v>623</v>
      </c>
      <c r="G675" t="s">
        <v>93</v>
      </c>
      <c r="H675">
        <v>3</v>
      </c>
      <c r="I675">
        <v>7</v>
      </c>
      <c r="J675">
        <v>2004</v>
      </c>
      <c r="K675" t="s">
        <v>265</v>
      </c>
      <c r="L675">
        <v>163</v>
      </c>
      <c r="M675" t="s">
        <v>757</v>
      </c>
      <c r="N675" t="s">
        <v>367</v>
      </c>
      <c r="O675">
        <v>4155551450</v>
      </c>
      <c r="P675" t="s">
        <v>368</v>
      </c>
      <c r="R675" t="s">
        <v>369</v>
      </c>
      <c r="S675" t="s">
        <v>124</v>
      </c>
      <c r="T675">
        <v>97562</v>
      </c>
      <c r="U675" t="s">
        <v>100</v>
      </c>
      <c r="V675" t="s">
        <v>101</v>
      </c>
      <c r="W675" t="s">
        <v>370</v>
      </c>
      <c r="X675" t="s">
        <v>371</v>
      </c>
      <c r="Y675" t="s">
        <v>232</v>
      </c>
    </row>
    <row r="676" spans="1:25">
      <c r="A676">
        <v>10282</v>
      </c>
      <c r="B676">
        <v>23</v>
      </c>
      <c r="C676">
        <v>100</v>
      </c>
      <c r="D676">
        <v>13</v>
      </c>
      <c r="E676">
        <v>3238.63</v>
      </c>
      <c r="F676" t="s">
        <v>483</v>
      </c>
      <c r="G676" t="s">
        <v>93</v>
      </c>
      <c r="H676">
        <v>3</v>
      </c>
      <c r="I676">
        <v>8</v>
      </c>
      <c r="J676">
        <v>2004</v>
      </c>
      <c r="K676" t="s">
        <v>265</v>
      </c>
      <c r="L676">
        <v>163</v>
      </c>
      <c r="M676" t="s">
        <v>757</v>
      </c>
      <c r="N676" t="s">
        <v>367</v>
      </c>
      <c r="O676">
        <v>4155551450</v>
      </c>
      <c r="P676" t="s">
        <v>368</v>
      </c>
      <c r="R676" t="s">
        <v>369</v>
      </c>
      <c r="S676" t="s">
        <v>124</v>
      </c>
      <c r="T676">
        <v>97562</v>
      </c>
      <c r="U676" t="s">
        <v>100</v>
      </c>
      <c r="V676" t="s">
        <v>101</v>
      </c>
      <c r="W676" t="s">
        <v>370</v>
      </c>
      <c r="X676" t="s">
        <v>371</v>
      </c>
      <c r="Y676" t="s">
        <v>119</v>
      </c>
    </row>
    <row r="677" spans="1:25">
      <c r="A677">
        <v>10292</v>
      </c>
      <c r="B677">
        <v>26</v>
      </c>
      <c r="C677">
        <v>100</v>
      </c>
      <c r="D677">
        <v>7</v>
      </c>
      <c r="E677">
        <v>4554.9399999999996</v>
      </c>
      <c r="F677" s="4">
        <v>38208</v>
      </c>
      <c r="G677" t="s">
        <v>93</v>
      </c>
      <c r="H677">
        <v>3</v>
      </c>
      <c r="I677">
        <v>9</v>
      </c>
      <c r="J677">
        <v>2004</v>
      </c>
      <c r="K677" t="s">
        <v>265</v>
      </c>
      <c r="L677">
        <v>163</v>
      </c>
      <c r="M677" t="s">
        <v>757</v>
      </c>
      <c r="N677" t="s">
        <v>96</v>
      </c>
      <c r="O677">
        <v>2125557818</v>
      </c>
      <c r="P677" t="s">
        <v>97</v>
      </c>
      <c r="R677" t="s">
        <v>98</v>
      </c>
      <c r="S677" t="s">
        <v>99</v>
      </c>
      <c r="T677">
        <v>10022</v>
      </c>
      <c r="U677" t="s">
        <v>100</v>
      </c>
      <c r="V677" t="s">
        <v>101</v>
      </c>
      <c r="W677" t="s">
        <v>102</v>
      </c>
      <c r="X677" t="s">
        <v>103</v>
      </c>
      <c r="Y677" t="s">
        <v>119</v>
      </c>
    </row>
    <row r="678" spans="1:25">
      <c r="A678">
        <v>10305</v>
      </c>
      <c r="B678">
        <v>27</v>
      </c>
      <c r="C678">
        <v>100</v>
      </c>
      <c r="D678">
        <v>4</v>
      </c>
      <c r="E678">
        <v>3934.44</v>
      </c>
      <c r="F678" t="s">
        <v>543</v>
      </c>
      <c r="G678" t="s">
        <v>93</v>
      </c>
      <c r="H678">
        <v>4</v>
      </c>
      <c r="I678">
        <v>10</v>
      </c>
      <c r="J678">
        <v>2004</v>
      </c>
      <c r="K678" t="s">
        <v>265</v>
      </c>
      <c r="L678">
        <v>163</v>
      </c>
      <c r="M678" t="s">
        <v>757</v>
      </c>
      <c r="N678" t="s">
        <v>197</v>
      </c>
      <c r="O678">
        <v>6175558555</v>
      </c>
      <c r="P678" t="s">
        <v>198</v>
      </c>
      <c r="R678" t="s">
        <v>199</v>
      </c>
      <c r="S678" t="s">
        <v>200</v>
      </c>
      <c r="T678">
        <v>51247</v>
      </c>
      <c r="U678" t="s">
        <v>100</v>
      </c>
      <c r="V678" t="s">
        <v>101</v>
      </c>
      <c r="W678" t="s">
        <v>201</v>
      </c>
      <c r="X678" t="s">
        <v>202</v>
      </c>
      <c r="Y678" t="s">
        <v>119</v>
      </c>
    </row>
    <row r="679" spans="1:25">
      <c r="A679">
        <v>10314</v>
      </c>
      <c r="B679">
        <v>42</v>
      </c>
      <c r="C679">
        <v>100</v>
      </c>
      <c r="D679">
        <v>13</v>
      </c>
      <c r="E679">
        <v>5776.26</v>
      </c>
      <c r="F679" t="s">
        <v>544</v>
      </c>
      <c r="G679" t="s">
        <v>93</v>
      </c>
      <c r="H679">
        <v>4</v>
      </c>
      <c r="I679">
        <v>10</v>
      </c>
      <c r="J679">
        <v>2004</v>
      </c>
      <c r="K679" t="s">
        <v>265</v>
      </c>
      <c r="L679">
        <v>163</v>
      </c>
      <c r="M679" t="s">
        <v>757</v>
      </c>
      <c r="N679" t="s">
        <v>630</v>
      </c>
      <c r="O679" t="s">
        <v>631</v>
      </c>
      <c r="P679" t="s">
        <v>632</v>
      </c>
      <c r="R679" t="s">
        <v>633</v>
      </c>
      <c r="T679">
        <v>8200</v>
      </c>
      <c r="U679" t="s">
        <v>429</v>
      </c>
      <c r="V679" t="s">
        <v>110</v>
      </c>
      <c r="W679" t="s">
        <v>634</v>
      </c>
      <c r="X679" t="s">
        <v>635</v>
      </c>
      <c r="Y679" t="s">
        <v>119</v>
      </c>
    </row>
    <row r="680" spans="1:25">
      <c r="A680">
        <v>10324</v>
      </c>
      <c r="B680">
        <v>47</v>
      </c>
      <c r="C680">
        <v>100</v>
      </c>
      <c r="D680">
        <v>8</v>
      </c>
      <c r="E680">
        <v>7207.45</v>
      </c>
      <c r="F680" s="4">
        <v>38118</v>
      </c>
      <c r="G680" t="s">
        <v>93</v>
      </c>
      <c r="H680">
        <v>4</v>
      </c>
      <c r="I680">
        <v>11</v>
      </c>
      <c r="J680">
        <v>2004</v>
      </c>
      <c r="K680" t="s">
        <v>265</v>
      </c>
      <c r="L680">
        <v>163</v>
      </c>
      <c r="M680" t="s">
        <v>757</v>
      </c>
      <c r="N680" t="s">
        <v>172</v>
      </c>
      <c r="O680">
        <v>2125551500</v>
      </c>
      <c r="P680" t="s">
        <v>173</v>
      </c>
      <c r="Q680" t="s">
        <v>174</v>
      </c>
      <c r="R680" t="s">
        <v>98</v>
      </c>
      <c r="S680" t="s">
        <v>99</v>
      </c>
      <c r="T680">
        <v>10022</v>
      </c>
      <c r="U680" t="s">
        <v>100</v>
      </c>
      <c r="V680" t="s">
        <v>101</v>
      </c>
      <c r="W680" t="s">
        <v>175</v>
      </c>
      <c r="X680" t="s">
        <v>176</v>
      </c>
      <c r="Y680" t="s">
        <v>232</v>
      </c>
    </row>
    <row r="681" spans="1:25">
      <c r="A681">
        <v>10336</v>
      </c>
      <c r="B681">
        <v>49</v>
      </c>
      <c r="C681">
        <v>100</v>
      </c>
      <c r="D681">
        <v>6</v>
      </c>
      <c r="E681">
        <v>7460.74</v>
      </c>
      <c r="F681" t="s">
        <v>636</v>
      </c>
      <c r="G681" t="s">
        <v>93</v>
      </c>
      <c r="H681">
        <v>4</v>
      </c>
      <c r="I681">
        <v>11</v>
      </c>
      <c r="J681">
        <v>2004</v>
      </c>
      <c r="K681" t="s">
        <v>265</v>
      </c>
      <c r="L681">
        <v>163</v>
      </c>
      <c r="M681" t="s">
        <v>757</v>
      </c>
      <c r="N681" t="s">
        <v>520</v>
      </c>
      <c r="O681" t="s">
        <v>521</v>
      </c>
      <c r="P681" t="s">
        <v>522</v>
      </c>
      <c r="R681" t="s">
        <v>116</v>
      </c>
      <c r="T681">
        <v>75012</v>
      </c>
      <c r="U681" t="s">
        <v>109</v>
      </c>
      <c r="V681" t="s">
        <v>110</v>
      </c>
      <c r="W681" t="s">
        <v>523</v>
      </c>
      <c r="X681" t="s">
        <v>524</v>
      </c>
      <c r="Y681" t="s">
        <v>232</v>
      </c>
    </row>
    <row r="682" spans="1:25">
      <c r="A682">
        <v>10349</v>
      </c>
      <c r="B682">
        <v>38</v>
      </c>
      <c r="C682">
        <v>100</v>
      </c>
      <c r="D682">
        <v>8</v>
      </c>
      <c r="E682">
        <v>6719.54</v>
      </c>
      <c r="F682" s="4">
        <v>37998</v>
      </c>
      <c r="G682" t="s">
        <v>93</v>
      </c>
      <c r="H682">
        <v>4</v>
      </c>
      <c r="I682">
        <v>12</v>
      </c>
      <c r="J682">
        <v>2004</v>
      </c>
      <c r="K682" t="s">
        <v>265</v>
      </c>
      <c r="L682">
        <v>163</v>
      </c>
      <c r="M682" t="s">
        <v>757</v>
      </c>
      <c r="N682" t="s">
        <v>603</v>
      </c>
      <c r="O682">
        <v>2125557413</v>
      </c>
      <c r="P682" t="s">
        <v>604</v>
      </c>
      <c r="Q682" t="s">
        <v>605</v>
      </c>
      <c r="R682" t="s">
        <v>98</v>
      </c>
      <c r="S682" t="s">
        <v>99</v>
      </c>
      <c r="T682">
        <v>10022</v>
      </c>
      <c r="U682" t="s">
        <v>100</v>
      </c>
      <c r="V682" t="s">
        <v>101</v>
      </c>
      <c r="W682" t="s">
        <v>125</v>
      </c>
      <c r="X682" t="s">
        <v>606</v>
      </c>
      <c r="Y682" t="s">
        <v>119</v>
      </c>
    </row>
    <row r="683" spans="1:25">
      <c r="A683">
        <v>10358</v>
      </c>
      <c r="B683">
        <v>20</v>
      </c>
      <c r="C683">
        <v>100</v>
      </c>
      <c r="D683">
        <v>10</v>
      </c>
      <c r="E683">
        <v>2428</v>
      </c>
      <c r="F683" s="4">
        <v>38272</v>
      </c>
      <c r="G683" t="s">
        <v>93</v>
      </c>
      <c r="H683">
        <v>4</v>
      </c>
      <c r="I683">
        <v>12</v>
      </c>
      <c r="J683">
        <v>2004</v>
      </c>
      <c r="K683" t="s">
        <v>265</v>
      </c>
      <c r="L683">
        <v>163</v>
      </c>
      <c r="M683" t="s">
        <v>757</v>
      </c>
      <c r="N683" t="s">
        <v>257</v>
      </c>
      <c r="O683" t="s">
        <v>258</v>
      </c>
      <c r="P683" t="s">
        <v>259</v>
      </c>
      <c r="R683" t="s">
        <v>260</v>
      </c>
      <c r="T683">
        <v>28034</v>
      </c>
      <c r="U683" t="s">
        <v>261</v>
      </c>
      <c r="V683" t="s">
        <v>110</v>
      </c>
      <c r="W683" t="s">
        <v>262</v>
      </c>
      <c r="X683" t="s">
        <v>263</v>
      </c>
      <c r="Y683" t="s">
        <v>104</v>
      </c>
    </row>
    <row r="684" spans="1:25">
      <c r="A684">
        <v>10371</v>
      </c>
      <c r="B684">
        <v>25</v>
      </c>
      <c r="C684">
        <v>100</v>
      </c>
      <c r="D684">
        <v>7</v>
      </c>
      <c r="E684">
        <v>2602.25</v>
      </c>
      <c r="F684" t="s">
        <v>637</v>
      </c>
      <c r="G684" t="s">
        <v>93</v>
      </c>
      <c r="H684">
        <v>1</v>
      </c>
      <c r="I684">
        <v>1</v>
      </c>
      <c r="J684">
        <v>2005</v>
      </c>
      <c r="K684" t="s">
        <v>265</v>
      </c>
      <c r="L684">
        <v>163</v>
      </c>
      <c r="M684" t="s">
        <v>757</v>
      </c>
      <c r="N684" t="s">
        <v>367</v>
      </c>
      <c r="O684">
        <v>4155551450</v>
      </c>
      <c r="P684" t="s">
        <v>368</v>
      </c>
      <c r="R684" t="s">
        <v>369</v>
      </c>
      <c r="S684" t="s">
        <v>124</v>
      </c>
      <c r="T684">
        <v>97562</v>
      </c>
      <c r="U684" t="s">
        <v>100</v>
      </c>
      <c r="V684" t="s">
        <v>101</v>
      </c>
      <c r="W684" t="s">
        <v>370</v>
      </c>
      <c r="X684" t="s">
        <v>371</v>
      </c>
      <c r="Y684" t="s">
        <v>104</v>
      </c>
    </row>
    <row r="685" spans="1:25">
      <c r="A685">
        <v>10382</v>
      </c>
      <c r="B685">
        <v>25</v>
      </c>
      <c r="C685">
        <v>88</v>
      </c>
      <c r="D685">
        <v>5</v>
      </c>
      <c r="E685">
        <v>2200</v>
      </c>
      <c r="F685" t="s">
        <v>383</v>
      </c>
      <c r="G685" t="s">
        <v>93</v>
      </c>
      <c r="H685">
        <v>1</v>
      </c>
      <c r="I685">
        <v>2</v>
      </c>
      <c r="J685">
        <v>2005</v>
      </c>
      <c r="K685" t="s">
        <v>265</v>
      </c>
      <c r="L685">
        <v>163</v>
      </c>
      <c r="M685" t="s">
        <v>757</v>
      </c>
      <c r="N685" t="s">
        <v>367</v>
      </c>
      <c r="O685">
        <v>4155551450</v>
      </c>
      <c r="P685" t="s">
        <v>368</v>
      </c>
      <c r="R685" t="s">
        <v>369</v>
      </c>
      <c r="S685" t="s">
        <v>124</v>
      </c>
      <c r="T685">
        <v>97562</v>
      </c>
      <c r="U685" t="s">
        <v>100</v>
      </c>
      <c r="V685" t="s">
        <v>101</v>
      </c>
      <c r="W685" t="s">
        <v>370</v>
      </c>
      <c r="X685" t="s">
        <v>371</v>
      </c>
      <c r="Y685" t="s">
        <v>104</v>
      </c>
    </row>
    <row r="686" spans="1:25">
      <c r="A686">
        <v>10412</v>
      </c>
      <c r="B686">
        <v>41</v>
      </c>
      <c r="C686">
        <v>100</v>
      </c>
      <c r="D686">
        <v>4</v>
      </c>
      <c r="E686">
        <v>6712.93</v>
      </c>
      <c r="F686" s="4">
        <v>38416</v>
      </c>
      <c r="G686" t="s">
        <v>93</v>
      </c>
      <c r="H686">
        <v>2</v>
      </c>
      <c r="I686">
        <v>5</v>
      </c>
      <c r="J686">
        <v>2005</v>
      </c>
      <c r="K686" t="s">
        <v>265</v>
      </c>
      <c r="L686">
        <v>163</v>
      </c>
      <c r="M686" t="s">
        <v>757</v>
      </c>
      <c r="N686" t="s">
        <v>257</v>
      </c>
      <c r="O686" t="s">
        <v>258</v>
      </c>
      <c r="P686" t="s">
        <v>259</v>
      </c>
      <c r="R686" t="s">
        <v>260</v>
      </c>
      <c r="T686">
        <v>28034</v>
      </c>
      <c r="U686" t="s">
        <v>261</v>
      </c>
      <c r="V686" t="s">
        <v>110</v>
      </c>
      <c r="W686" t="s">
        <v>262</v>
      </c>
      <c r="X686" t="s">
        <v>263</v>
      </c>
      <c r="Y686" t="s">
        <v>119</v>
      </c>
    </row>
    <row r="687" spans="1:25">
      <c r="A687">
        <v>10425</v>
      </c>
      <c r="B687">
        <v>28</v>
      </c>
      <c r="C687">
        <v>100</v>
      </c>
      <c r="D687">
        <v>3</v>
      </c>
      <c r="E687">
        <v>5318.04</v>
      </c>
      <c r="F687" t="s">
        <v>399</v>
      </c>
      <c r="G687" t="s">
        <v>400</v>
      </c>
      <c r="H687">
        <v>2</v>
      </c>
      <c r="I687">
        <v>5</v>
      </c>
      <c r="J687">
        <v>2005</v>
      </c>
      <c r="K687" t="s">
        <v>265</v>
      </c>
      <c r="L687">
        <v>163</v>
      </c>
      <c r="M687" t="s">
        <v>757</v>
      </c>
      <c r="N687" t="s">
        <v>190</v>
      </c>
      <c r="O687" t="s">
        <v>191</v>
      </c>
      <c r="P687" t="s">
        <v>192</v>
      </c>
      <c r="R687" t="s">
        <v>193</v>
      </c>
      <c r="T687">
        <v>44000</v>
      </c>
      <c r="U687" t="s">
        <v>109</v>
      </c>
      <c r="V687" t="s">
        <v>110</v>
      </c>
      <c r="W687" t="s">
        <v>194</v>
      </c>
      <c r="X687" t="s">
        <v>195</v>
      </c>
      <c r="Y687" t="s">
        <v>119</v>
      </c>
    </row>
    <row r="688" spans="1:25">
      <c r="A688">
        <v>10100</v>
      </c>
      <c r="B688">
        <v>50</v>
      </c>
      <c r="C688">
        <v>67.8</v>
      </c>
      <c r="D688">
        <v>2</v>
      </c>
      <c r="E688">
        <v>3390</v>
      </c>
      <c r="F688" s="4">
        <v>37773</v>
      </c>
      <c r="G688" t="s">
        <v>93</v>
      </c>
      <c r="H688">
        <v>1</v>
      </c>
      <c r="I688">
        <v>1</v>
      </c>
      <c r="J688">
        <v>2003</v>
      </c>
      <c r="K688" t="s">
        <v>697</v>
      </c>
      <c r="L688">
        <v>60</v>
      </c>
      <c r="M688" t="s">
        <v>758</v>
      </c>
      <c r="N688" t="s">
        <v>372</v>
      </c>
      <c r="O688">
        <v>6035558647</v>
      </c>
      <c r="P688" t="s">
        <v>373</v>
      </c>
      <c r="R688" t="s">
        <v>374</v>
      </c>
      <c r="S688" t="s">
        <v>375</v>
      </c>
      <c r="T688">
        <v>62005</v>
      </c>
      <c r="U688" t="s">
        <v>100</v>
      </c>
      <c r="V688" t="s">
        <v>101</v>
      </c>
      <c r="W688" t="s">
        <v>125</v>
      </c>
      <c r="X688" t="s">
        <v>371</v>
      </c>
      <c r="Y688" t="s">
        <v>119</v>
      </c>
    </row>
    <row r="689" spans="1:25">
      <c r="A689">
        <v>10110</v>
      </c>
      <c r="B689">
        <v>32</v>
      </c>
      <c r="C689">
        <v>50.25</v>
      </c>
      <c r="D689">
        <v>6</v>
      </c>
      <c r="E689">
        <v>1608</v>
      </c>
      <c r="F689" t="s">
        <v>720</v>
      </c>
      <c r="G689" t="s">
        <v>93</v>
      </c>
      <c r="H689">
        <v>1</v>
      </c>
      <c r="I689">
        <v>3</v>
      </c>
      <c r="J689">
        <v>2003</v>
      </c>
      <c r="K689" t="s">
        <v>697</v>
      </c>
      <c r="L689">
        <v>60</v>
      </c>
      <c r="M689" t="s">
        <v>758</v>
      </c>
      <c r="N689" t="s">
        <v>624</v>
      </c>
      <c r="O689" t="s">
        <v>625</v>
      </c>
      <c r="P689" t="s">
        <v>626</v>
      </c>
      <c r="R689" t="s">
        <v>627</v>
      </c>
      <c r="T689" t="s">
        <v>628</v>
      </c>
      <c r="U689" t="s">
        <v>252</v>
      </c>
      <c r="V689" t="s">
        <v>110</v>
      </c>
      <c r="W689" t="s">
        <v>629</v>
      </c>
      <c r="X689" t="s">
        <v>167</v>
      </c>
      <c r="Y689" t="s">
        <v>104</v>
      </c>
    </row>
    <row r="690" spans="1:25">
      <c r="A690">
        <v>10124</v>
      </c>
      <c r="B690">
        <v>42</v>
      </c>
      <c r="C690">
        <v>53.88</v>
      </c>
      <c r="D690">
        <v>5</v>
      </c>
      <c r="E690">
        <v>2262.96</v>
      </c>
      <c r="F690" t="s">
        <v>700</v>
      </c>
      <c r="G690" t="s">
        <v>93</v>
      </c>
      <c r="H690">
        <v>2</v>
      </c>
      <c r="I690">
        <v>5</v>
      </c>
      <c r="J690">
        <v>2003</v>
      </c>
      <c r="K690" t="s">
        <v>697</v>
      </c>
      <c r="L690">
        <v>60</v>
      </c>
      <c r="M690" t="s">
        <v>758</v>
      </c>
      <c r="N690" t="s">
        <v>684</v>
      </c>
      <c r="O690">
        <v>7025551838</v>
      </c>
      <c r="P690" t="s">
        <v>685</v>
      </c>
      <c r="R690" t="s">
        <v>686</v>
      </c>
      <c r="S690" t="s">
        <v>687</v>
      </c>
      <c r="T690">
        <v>83030</v>
      </c>
      <c r="U690" t="s">
        <v>100</v>
      </c>
      <c r="V690" t="s">
        <v>101</v>
      </c>
      <c r="W690" t="s">
        <v>188</v>
      </c>
      <c r="X690" t="s">
        <v>517</v>
      </c>
      <c r="Y690" t="s">
        <v>104</v>
      </c>
    </row>
    <row r="691" spans="1:25">
      <c r="A691">
        <v>10149</v>
      </c>
      <c r="B691">
        <v>24</v>
      </c>
      <c r="C691">
        <v>62.36</v>
      </c>
      <c r="D691">
        <v>10</v>
      </c>
      <c r="E691">
        <v>1496.64</v>
      </c>
      <c r="F691" s="4">
        <v>37964</v>
      </c>
      <c r="G691" t="s">
        <v>93</v>
      </c>
      <c r="H691">
        <v>3</v>
      </c>
      <c r="I691">
        <v>9</v>
      </c>
      <c r="J691">
        <v>2003</v>
      </c>
      <c r="K691" t="s">
        <v>697</v>
      </c>
      <c r="L691">
        <v>60</v>
      </c>
      <c r="M691" t="s">
        <v>758</v>
      </c>
      <c r="N691" t="s">
        <v>668</v>
      </c>
      <c r="O691">
        <v>4155554312</v>
      </c>
      <c r="P691" t="s">
        <v>669</v>
      </c>
      <c r="R691" t="s">
        <v>670</v>
      </c>
      <c r="S691" t="s">
        <v>124</v>
      </c>
      <c r="T691">
        <v>94217</v>
      </c>
      <c r="U691" t="s">
        <v>100</v>
      </c>
      <c r="V691" t="s">
        <v>101</v>
      </c>
      <c r="W691" t="s">
        <v>671</v>
      </c>
      <c r="X691" t="s">
        <v>517</v>
      </c>
      <c r="Y691" t="s">
        <v>104</v>
      </c>
    </row>
    <row r="692" spans="1:25">
      <c r="A692">
        <v>10162</v>
      </c>
      <c r="B692">
        <v>27</v>
      </c>
      <c r="C692">
        <v>69.62</v>
      </c>
      <c r="D692">
        <v>8</v>
      </c>
      <c r="E692">
        <v>1879.74</v>
      </c>
      <c r="F692" t="s">
        <v>702</v>
      </c>
      <c r="G692" t="s">
        <v>93</v>
      </c>
      <c r="H692">
        <v>4</v>
      </c>
      <c r="I692">
        <v>10</v>
      </c>
      <c r="J692">
        <v>2003</v>
      </c>
      <c r="K692" t="s">
        <v>697</v>
      </c>
      <c r="L692">
        <v>60</v>
      </c>
      <c r="M692" t="s">
        <v>758</v>
      </c>
      <c r="N692" t="s">
        <v>127</v>
      </c>
      <c r="O692">
        <v>6505551386</v>
      </c>
      <c r="P692" t="s">
        <v>128</v>
      </c>
      <c r="R692" t="s">
        <v>129</v>
      </c>
      <c r="S692" t="s">
        <v>124</v>
      </c>
      <c r="U692" t="s">
        <v>100</v>
      </c>
      <c r="V692" t="s">
        <v>101</v>
      </c>
      <c r="W692" t="s">
        <v>130</v>
      </c>
      <c r="X692" t="s">
        <v>126</v>
      </c>
      <c r="Y692" t="s">
        <v>104</v>
      </c>
    </row>
    <row r="693" spans="1:25">
      <c r="A693">
        <v>10173</v>
      </c>
      <c r="B693">
        <v>26</v>
      </c>
      <c r="C693">
        <v>57.51</v>
      </c>
      <c r="D693">
        <v>12</v>
      </c>
      <c r="E693">
        <v>1495.26</v>
      </c>
      <c r="F693" s="4">
        <v>37752</v>
      </c>
      <c r="G693" t="s">
        <v>93</v>
      </c>
      <c r="H693">
        <v>4</v>
      </c>
      <c r="I693">
        <v>11</v>
      </c>
      <c r="J693">
        <v>2003</v>
      </c>
      <c r="K693" t="s">
        <v>697</v>
      </c>
      <c r="L693">
        <v>60</v>
      </c>
      <c r="M693" t="s">
        <v>758</v>
      </c>
      <c r="N693" t="s">
        <v>703</v>
      </c>
      <c r="O693" t="s">
        <v>704</v>
      </c>
      <c r="P693" t="s">
        <v>705</v>
      </c>
      <c r="R693" t="s">
        <v>706</v>
      </c>
      <c r="T693">
        <v>24100</v>
      </c>
      <c r="U693" t="s">
        <v>352</v>
      </c>
      <c r="V693" t="s">
        <v>110</v>
      </c>
      <c r="W693" t="s">
        <v>707</v>
      </c>
      <c r="X693" t="s">
        <v>708</v>
      </c>
      <c r="Y693" t="s">
        <v>104</v>
      </c>
    </row>
    <row r="694" spans="1:25">
      <c r="A694">
        <v>10182</v>
      </c>
      <c r="B694">
        <v>38</v>
      </c>
      <c r="C694">
        <v>61.15</v>
      </c>
      <c r="D694">
        <v>9</v>
      </c>
      <c r="E694">
        <v>2323.6999999999998</v>
      </c>
      <c r="F694" s="4">
        <v>37966</v>
      </c>
      <c r="G694" t="s">
        <v>93</v>
      </c>
      <c r="H694">
        <v>4</v>
      </c>
      <c r="I694">
        <v>11</v>
      </c>
      <c r="J694">
        <v>2003</v>
      </c>
      <c r="K694" t="s">
        <v>697</v>
      </c>
      <c r="L694">
        <v>60</v>
      </c>
      <c r="M694" t="s">
        <v>758</v>
      </c>
      <c r="N694" t="s">
        <v>367</v>
      </c>
      <c r="O694">
        <v>4155551450</v>
      </c>
      <c r="P694" t="s">
        <v>368</v>
      </c>
      <c r="R694" t="s">
        <v>369</v>
      </c>
      <c r="S694" t="s">
        <v>124</v>
      </c>
      <c r="T694">
        <v>97562</v>
      </c>
      <c r="U694" t="s">
        <v>100</v>
      </c>
      <c r="V694" t="s">
        <v>101</v>
      </c>
      <c r="W694" t="s">
        <v>370</v>
      </c>
      <c r="X694" t="s">
        <v>371</v>
      </c>
      <c r="Y694" t="s">
        <v>104</v>
      </c>
    </row>
    <row r="695" spans="1:25">
      <c r="A695">
        <v>10193</v>
      </c>
      <c r="B695">
        <v>42</v>
      </c>
      <c r="C695">
        <v>59.33</v>
      </c>
      <c r="D695">
        <v>13</v>
      </c>
      <c r="E695">
        <v>2491.86</v>
      </c>
      <c r="F695" t="s">
        <v>709</v>
      </c>
      <c r="G695" t="s">
        <v>93</v>
      </c>
      <c r="H695">
        <v>4</v>
      </c>
      <c r="I695">
        <v>11</v>
      </c>
      <c r="J695">
        <v>2003</v>
      </c>
      <c r="K695" t="s">
        <v>697</v>
      </c>
      <c r="L695">
        <v>60</v>
      </c>
      <c r="M695" t="s">
        <v>758</v>
      </c>
      <c r="N695" t="s">
        <v>710</v>
      </c>
      <c r="O695" t="s">
        <v>711</v>
      </c>
      <c r="P695" t="s">
        <v>712</v>
      </c>
      <c r="R695" t="s">
        <v>713</v>
      </c>
      <c r="S695" t="s">
        <v>167</v>
      </c>
      <c r="T695">
        <v>3150</v>
      </c>
      <c r="U695" t="s">
        <v>168</v>
      </c>
      <c r="V695" t="s">
        <v>169</v>
      </c>
      <c r="W695" t="s">
        <v>714</v>
      </c>
      <c r="X695" t="s">
        <v>715</v>
      </c>
      <c r="Y695" t="s">
        <v>104</v>
      </c>
    </row>
    <row r="696" spans="1:25">
      <c r="A696">
        <v>10204</v>
      </c>
      <c r="B696">
        <v>23</v>
      </c>
      <c r="C696">
        <v>71.44</v>
      </c>
      <c r="D696">
        <v>3</v>
      </c>
      <c r="E696">
        <v>1643.12</v>
      </c>
      <c r="F696" s="4">
        <v>37664</v>
      </c>
      <c r="G696" t="s">
        <v>93</v>
      </c>
      <c r="H696">
        <v>4</v>
      </c>
      <c r="I696">
        <v>12</v>
      </c>
      <c r="J696">
        <v>2003</v>
      </c>
      <c r="K696" t="s">
        <v>697</v>
      </c>
      <c r="L696">
        <v>60</v>
      </c>
      <c r="M696" t="s">
        <v>758</v>
      </c>
      <c r="N696" t="s">
        <v>603</v>
      </c>
      <c r="O696">
        <v>2125557413</v>
      </c>
      <c r="P696" t="s">
        <v>604</v>
      </c>
      <c r="Q696" t="s">
        <v>605</v>
      </c>
      <c r="R696" t="s">
        <v>98</v>
      </c>
      <c r="S696" t="s">
        <v>99</v>
      </c>
      <c r="T696">
        <v>10022</v>
      </c>
      <c r="U696" t="s">
        <v>100</v>
      </c>
      <c r="V696" t="s">
        <v>101</v>
      </c>
      <c r="W696" t="s">
        <v>125</v>
      </c>
      <c r="X696" t="s">
        <v>606</v>
      </c>
      <c r="Y696" t="s">
        <v>104</v>
      </c>
    </row>
    <row r="697" spans="1:25">
      <c r="A697">
        <v>10214</v>
      </c>
      <c r="B697">
        <v>21</v>
      </c>
      <c r="C697">
        <v>62.96</v>
      </c>
      <c r="D697">
        <v>6</v>
      </c>
      <c r="E697">
        <v>1322.16</v>
      </c>
      <c r="F697" t="s">
        <v>752</v>
      </c>
      <c r="G697" t="s">
        <v>93</v>
      </c>
      <c r="H697">
        <v>1</v>
      </c>
      <c r="I697">
        <v>1</v>
      </c>
      <c r="J697">
        <v>2004</v>
      </c>
      <c r="K697" t="s">
        <v>697</v>
      </c>
      <c r="L697">
        <v>60</v>
      </c>
      <c r="M697" t="s">
        <v>758</v>
      </c>
      <c r="N697" t="s">
        <v>277</v>
      </c>
      <c r="O697" t="s">
        <v>278</v>
      </c>
      <c r="P697" t="s">
        <v>279</v>
      </c>
      <c r="R697" t="s">
        <v>260</v>
      </c>
      <c r="T697">
        <v>28023</v>
      </c>
      <c r="U697" t="s">
        <v>261</v>
      </c>
      <c r="V697" t="s">
        <v>110</v>
      </c>
      <c r="W697" t="s">
        <v>280</v>
      </c>
      <c r="X697" t="s">
        <v>281</v>
      </c>
      <c r="Y697" t="s">
        <v>104</v>
      </c>
    </row>
    <row r="698" spans="1:25">
      <c r="A698">
        <v>10227</v>
      </c>
      <c r="B698">
        <v>28</v>
      </c>
      <c r="C698">
        <v>50.85</v>
      </c>
      <c r="D698">
        <v>9</v>
      </c>
      <c r="E698">
        <v>1423.8</v>
      </c>
      <c r="F698" s="4">
        <v>38020</v>
      </c>
      <c r="G698" t="s">
        <v>93</v>
      </c>
      <c r="H698">
        <v>1</v>
      </c>
      <c r="I698">
        <v>3</v>
      </c>
      <c r="J698">
        <v>2004</v>
      </c>
      <c r="K698" t="s">
        <v>697</v>
      </c>
      <c r="L698">
        <v>60</v>
      </c>
      <c r="M698" t="s">
        <v>758</v>
      </c>
      <c r="N698" t="s">
        <v>310</v>
      </c>
      <c r="O698" t="s">
        <v>311</v>
      </c>
      <c r="P698" t="s">
        <v>312</v>
      </c>
      <c r="R698" t="s">
        <v>313</v>
      </c>
      <c r="T698">
        <v>69004</v>
      </c>
      <c r="U698" t="s">
        <v>109</v>
      </c>
      <c r="V698" t="s">
        <v>110</v>
      </c>
      <c r="W698" t="s">
        <v>314</v>
      </c>
      <c r="X698" t="s">
        <v>315</v>
      </c>
      <c r="Y698" t="s">
        <v>104</v>
      </c>
    </row>
    <row r="699" spans="1:25">
      <c r="A699">
        <v>10241</v>
      </c>
      <c r="B699">
        <v>33</v>
      </c>
      <c r="C699">
        <v>72.650000000000006</v>
      </c>
      <c r="D699">
        <v>1</v>
      </c>
      <c r="E699">
        <v>2397.4499999999998</v>
      </c>
      <c r="F699" t="s">
        <v>683</v>
      </c>
      <c r="G699" t="s">
        <v>93</v>
      </c>
      <c r="H699">
        <v>2</v>
      </c>
      <c r="I699">
        <v>4</v>
      </c>
      <c r="J699">
        <v>2004</v>
      </c>
      <c r="K699" t="s">
        <v>697</v>
      </c>
      <c r="L699">
        <v>60</v>
      </c>
      <c r="M699" t="s">
        <v>758</v>
      </c>
      <c r="N699" t="s">
        <v>674</v>
      </c>
      <c r="O699" t="s">
        <v>675</v>
      </c>
      <c r="P699" t="s">
        <v>676</v>
      </c>
      <c r="R699" t="s">
        <v>677</v>
      </c>
      <c r="T699">
        <v>67000</v>
      </c>
      <c r="U699" t="s">
        <v>109</v>
      </c>
      <c r="V699" t="s">
        <v>110</v>
      </c>
      <c r="W699" t="s">
        <v>678</v>
      </c>
      <c r="X699" t="s">
        <v>679</v>
      </c>
      <c r="Y699" t="s">
        <v>104</v>
      </c>
    </row>
    <row r="700" spans="1:25">
      <c r="A700">
        <v>10280</v>
      </c>
      <c r="B700">
        <v>25</v>
      </c>
      <c r="C700">
        <v>62.96</v>
      </c>
      <c r="D700">
        <v>15</v>
      </c>
      <c r="E700">
        <v>1574</v>
      </c>
      <c r="F700" t="s">
        <v>347</v>
      </c>
      <c r="G700" t="s">
        <v>93</v>
      </c>
      <c r="H700">
        <v>3</v>
      </c>
      <c r="I700">
        <v>8</v>
      </c>
      <c r="J700">
        <v>2004</v>
      </c>
      <c r="K700" t="s">
        <v>697</v>
      </c>
      <c r="L700">
        <v>60</v>
      </c>
      <c r="M700" t="s">
        <v>758</v>
      </c>
      <c r="N700" t="s">
        <v>348</v>
      </c>
      <c r="O700" t="s">
        <v>349</v>
      </c>
      <c r="P700" t="s">
        <v>350</v>
      </c>
      <c r="R700" t="s">
        <v>351</v>
      </c>
      <c r="T700">
        <v>10100</v>
      </c>
      <c r="U700" t="s">
        <v>352</v>
      </c>
      <c r="V700" t="s">
        <v>110</v>
      </c>
      <c r="W700" t="s">
        <v>353</v>
      </c>
      <c r="X700" t="s">
        <v>354</v>
      </c>
      <c r="Y700" t="s">
        <v>104</v>
      </c>
    </row>
    <row r="701" spans="1:25">
      <c r="A701">
        <v>10288</v>
      </c>
      <c r="B701">
        <v>28</v>
      </c>
      <c r="C701">
        <v>61.75</v>
      </c>
      <c r="D701">
        <v>4</v>
      </c>
      <c r="E701">
        <v>1729</v>
      </c>
      <c r="F701" s="4">
        <v>37995</v>
      </c>
      <c r="G701" t="s">
        <v>93</v>
      </c>
      <c r="H701">
        <v>3</v>
      </c>
      <c r="I701">
        <v>9</v>
      </c>
      <c r="J701">
        <v>2004</v>
      </c>
      <c r="K701" t="s">
        <v>697</v>
      </c>
      <c r="L701">
        <v>60</v>
      </c>
      <c r="M701" t="s">
        <v>758</v>
      </c>
      <c r="N701" t="s">
        <v>536</v>
      </c>
      <c r="O701" t="s">
        <v>537</v>
      </c>
      <c r="P701" t="s">
        <v>538</v>
      </c>
      <c r="Q701" t="s">
        <v>539</v>
      </c>
      <c r="R701" t="s">
        <v>287</v>
      </c>
      <c r="T701">
        <v>69045</v>
      </c>
      <c r="U701" t="s">
        <v>287</v>
      </c>
      <c r="V701" t="s">
        <v>169</v>
      </c>
      <c r="W701" t="s">
        <v>540</v>
      </c>
      <c r="X701" t="s">
        <v>541</v>
      </c>
      <c r="Y701" t="s">
        <v>104</v>
      </c>
    </row>
    <row r="702" spans="1:25">
      <c r="A702">
        <v>10303</v>
      </c>
      <c r="B702">
        <v>46</v>
      </c>
      <c r="C702">
        <v>49.04</v>
      </c>
      <c r="D702">
        <v>2</v>
      </c>
      <c r="E702">
        <v>2255.84</v>
      </c>
      <c r="F702" s="4">
        <v>38148</v>
      </c>
      <c r="G702" t="s">
        <v>93</v>
      </c>
      <c r="H702">
        <v>4</v>
      </c>
      <c r="I702">
        <v>10</v>
      </c>
      <c r="J702">
        <v>2004</v>
      </c>
      <c r="K702" t="s">
        <v>697</v>
      </c>
      <c r="L702">
        <v>60</v>
      </c>
      <c r="M702" t="s">
        <v>758</v>
      </c>
      <c r="N702" t="s">
        <v>662</v>
      </c>
      <c r="O702" t="s">
        <v>663</v>
      </c>
      <c r="P702" t="s">
        <v>664</v>
      </c>
      <c r="R702" t="s">
        <v>665</v>
      </c>
      <c r="T702">
        <v>41101</v>
      </c>
      <c r="U702" t="s">
        <v>261</v>
      </c>
      <c r="V702" t="s">
        <v>110</v>
      </c>
      <c r="W702" t="s">
        <v>666</v>
      </c>
      <c r="X702" t="s">
        <v>667</v>
      </c>
      <c r="Y702" t="s">
        <v>104</v>
      </c>
    </row>
    <row r="703" spans="1:25">
      <c r="A703">
        <v>10312</v>
      </c>
      <c r="B703">
        <v>30</v>
      </c>
      <c r="C703">
        <v>61.15</v>
      </c>
      <c r="D703">
        <v>16</v>
      </c>
      <c r="E703">
        <v>1834.5</v>
      </c>
      <c r="F703" t="s">
        <v>366</v>
      </c>
      <c r="G703" t="s">
        <v>93</v>
      </c>
      <c r="H703">
        <v>4</v>
      </c>
      <c r="I703">
        <v>10</v>
      </c>
      <c r="J703">
        <v>2004</v>
      </c>
      <c r="K703" t="s">
        <v>697</v>
      </c>
      <c r="L703">
        <v>60</v>
      </c>
      <c r="M703" t="s">
        <v>758</v>
      </c>
      <c r="N703" t="s">
        <v>367</v>
      </c>
      <c r="O703">
        <v>4155551450</v>
      </c>
      <c r="P703" t="s">
        <v>368</v>
      </c>
      <c r="R703" t="s">
        <v>369</v>
      </c>
      <c r="S703" t="s">
        <v>124</v>
      </c>
      <c r="T703">
        <v>97562</v>
      </c>
      <c r="U703" t="s">
        <v>100</v>
      </c>
      <c r="V703" t="s">
        <v>101</v>
      </c>
      <c r="W703" t="s">
        <v>370</v>
      </c>
      <c r="X703" t="s">
        <v>371</v>
      </c>
      <c r="Y703" t="s">
        <v>104</v>
      </c>
    </row>
    <row r="704" spans="1:25">
      <c r="A704">
        <v>10332</v>
      </c>
      <c r="B704">
        <v>38</v>
      </c>
      <c r="C704">
        <v>84.25</v>
      </c>
      <c r="D704">
        <v>9</v>
      </c>
      <c r="E704">
        <v>3201.5</v>
      </c>
      <c r="F704" t="s">
        <v>695</v>
      </c>
      <c r="G704" t="s">
        <v>93</v>
      </c>
      <c r="H704">
        <v>4</v>
      </c>
      <c r="I704">
        <v>11</v>
      </c>
      <c r="J704">
        <v>2004</v>
      </c>
      <c r="K704" t="s">
        <v>697</v>
      </c>
      <c r="L704">
        <v>60</v>
      </c>
      <c r="M704" t="s">
        <v>758</v>
      </c>
      <c r="N704" t="s">
        <v>624</v>
      </c>
      <c r="O704" t="s">
        <v>625</v>
      </c>
      <c r="P704" t="s">
        <v>626</v>
      </c>
      <c r="R704" t="s">
        <v>627</v>
      </c>
      <c r="T704" t="s">
        <v>628</v>
      </c>
      <c r="U704" t="s">
        <v>252</v>
      </c>
      <c r="V704" t="s">
        <v>110</v>
      </c>
      <c r="W704" t="s">
        <v>629</v>
      </c>
      <c r="X704" t="s">
        <v>167</v>
      </c>
      <c r="Y704" t="s">
        <v>119</v>
      </c>
    </row>
    <row r="705" spans="1:25">
      <c r="A705">
        <v>10344</v>
      </c>
      <c r="B705">
        <v>40</v>
      </c>
      <c r="C705">
        <v>56.91</v>
      </c>
      <c r="D705">
        <v>2</v>
      </c>
      <c r="E705">
        <v>2276.4</v>
      </c>
      <c r="F705" t="s">
        <v>753</v>
      </c>
      <c r="G705" t="s">
        <v>93</v>
      </c>
      <c r="H705">
        <v>4</v>
      </c>
      <c r="I705">
        <v>11</v>
      </c>
      <c r="J705">
        <v>2004</v>
      </c>
      <c r="K705" t="s">
        <v>697</v>
      </c>
      <c r="L705">
        <v>60</v>
      </c>
      <c r="M705" t="s">
        <v>758</v>
      </c>
      <c r="N705" t="s">
        <v>555</v>
      </c>
      <c r="O705" t="s">
        <v>556</v>
      </c>
      <c r="P705" t="s">
        <v>557</v>
      </c>
      <c r="R705" t="s">
        <v>558</v>
      </c>
      <c r="T705">
        <v>13008</v>
      </c>
      <c r="U705" t="s">
        <v>109</v>
      </c>
      <c r="V705" t="s">
        <v>110</v>
      </c>
      <c r="W705" t="s">
        <v>559</v>
      </c>
      <c r="X705" t="s">
        <v>560</v>
      </c>
      <c r="Y705" t="s">
        <v>104</v>
      </c>
    </row>
    <row r="706" spans="1:25">
      <c r="A706">
        <v>10367</v>
      </c>
      <c r="B706">
        <v>45</v>
      </c>
      <c r="C706">
        <v>100</v>
      </c>
      <c r="D706">
        <v>4</v>
      </c>
      <c r="E706">
        <v>8884.7999999999993</v>
      </c>
      <c r="F706" s="4">
        <v>38687</v>
      </c>
      <c r="G706" t="s">
        <v>526</v>
      </c>
      <c r="H706">
        <v>1</v>
      </c>
      <c r="I706">
        <v>1</v>
      </c>
      <c r="J706">
        <v>2005</v>
      </c>
      <c r="K706" t="s">
        <v>697</v>
      </c>
      <c r="L706">
        <v>60</v>
      </c>
      <c r="M706" t="s">
        <v>758</v>
      </c>
      <c r="N706" t="s">
        <v>121</v>
      </c>
      <c r="O706">
        <v>6265557265</v>
      </c>
      <c r="P706" t="s">
        <v>122</v>
      </c>
      <c r="R706" t="s">
        <v>123</v>
      </c>
      <c r="S706" t="s">
        <v>124</v>
      </c>
      <c r="T706">
        <v>90003</v>
      </c>
      <c r="U706" t="s">
        <v>100</v>
      </c>
      <c r="V706" t="s">
        <v>101</v>
      </c>
      <c r="W706" t="s">
        <v>125</v>
      </c>
      <c r="X706" t="s">
        <v>126</v>
      </c>
      <c r="Y706" t="s">
        <v>232</v>
      </c>
    </row>
    <row r="707" spans="1:25">
      <c r="A707">
        <v>10379</v>
      </c>
      <c r="B707">
        <v>27</v>
      </c>
      <c r="C707">
        <v>49.3</v>
      </c>
      <c r="D707">
        <v>1</v>
      </c>
      <c r="E707">
        <v>1331.1</v>
      </c>
      <c r="F707" s="4">
        <v>38627</v>
      </c>
      <c r="G707" t="s">
        <v>93</v>
      </c>
      <c r="H707">
        <v>1</v>
      </c>
      <c r="I707">
        <v>2</v>
      </c>
      <c r="J707">
        <v>2005</v>
      </c>
      <c r="K707" t="s">
        <v>697</v>
      </c>
      <c r="L707">
        <v>60</v>
      </c>
      <c r="M707" t="s">
        <v>758</v>
      </c>
      <c r="N707" t="s">
        <v>257</v>
      </c>
      <c r="O707" t="s">
        <v>258</v>
      </c>
      <c r="P707" t="s">
        <v>259</v>
      </c>
      <c r="R707" t="s">
        <v>260</v>
      </c>
      <c r="T707">
        <v>28034</v>
      </c>
      <c r="U707" t="s">
        <v>261</v>
      </c>
      <c r="V707" t="s">
        <v>110</v>
      </c>
      <c r="W707" t="s">
        <v>262</v>
      </c>
      <c r="X707" t="s">
        <v>263</v>
      </c>
      <c r="Y707" t="s">
        <v>104</v>
      </c>
    </row>
    <row r="708" spans="1:25">
      <c r="A708">
        <v>10407</v>
      </c>
      <c r="B708">
        <v>42</v>
      </c>
      <c r="C708">
        <v>72.650000000000006</v>
      </c>
      <c r="D708">
        <v>1</v>
      </c>
      <c r="E708">
        <v>3051.3</v>
      </c>
      <c r="F708" t="s">
        <v>724</v>
      </c>
      <c r="G708" t="s">
        <v>518</v>
      </c>
      <c r="H708">
        <v>2</v>
      </c>
      <c r="I708">
        <v>4</v>
      </c>
      <c r="J708">
        <v>2005</v>
      </c>
      <c r="K708" t="s">
        <v>697</v>
      </c>
      <c r="L708">
        <v>60</v>
      </c>
      <c r="M708" t="s">
        <v>758</v>
      </c>
      <c r="N708" t="s">
        <v>514</v>
      </c>
      <c r="O708">
        <v>4085553659</v>
      </c>
      <c r="P708" t="s">
        <v>515</v>
      </c>
      <c r="R708" t="s">
        <v>516</v>
      </c>
      <c r="S708" t="s">
        <v>124</v>
      </c>
      <c r="T708">
        <v>94217</v>
      </c>
      <c r="U708" t="s">
        <v>100</v>
      </c>
      <c r="V708" t="s">
        <v>101</v>
      </c>
      <c r="W708" t="s">
        <v>175</v>
      </c>
      <c r="X708" t="s">
        <v>517</v>
      </c>
      <c r="Y708" t="s">
        <v>119</v>
      </c>
    </row>
    <row r="709" spans="1:25">
      <c r="A709">
        <v>10420</v>
      </c>
      <c r="B709">
        <v>36</v>
      </c>
      <c r="C709">
        <v>63.57</v>
      </c>
      <c r="D709">
        <v>4</v>
      </c>
      <c r="E709">
        <v>2288.52</v>
      </c>
      <c r="F709" t="s">
        <v>754</v>
      </c>
      <c r="G709" t="s">
        <v>400</v>
      </c>
      <c r="H709">
        <v>2</v>
      </c>
      <c r="I709">
        <v>5</v>
      </c>
      <c r="J709">
        <v>2005</v>
      </c>
      <c r="K709" t="s">
        <v>697</v>
      </c>
      <c r="L709">
        <v>60</v>
      </c>
      <c r="M709" t="s">
        <v>758</v>
      </c>
      <c r="N709" t="s">
        <v>234</v>
      </c>
      <c r="O709" t="s">
        <v>235</v>
      </c>
      <c r="P709" t="s">
        <v>236</v>
      </c>
      <c r="Q709" t="s">
        <v>237</v>
      </c>
      <c r="R709" t="s">
        <v>238</v>
      </c>
      <c r="S709" t="s">
        <v>239</v>
      </c>
      <c r="T709">
        <v>2067</v>
      </c>
      <c r="U709" t="s">
        <v>168</v>
      </c>
      <c r="V709" t="s">
        <v>169</v>
      </c>
      <c r="W709" t="s">
        <v>240</v>
      </c>
      <c r="X709" t="s">
        <v>241</v>
      </c>
      <c r="Y709" t="s">
        <v>104</v>
      </c>
    </row>
    <row r="710" spans="1:25">
      <c r="A710">
        <v>10104</v>
      </c>
      <c r="B710">
        <v>29</v>
      </c>
      <c r="C710">
        <v>100</v>
      </c>
      <c r="D710">
        <v>12</v>
      </c>
      <c r="E710">
        <v>3772.61</v>
      </c>
      <c r="F710" t="s">
        <v>648</v>
      </c>
      <c r="G710" t="s">
        <v>93</v>
      </c>
      <c r="H710">
        <v>1</v>
      </c>
      <c r="I710">
        <v>1</v>
      </c>
      <c r="J710">
        <v>2003</v>
      </c>
      <c r="K710" t="s">
        <v>638</v>
      </c>
      <c r="L710">
        <v>122</v>
      </c>
      <c r="M710" t="s">
        <v>759</v>
      </c>
      <c r="N710" t="s">
        <v>257</v>
      </c>
      <c r="O710" t="s">
        <v>258</v>
      </c>
      <c r="P710" t="s">
        <v>259</v>
      </c>
      <c r="R710" t="s">
        <v>260</v>
      </c>
      <c r="T710">
        <v>28034</v>
      </c>
      <c r="U710" t="s">
        <v>261</v>
      </c>
      <c r="V710" t="s">
        <v>110</v>
      </c>
      <c r="W710" t="s">
        <v>262</v>
      </c>
      <c r="X710" t="s">
        <v>263</v>
      </c>
      <c r="Y710" t="s">
        <v>119</v>
      </c>
    </row>
    <row r="711" spans="1:25">
      <c r="A711">
        <v>10114</v>
      </c>
      <c r="B711">
        <v>39</v>
      </c>
      <c r="C711">
        <v>100</v>
      </c>
      <c r="D711">
        <v>3</v>
      </c>
      <c r="E711">
        <v>4164.42</v>
      </c>
      <c r="F711" s="4">
        <v>37625</v>
      </c>
      <c r="G711" t="s">
        <v>93</v>
      </c>
      <c r="H711">
        <v>2</v>
      </c>
      <c r="I711">
        <v>4</v>
      </c>
      <c r="J711">
        <v>2003</v>
      </c>
      <c r="K711" t="s">
        <v>638</v>
      </c>
      <c r="L711">
        <v>122</v>
      </c>
      <c r="M711" t="s">
        <v>759</v>
      </c>
      <c r="N711" t="s">
        <v>520</v>
      </c>
      <c r="O711" t="s">
        <v>521</v>
      </c>
      <c r="P711" t="s">
        <v>522</v>
      </c>
      <c r="R711" t="s">
        <v>116</v>
      </c>
      <c r="T711">
        <v>75012</v>
      </c>
      <c r="U711" t="s">
        <v>109</v>
      </c>
      <c r="V711" t="s">
        <v>110</v>
      </c>
      <c r="W711" t="s">
        <v>523</v>
      </c>
      <c r="X711" t="s">
        <v>524</v>
      </c>
      <c r="Y711" t="s">
        <v>119</v>
      </c>
    </row>
    <row r="712" spans="1:25">
      <c r="A712">
        <v>10127</v>
      </c>
      <c r="B712">
        <v>45</v>
      </c>
      <c r="C712">
        <v>100</v>
      </c>
      <c r="D712">
        <v>14</v>
      </c>
      <c r="E712">
        <v>6295.95</v>
      </c>
      <c r="F712" s="4">
        <v>37686</v>
      </c>
      <c r="G712" t="s">
        <v>93</v>
      </c>
      <c r="H712">
        <v>2</v>
      </c>
      <c r="I712">
        <v>6</v>
      </c>
      <c r="J712">
        <v>2003</v>
      </c>
      <c r="K712" t="s">
        <v>638</v>
      </c>
      <c r="L712">
        <v>122</v>
      </c>
      <c r="M712" t="s">
        <v>759</v>
      </c>
      <c r="N712" t="s">
        <v>603</v>
      </c>
      <c r="O712">
        <v>2125557413</v>
      </c>
      <c r="P712" t="s">
        <v>604</v>
      </c>
      <c r="Q712" t="s">
        <v>605</v>
      </c>
      <c r="R712" t="s">
        <v>98</v>
      </c>
      <c r="S712" t="s">
        <v>99</v>
      </c>
      <c r="T712">
        <v>10022</v>
      </c>
      <c r="U712" t="s">
        <v>100</v>
      </c>
      <c r="V712" t="s">
        <v>101</v>
      </c>
      <c r="W712" t="s">
        <v>125</v>
      </c>
      <c r="X712" t="s">
        <v>606</v>
      </c>
      <c r="Y712" t="s">
        <v>119</v>
      </c>
    </row>
    <row r="713" spans="1:25">
      <c r="A713">
        <v>10141</v>
      </c>
      <c r="B713">
        <v>47</v>
      </c>
      <c r="C713">
        <v>100</v>
      </c>
      <c r="D713">
        <v>8</v>
      </c>
      <c r="E713">
        <v>6287.66</v>
      </c>
      <c r="F713" s="4">
        <v>37629</v>
      </c>
      <c r="G713" t="s">
        <v>93</v>
      </c>
      <c r="H713">
        <v>3</v>
      </c>
      <c r="I713">
        <v>8</v>
      </c>
      <c r="J713">
        <v>2003</v>
      </c>
      <c r="K713" t="s">
        <v>638</v>
      </c>
      <c r="L713">
        <v>122</v>
      </c>
      <c r="M713" t="s">
        <v>759</v>
      </c>
      <c r="N713" t="s">
        <v>593</v>
      </c>
      <c r="O713" t="s">
        <v>594</v>
      </c>
      <c r="P713" t="s">
        <v>595</v>
      </c>
      <c r="R713" t="s">
        <v>596</v>
      </c>
      <c r="T713" t="s">
        <v>597</v>
      </c>
      <c r="U713" t="s">
        <v>208</v>
      </c>
      <c r="V713" t="s">
        <v>110</v>
      </c>
      <c r="W713" t="s">
        <v>598</v>
      </c>
      <c r="X713" t="s">
        <v>599</v>
      </c>
      <c r="Y713" t="s">
        <v>119</v>
      </c>
    </row>
    <row r="714" spans="1:25">
      <c r="A714">
        <v>10151</v>
      </c>
      <c r="B714">
        <v>49</v>
      </c>
      <c r="C714">
        <v>100</v>
      </c>
      <c r="D714">
        <v>6</v>
      </c>
      <c r="E714">
        <v>5412.54</v>
      </c>
      <c r="F714" t="s">
        <v>661</v>
      </c>
      <c r="G714" t="s">
        <v>93</v>
      </c>
      <c r="H714">
        <v>3</v>
      </c>
      <c r="I714">
        <v>9</v>
      </c>
      <c r="J714">
        <v>2003</v>
      </c>
      <c r="K714" t="s">
        <v>638</v>
      </c>
      <c r="L714">
        <v>122</v>
      </c>
      <c r="M714" t="s">
        <v>759</v>
      </c>
      <c r="N714" t="s">
        <v>506</v>
      </c>
      <c r="O714" t="s">
        <v>507</v>
      </c>
      <c r="P714" t="s">
        <v>508</v>
      </c>
      <c r="R714" t="s">
        <v>509</v>
      </c>
      <c r="T714">
        <v>90110</v>
      </c>
      <c r="U714" t="s">
        <v>208</v>
      </c>
      <c r="V714" t="s">
        <v>110</v>
      </c>
      <c r="W714" t="s">
        <v>510</v>
      </c>
      <c r="X714" t="s">
        <v>511</v>
      </c>
      <c r="Y714" t="s">
        <v>119</v>
      </c>
    </row>
    <row r="715" spans="1:25">
      <c r="A715">
        <v>10165</v>
      </c>
      <c r="B715">
        <v>46</v>
      </c>
      <c r="C715">
        <v>100</v>
      </c>
      <c r="D715">
        <v>15</v>
      </c>
      <c r="E715">
        <v>5984.14</v>
      </c>
      <c r="F715" t="s">
        <v>608</v>
      </c>
      <c r="G715" t="s">
        <v>93</v>
      </c>
      <c r="H715">
        <v>4</v>
      </c>
      <c r="I715">
        <v>10</v>
      </c>
      <c r="J715">
        <v>2003</v>
      </c>
      <c r="K715" t="s">
        <v>638</v>
      </c>
      <c r="L715">
        <v>122</v>
      </c>
      <c r="M715" t="s">
        <v>759</v>
      </c>
      <c r="N715" t="s">
        <v>284</v>
      </c>
      <c r="O715" t="s">
        <v>285</v>
      </c>
      <c r="P715" t="s">
        <v>286</v>
      </c>
      <c r="R715" t="s">
        <v>287</v>
      </c>
      <c r="T715">
        <v>79903</v>
      </c>
      <c r="U715" t="s">
        <v>287</v>
      </c>
      <c r="V715" t="s">
        <v>288</v>
      </c>
      <c r="W715" t="s">
        <v>289</v>
      </c>
      <c r="X715" t="s">
        <v>290</v>
      </c>
      <c r="Y715" t="s">
        <v>119</v>
      </c>
    </row>
    <row r="716" spans="1:25">
      <c r="A716">
        <v>10175</v>
      </c>
      <c r="B716">
        <v>48</v>
      </c>
      <c r="C716">
        <v>100</v>
      </c>
      <c r="D716">
        <v>4</v>
      </c>
      <c r="E716">
        <v>5891.04</v>
      </c>
      <c r="F716" s="4">
        <v>37783</v>
      </c>
      <c r="G716" t="s">
        <v>93</v>
      </c>
      <c r="H716">
        <v>4</v>
      </c>
      <c r="I716">
        <v>11</v>
      </c>
      <c r="J716">
        <v>2003</v>
      </c>
      <c r="K716" t="s">
        <v>638</v>
      </c>
      <c r="L716">
        <v>122</v>
      </c>
      <c r="M716" t="s">
        <v>759</v>
      </c>
      <c r="N716" t="s">
        <v>433</v>
      </c>
      <c r="O716" t="s">
        <v>434</v>
      </c>
      <c r="P716" t="s">
        <v>435</v>
      </c>
      <c r="R716" t="s">
        <v>436</v>
      </c>
      <c r="T716" t="s">
        <v>437</v>
      </c>
      <c r="U716" t="s">
        <v>252</v>
      </c>
      <c r="V716" t="s">
        <v>110</v>
      </c>
      <c r="W716" t="s">
        <v>130</v>
      </c>
      <c r="X716" t="s">
        <v>438</v>
      </c>
      <c r="Y716" t="s">
        <v>119</v>
      </c>
    </row>
    <row r="717" spans="1:25">
      <c r="A717">
        <v>10184</v>
      </c>
      <c r="B717">
        <v>46</v>
      </c>
      <c r="C717">
        <v>100</v>
      </c>
      <c r="D717">
        <v>9</v>
      </c>
      <c r="E717">
        <v>5984.14</v>
      </c>
      <c r="F717" t="s">
        <v>451</v>
      </c>
      <c r="G717" t="s">
        <v>93</v>
      </c>
      <c r="H717">
        <v>4</v>
      </c>
      <c r="I717">
        <v>11</v>
      </c>
      <c r="J717">
        <v>2003</v>
      </c>
      <c r="K717" t="s">
        <v>638</v>
      </c>
      <c r="L717">
        <v>122</v>
      </c>
      <c r="M717" t="s">
        <v>759</v>
      </c>
      <c r="N717" t="s">
        <v>662</v>
      </c>
      <c r="O717" t="s">
        <v>663</v>
      </c>
      <c r="P717" t="s">
        <v>664</v>
      </c>
      <c r="R717" t="s">
        <v>665</v>
      </c>
      <c r="T717">
        <v>41101</v>
      </c>
      <c r="U717" t="s">
        <v>261</v>
      </c>
      <c r="V717" t="s">
        <v>110</v>
      </c>
      <c r="W717" t="s">
        <v>666</v>
      </c>
      <c r="X717" t="s">
        <v>667</v>
      </c>
      <c r="Y717" t="s">
        <v>119</v>
      </c>
    </row>
    <row r="718" spans="1:25">
      <c r="A718">
        <v>10195</v>
      </c>
      <c r="B718">
        <v>35</v>
      </c>
      <c r="C718">
        <v>100</v>
      </c>
      <c r="D718">
        <v>9</v>
      </c>
      <c r="E718">
        <v>3608.15</v>
      </c>
      <c r="F718" t="s">
        <v>309</v>
      </c>
      <c r="G718" t="s">
        <v>93</v>
      </c>
      <c r="H718">
        <v>4</v>
      </c>
      <c r="I718">
        <v>11</v>
      </c>
      <c r="J718">
        <v>2003</v>
      </c>
      <c r="K718" t="s">
        <v>638</v>
      </c>
      <c r="L718">
        <v>122</v>
      </c>
      <c r="M718" t="s">
        <v>759</v>
      </c>
      <c r="N718" t="s">
        <v>419</v>
      </c>
      <c r="O718">
        <v>9145554562</v>
      </c>
      <c r="P718" t="s">
        <v>420</v>
      </c>
      <c r="R718" t="s">
        <v>421</v>
      </c>
      <c r="S718" t="s">
        <v>99</v>
      </c>
      <c r="T718">
        <v>24067</v>
      </c>
      <c r="U718" t="s">
        <v>100</v>
      </c>
      <c r="V718" t="s">
        <v>101</v>
      </c>
      <c r="W718" t="s">
        <v>175</v>
      </c>
      <c r="X718" t="s">
        <v>329</v>
      </c>
      <c r="Y718" t="s">
        <v>119</v>
      </c>
    </row>
    <row r="719" spans="1:25">
      <c r="A719">
        <v>10207</v>
      </c>
      <c r="B719">
        <v>43</v>
      </c>
      <c r="C719">
        <v>100</v>
      </c>
      <c r="D719">
        <v>10</v>
      </c>
      <c r="E719">
        <v>5752.54</v>
      </c>
      <c r="F719" s="4">
        <v>37876</v>
      </c>
      <c r="G719" t="s">
        <v>93</v>
      </c>
      <c r="H719">
        <v>4</v>
      </c>
      <c r="I719">
        <v>12</v>
      </c>
      <c r="J719">
        <v>2003</v>
      </c>
      <c r="K719" t="s">
        <v>638</v>
      </c>
      <c r="L719">
        <v>122</v>
      </c>
      <c r="M719" t="s">
        <v>759</v>
      </c>
      <c r="N719" t="s">
        <v>533</v>
      </c>
      <c r="O719">
        <v>6175552555</v>
      </c>
      <c r="P719" t="s">
        <v>534</v>
      </c>
      <c r="R719" t="s">
        <v>492</v>
      </c>
      <c r="S719" t="s">
        <v>200</v>
      </c>
      <c r="T719">
        <v>51003</v>
      </c>
      <c r="U719" t="s">
        <v>100</v>
      </c>
      <c r="V719" t="s">
        <v>101</v>
      </c>
      <c r="W719" t="s">
        <v>535</v>
      </c>
      <c r="X719" t="s">
        <v>371</v>
      </c>
      <c r="Y719" t="s">
        <v>119</v>
      </c>
    </row>
    <row r="720" spans="1:25">
      <c r="A720">
        <v>10229</v>
      </c>
      <c r="B720">
        <v>26</v>
      </c>
      <c r="C720">
        <v>100</v>
      </c>
      <c r="D720">
        <v>4</v>
      </c>
      <c r="E720">
        <v>3765.32</v>
      </c>
      <c r="F720" s="4">
        <v>38294</v>
      </c>
      <c r="G720" t="s">
        <v>93</v>
      </c>
      <c r="H720">
        <v>1</v>
      </c>
      <c r="I720">
        <v>3</v>
      </c>
      <c r="J720">
        <v>2004</v>
      </c>
      <c r="K720" t="s">
        <v>638</v>
      </c>
      <c r="L720">
        <v>122</v>
      </c>
      <c r="M720" t="s">
        <v>759</v>
      </c>
      <c r="N720" t="s">
        <v>367</v>
      </c>
      <c r="O720">
        <v>4155551450</v>
      </c>
      <c r="P720" t="s">
        <v>368</v>
      </c>
      <c r="R720" t="s">
        <v>369</v>
      </c>
      <c r="S720" t="s">
        <v>124</v>
      </c>
      <c r="T720">
        <v>97562</v>
      </c>
      <c r="U720" t="s">
        <v>100</v>
      </c>
      <c r="V720" t="s">
        <v>101</v>
      </c>
      <c r="W720" t="s">
        <v>370</v>
      </c>
      <c r="X720" t="s">
        <v>371</v>
      </c>
      <c r="Y720" t="s">
        <v>119</v>
      </c>
    </row>
    <row r="721" spans="1:25">
      <c r="A721">
        <v>10246</v>
      </c>
      <c r="B721">
        <v>22</v>
      </c>
      <c r="C721">
        <v>98.18</v>
      </c>
      <c r="D721">
        <v>8</v>
      </c>
      <c r="E721">
        <v>2159.96</v>
      </c>
      <c r="F721" s="4">
        <v>38112</v>
      </c>
      <c r="G721" t="s">
        <v>93</v>
      </c>
      <c r="H721">
        <v>2</v>
      </c>
      <c r="I721">
        <v>5</v>
      </c>
      <c r="J721">
        <v>2004</v>
      </c>
      <c r="K721" t="s">
        <v>638</v>
      </c>
      <c r="L721">
        <v>122</v>
      </c>
      <c r="M721" t="s">
        <v>759</v>
      </c>
      <c r="N721" t="s">
        <v>257</v>
      </c>
      <c r="O721" t="s">
        <v>258</v>
      </c>
      <c r="P721" t="s">
        <v>259</v>
      </c>
      <c r="R721" t="s">
        <v>260</v>
      </c>
      <c r="T721">
        <v>28034</v>
      </c>
      <c r="U721" t="s">
        <v>261</v>
      </c>
      <c r="V721" t="s">
        <v>110</v>
      </c>
      <c r="W721" t="s">
        <v>262</v>
      </c>
      <c r="X721" t="s">
        <v>263</v>
      </c>
      <c r="Y721" t="s">
        <v>104</v>
      </c>
    </row>
    <row r="722" spans="1:25">
      <c r="A722">
        <v>10259</v>
      </c>
      <c r="B722">
        <v>34</v>
      </c>
      <c r="C722">
        <v>99.41</v>
      </c>
      <c r="D722">
        <v>7</v>
      </c>
      <c r="E722">
        <v>3379.94</v>
      </c>
      <c r="F722" t="s">
        <v>337</v>
      </c>
      <c r="G722" t="s">
        <v>93</v>
      </c>
      <c r="H722">
        <v>2</v>
      </c>
      <c r="I722">
        <v>6</v>
      </c>
      <c r="J722">
        <v>2004</v>
      </c>
      <c r="K722" t="s">
        <v>638</v>
      </c>
      <c r="L722">
        <v>122</v>
      </c>
      <c r="M722" t="s">
        <v>759</v>
      </c>
      <c r="N722" t="s">
        <v>536</v>
      </c>
      <c r="O722" t="s">
        <v>537</v>
      </c>
      <c r="P722" t="s">
        <v>538</v>
      </c>
      <c r="Q722" t="s">
        <v>539</v>
      </c>
      <c r="R722" t="s">
        <v>287</v>
      </c>
      <c r="T722">
        <v>69045</v>
      </c>
      <c r="U722" t="s">
        <v>287</v>
      </c>
      <c r="V722" t="s">
        <v>169</v>
      </c>
      <c r="W722" t="s">
        <v>540</v>
      </c>
      <c r="X722" t="s">
        <v>541</v>
      </c>
      <c r="Y722" t="s">
        <v>119</v>
      </c>
    </row>
    <row r="723" spans="1:25">
      <c r="A723">
        <v>10271</v>
      </c>
      <c r="B723">
        <v>50</v>
      </c>
      <c r="C723">
        <v>100</v>
      </c>
      <c r="D723">
        <v>8</v>
      </c>
      <c r="E723">
        <v>5093.5</v>
      </c>
      <c r="F723" t="s">
        <v>623</v>
      </c>
      <c r="G723" t="s">
        <v>93</v>
      </c>
      <c r="H723">
        <v>3</v>
      </c>
      <c r="I723">
        <v>7</v>
      </c>
      <c r="J723">
        <v>2004</v>
      </c>
      <c r="K723" t="s">
        <v>638</v>
      </c>
      <c r="L723">
        <v>122</v>
      </c>
      <c r="M723" t="s">
        <v>759</v>
      </c>
      <c r="N723" t="s">
        <v>367</v>
      </c>
      <c r="O723">
        <v>4155551450</v>
      </c>
      <c r="P723" t="s">
        <v>368</v>
      </c>
      <c r="R723" t="s">
        <v>369</v>
      </c>
      <c r="S723" t="s">
        <v>124</v>
      </c>
      <c r="T723">
        <v>97562</v>
      </c>
      <c r="U723" t="s">
        <v>100</v>
      </c>
      <c r="V723" t="s">
        <v>101</v>
      </c>
      <c r="W723" t="s">
        <v>370</v>
      </c>
      <c r="X723" t="s">
        <v>371</v>
      </c>
      <c r="Y723" t="s">
        <v>119</v>
      </c>
    </row>
    <row r="724" spans="1:25">
      <c r="A724">
        <v>10281</v>
      </c>
      <c r="B724">
        <v>48</v>
      </c>
      <c r="C724">
        <v>100</v>
      </c>
      <c r="D724">
        <v>4</v>
      </c>
      <c r="E724">
        <v>5773.44</v>
      </c>
      <c r="F724" t="s">
        <v>542</v>
      </c>
      <c r="G724" t="s">
        <v>93</v>
      </c>
      <c r="H724">
        <v>3</v>
      </c>
      <c r="I724">
        <v>8</v>
      </c>
      <c r="J724">
        <v>2004</v>
      </c>
      <c r="K724" t="s">
        <v>638</v>
      </c>
      <c r="L724">
        <v>122</v>
      </c>
      <c r="M724" t="s">
        <v>759</v>
      </c>
      <c r="N724" t="s">
        <v>218</v>
      </c>
      <c r="O724">
        <v>2155551555</v>
      </c>
      <c r="P724" t="s">
        <v>219</v>
      </c>
      <c r="R724" t="s">
        <v>220</v>
      </c>
      <c r="S724" t="s">
        <v>221</v>
      </c>
      <c r="T724">
        <v>70267</v>
      </c>
      <c r="U724" t="s">
        <v>100</v>
      </c>
      <c r="V724" t="s">
        <v>101</v>
      </c>
      <c r="W724" t="s">
        <v>102</v>
      </c>
      <c r="X724" t="s">
        <v>222</v>
      </c>
      <c r="Y724" t="s">
        <v>119</v>
      </c>
    </row>
    <row r="725" spans="1:25">
      <c r="A725">
        <v>10292</v>
      </c>
      <c r="B725">
        <v>41</v>
      </c>
      <c r="C725">
        <v>100</v>
      </c>
      <c r="D725">
        <v>11</v>
      </c>
      <c r="E725">
        <v>4528.8599999999997</v>
      </c>
      <c r="F725" s="4">
        <v>38208</v>
      </c>
      <c r="G725" t="s">
        <v>93</v>
      </c>
      <c r="H725">
        <v>3</v>
      </c>
      <c r="I725">
        <v>9</v>
      </c>
      <c r="J725">
        <v>2004</v>
      </c>
      <c r="K725" t="s">
        <v>638</v>
      </c>
      <c r="L725">
        <v>122</v>
      </c>
      <c r="M725" t="s">
        <v>759</v>
      </c>
      <c r="N725" t="s">
        <v>96</v>
      </c>
      <c r="O725">
        <v>2125557818</v>
      </c>
      <c r="P725" t="s">
        <v>97</v>
      </c>
      <c r="R725" t="s">
        <v>98</v>
      </c>
      <c r="S725" t="s">
        <v>99</v>
      </c>
      <c r="T725">
        <v>10022</v>
      </c>
      <c r="U725" t="s">
        <v>100</v>
      </c>
      <c r="V725" t="s">
        <v>101</v>
      </c>
      <c r="W725" t="s">
        <v>102</v>
      </c>
      <c r="X725" t="s">
        <v>103</v>
      </c>
      <c r="Y725" t="s">
        <v>119</v>
      </c>
    </row>
    <row r="726" spans="1:25">
      <c r="A726">
        <v>10305</v>
      </c>
      <c r="B726">
        <v>36</v>
      </c>
      <c r="C726">
        <v>100</v>
      </c>
      <c r="D726">
        <v>8</v>
      </c>
      <c r="E726">
        <v>4816.08</v>
      </c>
      <c r="F726" t="s">
        <v>543</v>
      </c>
      <c r="G726" t="s">
        <v>93</v>
      </c>
      <c r="H726">
        <v>4</v>
      </c>
      <c r="I726">
        <v>10</v>
      </c>
      <c r="J726">
        <v>2004</v>
      </c>
      <c r="K726" t="s">
        <v>638</v>
      </c>
      <c r="L726">
        <v>122</v>
      </c>
      <c r="M726" t="s">
        <v>759</v>
      </c>
      <c r="N726" t="s">
        <v>197</v>
      </c>
      <c r="O726">
        <v>6175558555</v>
      </c>
      <c r="P726" t="s">
        <v>198</v>
      </c>
      <c r="R726" t="s">
        <v>199</v>
      </c>
      <c r="S726" t="s">
        <v>200</v>
      </c>
      <c r="T726">
        <v>51247</v>
      </c>
      <c r="U726" t="s">
        <v>100</v>
      </c>
      <c r="V726" t="s">
        <v>101</v>
      </c>
      <c r="W726" t="s">
        <v>201</v>
      </c>
      <c r="X726" t="s">
        <v>202</v>
      </c>
      <c r="Y726" t="s">
        <v>119</v>
      </c>
    </row>
    <row r="727" spans="1:25">
      <c r="A727">
        <v>10313</v>
      </c>
      <c r="B727">
        <v>29</v>
      </c>
      <c r="C727">
        <v>100</v>
      </c>
      <c r="D727">
        <v>2</v>
      </c>
      <c r="E727">
        <v>3416.78</v>
      </c>
      <c r="F727" t="s">
        <v>544</v>
      </c>
      <c r="G727" t="s">
        <v>93</v>
      </c>
      <c r="H727">
        <v>4</v>
      </c>
      <c r="I727">
        <v>10</v>
      </c>
      <c r="J727">
        <v>2004</v>
      </c>
      <c r="K727" t="s">
        <v>638</v>
      </c>
      <c r="L727">
        <v>122</v>
      </c>
      <c r="M727" t="s">
        <v>759</v>
      </c>
      <c r="N727" t="s">
        <v>316</v>
      </c>
      <c r="O727" t="s">
        <v>317</v>
      </c>
      <c r="P727" t="s">
        <v>318</v>
      </c>
      <c r="R727" t="s">
        <v>319</v>
      </c>
      <c r="S727" t="s">
        <v>320</v>
      </c>
      <c r="T727" t="s">
        <v>321</v>
      </c>
      <c r="U727" t="s">
        <v>322</v>
      </c>
      <c r="V727" t="s">
        <v>101</v>
      </c>
      <c r="W727" t="s">
        <v>323</v>
      </c>
      <c r="X727" t="s">
        <v>324</v>
      </c>
      <c r="Y727" t="s">
        <v>119</v>
      </c>
    </row>
    <row r="728" spans="1:25">
      <c r="A728">
        <v>10324</v>
      </c>
      <c r="B728">
        <v>33</v>
      </c>
      <c r="C728">
        <v>37.479999999999997</v>
      </c>
      <c r="D728">
        <v>10</v>
      </c>
      <c r="E728">
        <v>1236.8399999999999</v>
      </c>
      <c r="F728" s="4">
        <v>38118</v>
      </c>
      <c r="G728" t="s">
        <v>93</v>
      </c>
      <c r="H728">
        <v>4</v>
      </c>
      <c r="I728">
        <v>11</v>
      </c>
      <c r="J728">
        <v>2004</v>
      </c>
      <c r="K728" t="s">
        <v>638</v>
      </c>
      <c r="L728">
        <v>122</v>
      </c>
      <c r="M728" t="s">
        <v>759</v>
      </c>
      <c r="N728" t="s">
        <v>172</v>
      </c>
      <c r="O728">
        <v>2125551500</v>
      </c>
      <c r="P728" t="s">
        <v>173</v>
      </c>
      <c r="Q728" t="s">
        <v>174</v>
      </c>
      <c r="R728" t="s">
        <v>98</v>
      </c>
      <c r="S728" t="s">
        <v>99</v>
      </c>
      <c r="T728">
        <v>10022</v>
      </c>
      <c r="U728" t="s">
        <v>100</v>
      </c>
      <c r="V728" t="s">
        <v>101</v>
      </c>
      <c r="W728" t="s">
        <v>175</v>
      </c>
      <c r="X728" t="s">
        <v>176</v>
      </c>
      <c r="Y728" t="s">
        <v>104</v>
      </c>
    </row>
    <row r="729" spans="1:25">
      <c r="A729">
        <v>10334</v>
      </c>
      <c r="B729">
        <v>46</v>
      </c>
      <c r="C729">
        <v>100</v>
      </c>
      <c r="D729">
        <v>6</v>
      </c>
      <c r="E729">
        <v>5814.86</v>
      </c>
      <c r="F729" t="s">
        <v>545</v>
      </c>
      <c r="G729" t="s">
        <v>518</v>
      </c>
      <c r="H729">
        <v>4</v>
      </c>
      <c r="I729">
        <v>11</v>
      </c>
      <c r="J729">
        <v>2004</v>
      </c>
      <c r="K729" t="s">
        <v>638</v>
      </c>
      <c r="L729">
        <v>122</v>
      </c>
      <c r="M729" t="s">
        <v>759</v>
      </c>
      <c r="N729" t="s">
        <v>268</v>
      </c>
      <c r="O729" t="s">
        <v>269</v>
      </c>
      <c r="P729" t="s">
        <v>270</v>
      </c>
      <c r="R729" t="s">
        <v>271</v>
      </c>
      <c r="T729" t="s">
        <v>272</v>
      </c>
      <c r="U729" t="s">
        <v>273</v>
      </c>
      <c r="V729" t="s">
        <v>110</v>
      </c>
      <c r="W729" t="s">
        <v>274</v>
      </c>
      <c r="X729" t="s">
        <v>275</v>
      </c>
      <c r="Y729" t="s">
        <v>119</v>
      </c>
    </row>
    <row r="730" spans="1:25">
      <c r="A730">
        <v>10349</v>
      </c>
      <c r="B730">
        <v>38</v>
      </c>
      <c r="C730">
        <v>100</v>
      </c>
      <c r="D730">
        <v>7</v>
      </c>
      <c r="E730">
        <v>5223.4799999999996</v>
      </c>
      <c r="F730" s="4">
        <v>37998</v>
      </c>
      <c r="G730" t="s">
        <v>93</v>
      </c>
      <c r="H730">
        <v>4</v>
      </c>
      <c r="I730">
        <v>12</v>
      </c>
      <c r="J730">
        <v>2004</v>
      </c>
      <c r="K730" t="s">
        <v>638</v>
      </c>
      <c r="L730">
        <v>122</v>
      </c>
      <c r="M730" t="s">
        <v>759</v>
      </c>
      <c r="N730" t="s">
        <v>603</v>
      </c>
      <c r="O730">
        <v>2125557413</v>
      </c>
      <c r="P730" t="s">
        <v>604</v>
      </c>
      <c r="Q730" t="s">
        <v>605</v>
      </c>
      <c r="R730" t="s">
        <v>98</v>
      </c>
      <c r="S730" t="s">
        <v>99</v>
      </c>
      <c r="T730">
        <v>10022</v>
      </c>
      <c r="U730" t="s">
        <v>100</v>
      </c>
      <c r="V730" t="s">
        <v>101</v>
      </c>
      <c r="W730" t="s">
        <v>125</v>
      </c>
      <c r="X730" t="s">
        <v>606</v>
      </c>
      <c r="Y730" t="s">
        <v>119</v>
      </c>
    </row>
    <row r="731" spans="1:25">
      <c r="A731">
        <v>10358</v>
      </c>
      <c r="B731">
        <v>20</v>
      </c>
      <c r="C731">
        <v>36.42</v>
      </c>
      <c r="D731">
        <v>11</v>
      </c>
      <c r="E731">
        <v>728.4</v>
      </c>
      <c r="F731" s="4">
        <v>38272</v>
      </c>
      <c r="G731" t="s">
        <v>93</v>
      </c>
      <c r="H731">
        <v>4</v>
      </c>
      <c r="I731">
        <v>12</v>
      </c>
      <c r="J731">
        <v>2004</v>
      </c>
      <c r="K731" t="s">
        <v>638</v>
      </c>
      <c r="L731">
        <v>122</v>
      </c>
      <c r="M731" t="s">
        <v>759</v>
      </c>
      <c r="N731" t="s">
        <v>257</v>
      </c>
      <c r="O731" t="s">
        <v>258</v>
      </c>
      <c r="P731" t="s">
        <v>259</v>
      </c>
      <c r="R731" t="s">
        <v>260</v>
      </c>
      <c r="T731">
        <v>28034</v>
      </c>
      <c r="U731" t="s">
        <v>261</v>
      </c>
      <c r="V731" t="s">
        <v>110</v>
      </c>
      <c r="W731" t="s">
        <v>262</v>
      </c>
      <c r="X731" t="s">
        <v>263</v>
      </c>
      <c r="Y731" t="s">
        <v>104</v>
      </c>
    </row>
    <row r="732" spans="1:25">
      <c r="A732">
        <v>10370</v>
      </c>
      <c r="B732">
        <v>22</v>
      </c>
      <c r="C732">
        <v>100</v>
      </c>
      <c r="D732">
        <v>5</v>
      </c>
      <c r="E732">
        <v>3949</v>
      </c>
      <c r="F732" t="s">
        <v>378</v>
      </c>
      <c r="G732" t="s">
        <v>93</v>
      </c>
      <c r="H732">
        <v>1</v>
      </c>
      <c r="I732">
        <v>1</v>
      </c>
      <c r="J732">
        <v>2005</v>
      </c>
      <c r="K732" t="s">
        <v>638</v>
      </c>
      <c r="L732">
        <v>122</v>
      </c>
      <c r="M732" t="s">
        <v>759</v>
      </c>
      <c r="N732" t="s">
        <v>384</v>
      </c>
      <c r="O732" t="s">
        <v>385</v>
      </c>
      <c r="P732" t="s">
        <v>386</v>
      </c>
      <c r="Q732" t="s">
        <v>387</v>
      </c>
      <c r="R732" t="s">
        <v>388</v>
      </c>
      <c r="S732" t="s">
        <v>239</v>
      </c>
      <c r="T732">
        <v>2060</v>
      </c>
      <c r="U732" t="s">
        <v>168</v>
      </c>
      <c r="V732" t="s">
        <v>169</v>
      </c>
      <c r="W732" t="s">
        <v>389</v>
      </c>
      <c r="X732" t="s">
        <v>390</v>
      </c>
      <c r="Y732" t="s">
        <v>119</v>
      </c>
    </row>
    <row r="733" spans="1:25">
      <c r="A733">
        <v>10383</v>
      </c>
      <c r="B733">
        <v>27</v>
      </c>
      <c r="C733">
        <v>100</v>
      </c>
      <c r="D733">
        <v>11</v>
      </c>
      <c r="E733">
        <v>3843.99</v>
      </c>
      <c r="F733" t="s">
        <v>760</v>
      </c>
      <c r="G733" t="s">
        <v>93</v>
      </c>
      <c r="H733">
        <v>1</v>
      </c>
      <c r="I733">
        <v>2</v>
      </c>
      <c r="J733">
        <v>2005</v>
      </c>
      <c r="K733" t="s">
        <v>638</v>
      </c>
      <c r="L733">
        <v>122</v>
      </c>
      <c r="M733" t="s">
        <v>759</v>
      </c>
      <c r="N733" t="s">
        <v>257</v>
      </c>
      <c r="O733" t="s">
        <v>258</v>
      </c>
      <c r="P733" t="s">
        <v>259</v>
      </c>
      <c r="R733" t="s">
        <v>260</v>
      </c>
      <c r="T733">
        <v>28034</v>
      </c>
      <c r="U733" t="s">
        <v>261</v>
      </c>
      <c r="V733" t="s">
        <v>110</v>
      </c>
      <c r="W733" t="s">
        <v>262</v>
      </c>
      <c r="X733" t="s">
        <v>263</v>
      </c>
      <c r="Y733" t="s">
        <v>119</v>
      </c>
    </row>
    <row r="734" spans="1:25">
      <c r="A734">
        <v>10412</v>
      </c>
      <c r="B734">
        <v>56</v>
      </c>
      <c r="C734">
        <v>98.18</v>
      </c>
      <c r="D734">
        <v>8</v>
      </c>
      <c r="E734">
        <v>5498.08</v>
      </c>
      <c r="F734" s="4">
        <v>38416</v>
      </c>
      <c r="G734" t="s">
        <v>93</v>
      </c>
      <c r="H734">
        <v>2</v>
      </c>
      <c r="I734">
        <v>5</v>
      </c>
      <c r="J734">
        <v>2005</v>
      </c>
      <c r="K734" t="s">
        <v>638</v>
      </c>
      <c r="L734">
        <v>122</v>
      </c>
      <c r="M734" t="s">
        <v>759</v>
      </c>
      <c r="N734" t="s">
        <v>257</v>
      </c>
      <c r="O734" t="s">
        <v>258</v>
      </c>
      <c r="P734" t="s">
        <v>259</v>
      </c>
      <c r="R734" t="s">
        <v>260</v>
      </c>
      <c r="T734">
        <v>28034</v>
      </c>
      <c r="U734" t="s">
        <v>261</v>
      </c>
      <c r="V734" t="s">
        <v>110</v>
      </c>
      <c r="W734" t="s">
        <v>262</v>
      </c>
      <c r="X734" t="s">
        <v>263</v>
      </c>
      <c r="Y734" t="s">
        <v>119</v>
      </c>
    </row>
    <row r="735" spans="1:25">
      <c r="A735">
        <v>10425</v>
      </c>
      <c r="B735">
        <v>38</v>
      </c>
      <c r="C735">
        <v>99.41</v>
      </c>
      <c r="D735">
        <v>7</v>
      </c>
      <c r="E735">
        <v>3777.58</v>
      </c>
      <c r="F735" t="s">
        <v>399</v>
      </c>
      <c r="G735" t="s">
        <v>400</v>
      </c>
      <c r="H735">
        <v>2</v>
      </c>
      <c r="I735">
        <v>5</v>
      </c>
      <c r="J735">
        <v>2005</v>
      </c>
      <c r="K735" t="s">
        <v>638</v>
      </c>
      <c r="L735">
        <v>122</v>
      </c>
      <c r="M735" t="s">
        <v>759</v>
      </c>
      <c r="N735" t="s">
        <v>190</v>
      </c>
      <c r="O735" t="s">
        <v>191</v>
      </c>
      <c r="P735" t="s">
        <v>192</v>
      </c>
      <c r="R735" t="s">
        <v>193</v>
      </c>
      <c r="T735">
        <v>44000</v>
      </c>
      <c r="U735" t="s">
        <v>109</v>
      </c>
      <c r="V735" t="s">
        <v>110</v>
      </c>
      <c r="W735" t="s">
        <v>194</v>
      </c>
      <c r="X735" t="s">
        <v>195</v>
      </c>
      <c r="Y735" t="s">
        <v>119</v>
      </c>
    </row>
    <row r="736" spans="1:25">
      <c r="A736">
        <v>10101</v>
      </c>
      <c r="B736">
        <v>25</v>
      </c>
      <c r="C736">
        <v>100</v>
      </c>
      <c r="D736">
        <v>4</v>
      </c>
      <c r="E736">
        <v>3782</v>
      </c>
      <c r="F736" s="4">
        <v>37865</v>
      </c>
      <c r="G736" t="s">
        <v>93</v>
      </c>
      <c r="H736">
        <v>1</v>
      </c>
      <c r="I736">
        <v>1</v>
      </c>
      <c r="J736">
        <v>2003</v>
      </c>
      <c r="K736" t="s">
        <v>697</v>
      </c>
      <c r="L736">
        <v>127</v>
      </c>
      <c r="M736" t="s">
        <v>761</v>
      </c>
      <c r="N736" t="s">
        <v>587</v>
      </c>
      <c r="O736" t="s">
        <v>588</v>
      </c>
      <c r="P736" t="s">
        <v>589</v>
      </c>
      <c r="R736" t="s">
        <v>590</v>
      </c>
      <c r="T736">
        <v>60528</v>
      </c>
      <c r="U736" t="s">
        <v>566</v>
      </c>
      <c r="V736" t="s">
        <v>110</v>
      </c>
      <c r="W736" t="s">
        <v>591</v>
      </c>
      <c r="X736" t="s">
        <v>532</v>
      </c>
      <c r="Y736" t="s">
        <v>119</v>
      </c>
    </row>
    <row r="737" spans="1:25">
      <c r="A737">
        <v>10110</v>
      </c>
      <c r="B737">
        <v>33</v>
      </c>
      <c r="C737">
        <v>100</v>
      </c>
      <c r="D737">
        <v>4</v>
      </c>
      <c r="E737">
        <v>3859.68</v>
      </c>
      <c r="F737" t="s">
        <v>720</v>
      </c>
      <c r="G737" t="s">
        <v>93</v>
      </c>
      <c r="H737">
        <v>1</v>
      </c>
      <c r="I737">
        <v>3</v>
      </c>
      <c r="J737">
        <v>2003</v>
      </c>
      <c r="K737" t="s">
        <v>697</v>
      </c>
      <c r="L737">
        <v>127</v>
      </c>
      <c r="M737" t="s">
        <v>761</v>
      </c>
      <c r="N737" t="s">
        <v>624</v>
      </c>
      <c r="O737" t="s">
        <v>625</v>
      </c>
      <c r="P737" t="s">
        <v>626</v>
      </c>
      <c r="R737" t="s">
        <v>627</v>
      </c>
      <c r="T737" t="s">
        <v>628</v>
      </c>
      <c r="U737" t="s">
        <v>252</v>
      </c>
      <c r="V737" t="s">
        <v>110</v>
      </c>
      <c r="W737" t="s">
        <v>629</v>
      </c>
      <c r="X737" t="s">
        <v>167</v>
      </c>
      <c r="Y737" t="s">
        <v>119</v>
      </c>
    </row>
    <row r="738" spans="1:25">
      <c r="A738">
        <v>10124</v>
      </c>
      <c r="B738">
        <v>42</v>
      </c>
      <c r="C738">
        <v>100</v>
      </c>
      <c r="D738">
        <v>3</v>
      </c>
      <c r="E738">
        <v>4431.84</v>
      </c>
      <c r="F738" t="s">
        <v>700</v>
      </c>
      <c r="G738" t="s">
        <v>93</v>
      </c>
      <c r="H738">
        <v>2</v>
      </c>
      <c r="I738">
        <v>5</v>
      </c>
      <c r="J738">
        <v>2003</v>
      </c>
      <c r="K738" t="s">
        <v>697</v>
      </c>
      <c r="L738">
        <v>127</v>
      </c>
      <c r="M738" t="s">
        <v>761</v>
      </c>
      <c r="N738" t="s">
        <v>684</v>
      </c>
      <c r="O738">
        <v>7025551838</v>
      </c>
      <c r="P738" t="s">
        <v>685</v>
      </c>
      <c r="R738" t="s">
        <v>686</v>
      </c>
      <c r="S738" t="s">
        <v>687</v>
      </c>
      <c r="T738">
        <v>83030</v>
      </c>
      <c r="U738" t="s">
        <v>100</v>
      </c>
      <c r="V738" t="s">
        <v>101</v>
      </c>
      <c r="W738" t="s">
        <v>188</v>
      </c>
      <c r="X738" t="s">
        <v>517</v>
      </c>
      <c r="Y738" t="s">
        <v>119</v>
      </c>
    </row>
    <row r="739" spans="1:25">
      <c r="A739">
        <v>10149</v>
      </c>
      <c r="B739">
        <v>33</v>
      </c>
      <c r="C739">
        <v>100</v>
      </c>
      <c r="D739">
        <v>8</v>
      </c>
      <c r="E739">
        <v>4950.33</v>
      </c>
      <c r="F739" s="4">
        <v>37964</v>
      </c>
      <c r="G739" t="s">
        <v>93</v>
      </c>
      <c r="H739">
        <v>3</v>
      </c>
      <c r="I739">
        <v>9</v>
      </c>
      <c r="J739">
        <v>2003</v>
      </c>
      <c r="K739" t="s">
        <v>697</v>
      </c>
      <c r="L739">
        <v>127</v>
      </c>
      <c r="M739" t="s">
        <v>761</v>
      </c>
      <c r="N739" t="s">
        <v>668</v>
      </c>
      <c r="O739">
        <v>4155554312</v>
      </c>
      <c r="P739" t="s">
        <v>669</v>
      </c>
      <c r="R739" t="s">
        <v>670</v>
      </c>
      <c r="S739" t="s">
        <v>124</v>
      </c>
      <c r="T739">
        <v>94217</v>
      </c>
      <c r="U739" t="s">
        <v>100</v>
      </c>
      <c r="V739" t="s">
        <v>101</v>
      </c>
      <c r="W739" t="s">
        <v>671</v>
      </c>
      <c r="X739" t="s">
        <v>517</v>
      </c>
      <c r="Y739" t="s">
        <v>119</v>
      </c>
    </row>
    <row r="740" spans="1:25">
      <c r="A740">
        <v>10162</v>
      </c>
      <c r="B740">
        <v>38</v>
      </c>
      <c r="C740">
        <v>100</v>
      </c>
      <c r="D740">
        <v>6</v>
      </c>
      <c r="E740">
        <v>4299.7</v>
      </c>
      <c r="F740" t="s">
        <v>702</v>
      </c>
      <c r="G740" t="s">
        <v>93</v>
      </c>
      <c r="H740">
        <v>4</v>
      </c>
      <c r="I740">
        <v>10</v>
      </c>
      <c r="J740">
        <v>2003</v>
      </c>
      <c r="K740" t="s">
        <v>697</v>
      </c>
      <c r="L740">
        <v>127</v>
      </c>
      <c r="M740" t="s">
        <v>761</v>
      </c>
      <c r="N740" t="s">
        <v>127</v>
      </c>
      <c r="O740">
        <v>6505551386</v>
      </c>
      <c r="P740" t="s">
        <v>128</v>
      </c>
      <c r="R740" t="s">
        <v>129</v>
      </c>
      <c r="S740" t="s">
        <v>124</v>
      </c>
      <c r="U740" t="s">
        <v>100</v>
      </c>
      <c r="V740" t="s">
        <v>101</v>
      </c>
      <c r="W740" t="s">
        <v>130</v>
      </c>
      <c r="X740" t="s">
        <v>126</v>
      </c>
      <c r="Y740" t="s">
        <v>119</v>
      </c>
    </row>
    <row r="741" spans="1:25">
      <c r="A741">
        <v>10173</v>
      </c>
      <c r="B741">
        <v>31</v>
      </c>
      <c r="C741">
        <v>100</v>
      </c>
      <c r="D741">
        <v>10</v>
      </c>
      <c r="E741">
        <v>4492.83</v>
      </c>
      <c r="F741" s="4">
        <v>37752</v>
      </c>
      <c r="G741" t="s">
        <v>93</v>
      </c>
      <c r="H741">
        <v>4</v>
      </c>
      <c r="I741">
        <v>11</v>
      </c>
      <c r="J741">
        <v>2003</v>
      </c>
      <c r="K741" t="s">
        <v>697</v>
      </c>
      <c r="L741">
        <v>127</v>
      </c>
      <c r="M741" t="s">
        <v>761</v>
      </c>
      <c r="N741" t="s">
        <v>703</v>
      </c>
      <c r="O741" t="s">
        <v>704</v>
      </c>
      <c r="P741" t="s">
        <v>705</v>
      </c>
      <c r="R741" t="s">
        <v>706</v>
      </c>
      <c r="T741">
        <v>24100</v>
      </c>
      <c r="U741" t="s">
        <v>352</v>
      </c>
      <c r="V741" t="s">
        <v>110</v>
      </c>
      <c r="W741" t="s">
        <v>707</v>
      </c>
      <c r="X741" t="s">
        <v>708</v>
      </c>
      <c r="Y741" t="s">
        <v>119</v>
      </c>
    </row>
    <row r="742" spans="1:25">
      <c r="A742">
        <v>10182</v>
      </c>
      <c r="B742">
        <v>20</v>
      </c>
      <c r="C742">
        <v>100</v>
      </c>
      <c r="D742">
        <v>7</v>
      </c>
      <c r="E742">
        <v>2212</v>
      </c>
      <c r="F742" s="4">
        <v>37966</v>
      </c>
      <c r="G742" t="s">
        <v>93</v>
      </c>
      <c r="H742">
        <v>4</v>
      </c>
      <c r="I742">
        <v>11</v>
      </c>
      <c r="J742">
        <v>2003</v>
      </c>
      <c r="K742" t="s">
        <v>697</v>
      </c>
      <c r="L742">
        <v>127</v>
      </c>
      <c r="M742" t="s">
        <v>761</v>
      </c>
      <c r="N742" t="s">
        <v>367</v>
      </c>
      <c r="O742">
        <v>4155551450</v>
      </c>
      <c r="P742" t="s">
        <v>368</v>
      </c>
      <c r="R742" t="s">
        <v>369</v>
      </c>
      <c r="S742" t="s">
        <v>124</v>
      </c>
      <c r="T742">
        <v>97562</v>
      </c>
      <c r="U742" t="s">
        <v>100</v>
      </c>
      <c r="V742" t="s">
        <v>101</v>
      </c>
      <c r="W742" t="s">
        <v>370</v>
      </c>
      <c r="X742" t="s">
        <v>371</v>
      </c>
      <c r="Y742" t="s">
        <v>104</v>
      </c>
    </row>
    <row r="743" spans="1:25">
      <c r="A743">
        <v>10193</v>
      </c>
      <c r="B743">
        <v>44</v>
      </c>
      <c r="C743">
        <v>100</v>
      </c>
      <c r="D743">
        <v>11</v>
      </c>
      <c r="E743">
        <v>4642.88</v>
      </c>
      <c r="F743" t="s">
        <v>709</v>
      </c>
      <c r="G743" t="s">
        <v>93</v>
      </c>
      <c r="H743">
        <v>4</v>
      </c>
      <c r="I743">
        <v>11</v>
      </c>
      <c r="J743">
        <v>2003</v>
      </c>
      <c r="K743" t="s">
        <v>697</v>
      </c>
      <c r="L743">
        <v>127</v>
      </c>
      <c r="M743" t="s">
        <v>761</v>
      </c>
      <c r="N743" t="s">
        <v>710</v>
      </c>
      <c r="O743" t="s">
        <v>711</v>
      </c>
      <c r="P743" t="s">
        <v>712</v>
      </c>
      <c r="R743" t="s">
        <v>713</v>
      </c>
      <c r="S743" t="s">
        <v>167</v>
      </c>
      <c r="T743">
        <v>3150</v>
      </c>
      <c r="U743" t="s">
        <v>168</v>
      </c>
      <c r="V743" t="s">
        <v>169</v>
      </c>
      <c r="W743" t="s">
        <v>714</v>
      </c>
      <c r="X743" t="s">
        <v>715</v>
      </c>
      <c r="Y743" t="s">
        <v>119</v>
      </c>
    </row>
    <row r="744" spans="1:25">
      <c r="A744">
        <v>10204</v>
      </c>
      <c r="B744">
        <v>26</v>
      </c>
      <c r="C744">
        <v>100</v>
      </c>
      <c r="D744">
        <v>1</v>
      </c>
      <c r="E744">
        <v>3206.32</v>
      </c>
      <c r="F744" s="4">
        <v>37664</v>
      </c>
      <c r="G744" t="s">
        <v>93</v>
      </c>
      <c r="H744">
        <v>4</v>
      </c>
      <c r="I744">
        <v>12</v>
      </c>
      <c r="J744">
        <v>2003</v>
      </c>
      <c r="K744" t="s">
        <v>697</v>
      </c>
      <c r="L744">
        <v>127</v>
      </c>
      <c r="M744" t="s">
        <v>761</v>
      </c>
      <c r="N744" t="s">
        <v>603</v>
      </c>
      <c r="O744">
        <v>2125557413</v>
      </c>
      <c r="P744" t="s">
        <v>604</v>
      </c>
      <c r="Q744" t="s">
        <v>605</v>
      </c>
      <c r="R744" t="s">
        <v>98</v>
      </c>
      <c r="S744" t="s">
        <v>99</v>
      </c>
      <c r="T744">
        <v>10022</v>
      </c>
      <c r="U744" t="s">
        <v>100</v>
      </c>
      <c r="V744" t="s">
        <v>101</v>
      </c>
      <c r="W744" t="s">
        <v>125</v>
      </c>
      <c r="X744" t="s">
        <v>606</v>
      </c>
      <c r="Y744" t="s">
        <v>119</v>
      </c>
    </row>
    <row r="745" spans="1:25">
      <c r="A745">
        <v>10214</v>
      </c>
      <c r="B745">
        <v>27</v>
      </c>
      <c r="C745">
        <v>100</v>
      </c>
      <c r="D745">
        <v>4</v>
      </c>
      <c r="E745">
        <v>3604.23</v>
      </c>
      <c r="F745" t="s">
        <v>752</v>
      </c>
      <c r="G745" t="s">
        <v>93</v>
      </c>
      <c r="H745">
        <v>1</v>
      </c>
      <c r="I745">
        <v>1</v>
      </c>
      <c r="J745">
        <v>2004</v>
      </c>
      <c r="K745" t="s">
        <v>697</v>
      </c>
      <c r="L745">
        <v>127</v>
      </c>
      <c r="M745" t="s">
        <v>761</v>
      </c>
      <c r="N745" t="s">
        <v>277</v>
      </c>
      <c r="O745" t="s">
        <v>278</v>
      </c>
      <c r="P745" t="s">
        <v>279</v>
      </c>
      <c r="R745" t="s">
        <v>260</v>
      </c>
      <c r="T745">
        <v>28023</v>
      </c>
      <c r="U745" t="s">
        <v>261</v>
      </c>
      <c r="V745" t="s">
        <v>110</v>
      </c>
      <c r="W745" t="s">
        <v>280</v>
      </c>
      <c r="X745" t="s">
        <v>281</v>
      </c>
      <c r="Y745" t="s">
        <v>119</v>
      </c>
    </row>
    <row r="746" spans="1:25">
      <c r="A746">
        <v>10227</v>
      </c>
      <c r="B746">
        <v>46</v>
      </c>
      <c r="C746">
        <v>100</v>
      </c>
      <c r="D746">
        <v>7</v>
      </c>
      <c r="E746">
        <v>7017.76</v>
      </c>
      <c r="F746" s="4">
        <v>38020</v>
      </c>
      <c r="G746" t="s">
        <v>93</v>
      </c>
      <c r="H746">
        <v>1</v>
      </c>
      <c r="I746">
        <v>3</v>
      </c>
      <c r="J746">
        <v>2004</v>
      </c>
      <c r="K746" t="s">
        <v>697</v>
      </c>
      <c r="L746">
        <v>127</v>
      </c>
      <c r="M746" t="s">
        <v>761</v>
      </c>
      <c r="N746" t="s">
        <v>310</v>
      </c>
      <c r="O746" t="s">
        <v>311</v>
      </c>
      <c r="P746" t="s">
        <v>312</v>
      </c>
      <c r="R746" t="s">
        <v>313</v>
      </c>
      <c r="T746">
        <v>69004</v>
      </c>
      <c r="U746" t="s">
        <v>109</v>
      </c>
      <c r="V746" t="s">
        <v>110</v>
      </c>
      <c r="W746" t="s">
        <v>314</v>
      </c>
      <c r="X746" t="s">
        <v>315</v>
      </c>
      <c r="Y746" t="s">
        <v>232</v>
      </c>
    </row>
    <row r="747" spans="1:25">
      <c r="A747">
        <v>10243</v>
      </c>
      <c r="B747">
        <v>47</v>
      </c>
      <c r="C747">
        <v>100</v>
      </c>
      <c r="D747">
        <v>2</v>
      </c>
      <c r="E747">
        <v>6154.18</v>
      </c>
      <c r="F747" t="s">
        <v>762</v>
      </c>
      <c r="G747" t="s">
        <v>93</v>
      </c>
      <c r="H747">
        <v>2</v>
      </c>
      <c r="I747">
        <v>4</v>
      </c>
      <c r="J747">
        <v>2004</v>
      </c>
      <c r="K747" t="s">
        <v>697</v>
      </c>
      <c r="L747">
        <v>127</v>
      </c>
      <c r="M747" t="s">
        <v>761</v>
      </c>
      <c r="N747" t="s">
        <v>533</v>
      </c>
      <c r="O747">
        <v>6175552555</v>
      </c>
      <c r="P747" t="s">
        <v>534</v>
      </c>
      <c r="R747" t="s">
        <v>492</v>
      </c>
      <c r="S747" t="s">
        <v>200</v>
      </c>
      <c r="T747">
        <v>51003</v>
      </c>
      <c r="U747" t="s">
        <v>100</v>
      </c>
      <c r="V747" t="s">
        <v>101</v>
      </c>
      <c r="W747" t="s">
        <v>535</v>
      </c>
      <c r="X747" t="s">
        <v>371</v>
      </c>
      <c r="Y747" t="s">
        <v>119</v>
      </c>
    </row>
    <row r="748" spans="1:25">
      <c r="A748">
        <v>10280</v>
      </c>
      <c r="B748">
        <v>37</v>
      </c>
      <c r="C748">
        <v>100</v>
      </c>
      <c r="D748">
        <v>13</v>
      </c>
      <c r="E748">
        <v>4750.8</v>
      </c>
      <c r="F748" t="s">
        <v>347</v>
      </c>
      <c r="G748" t="s">
        <v>93</v>
      </c>
      <c r="H748">
        <v>3</v>
      </c>
      <c r="I748">
        <v>8</v>
      </c>
      <c r="J748">
        <v>2004</v>
      </c>
      <c r="K748" t="s">
        <v>697</v>
      </c>
      <c r="L748">
        <v>127</v>
      </c>
      <c r="M748" t="s">
        <v>761</v>
      </c>
      <c r="N748" t="s">
        <v>348</v>
      </c>
      <c r="O748" t="s">
        <v>349</v>
      </c>
      <c r="P748" t="s">
        <v>350</v>
      </c>
      <c r="R748" t="s">
        <v>351</v>
      </c>
      <c r="T748">
        <v>10100</v>
      </c>
      <c r="U748" t="s">
        <v>352</v>
      </c>
      <c r="V748" t="s">
        <v>110</v>
      </c>
      <c r="W748" t="s">
        <v>353</v>
      </c>
      <c r="X748" t="s">
        <v>354</v>
      </c>
      <c r="Y748" t="s">
        <v>119</v>
      </c>
    </row>
    <row r="749" spans="1:25">
      <c r="A749">
        <v>10288</v>
      </c>
      <c r="B749">
        <v>31</v>
      </c>
      <c r="C749">
        <v>100</v>
      </c>
      <c r="D749">
        <v>2</v>
      </c>
      <c r="E749">
        <v>3822.92</v>
      </c>
      <c r="F749" s="4">
        <v>37995</v>
      </c>
      <c r="G749" t="s">
        <v>93</v>
      </c>
      <c r="H749">
        <v>3</v>
      </c>
      <c r="I749">
        <v>9</v>
      </c>
      <c r="J749">
        <v>2004</v>
      </c>
      <c r="K749" t="s">
        <v>697</v>
      </c>
      <c r="L749">
        <v>127</v>
      </c>
      <c r="M749" t="s">
        <v>761</v>
      </c>
      <c r="N749" t="s">
        <v>536</v>
      </c>
      <c r="O749" t="s">
        <v>537</v>
      </c>
      <c r="P749" t="s">
        <v>538</v>
      </c>
      <c r="Q749" t="s">
        <v>539</v>
      </c>
      <c r="R749" t="s">
        <v>287</v>
      </c>
      <c r="T749">
        <v>69045</v>
      </c>
      <c r="U749" t="s">
        <v>287</v>
      </c>
      <c r="V749" t="s">
        <v>169</v>
      </c>
      <c r="W749" t="s">
        <v>540</v>
      </c>
      <c r="X749" t="s">
        <v>541</v>
      </c>
      <c r="Y749" t="s">
        <v>119</v>
      </c>
    </row>
    <row r="750" spans="1:25">
      <c r="A750">
        <v>10304</v>
      </c>
      <c r="B750">
        <v>24</v>
      </c>
      <c r="C750">
        <v>100</v>
      </c>
      <c r="D750">
        <v>17</v>
      </c>
      <c r="E750">
        <v>2440.8000000000002</v>
      </c>
      <c r="F750" s="4">
        <v>38301</v>
      </c>
      <c r="G750" t="s">
        <v>93</v>
      </c>
      <c r="H750">
        <v>4</v>
      </c>
      <c r="I750">
        <v>10</v>
      </c>
      <c r="J750">
        <v>2004</v>
      </c>
      <c r="K750" t="s">
        <v>697</v>
      </c>
      <c r="L750">
        <v>127</v>
      </c>
      <c r="M750" t="s">
        <v>761</v>
      </c>
      <c r="N750" t="s">
        <v>361</v>
      </c>
      <c r="O750" t="s">
        <v>362</v>
      </c>
      <c r="P750" t="s">
        <v>363</v>
      </c>
      <c r="R750" t="s">
        <v>364</v>
      </c>
      <c r="T750">
        <v>78000</v>
      </c>
      <c r="U750" t="s">
        <v>109</v>
      </c>
      <c r="V750" t="s">
        <v>110</v>
      </c>
      <c r="W750" t="s">
        <v>365</v>
      </c>
      <c r="X750" t="s">
        <v>118</v>
      </c>
      <c r="Y750" t="s">
        <v>104</v>
      </c>
    </row>
    <row r="751" spans="1:25">
      <c r="A751">
        <v>10312</v>
      </c>
      <c r="B751">
        <v>31</v>
      </c>
      <c r="C751">
        <v>100</v>
      </c>
      <c r="D751">
        <v>14</v>
      </c>
      <c r="E751">
        <v>4729.3599999999997</v>
      </c>
      <c r="F751" t="s">
        <v>366</v>
      </c>
      <c r="G751" t="s">
        <v>93</v>
      </c>
      <c r="H751">
        <v>4</v>
      </c>
      <c r="I751">
        <v>10</v>
      </c>
      <c r="J751">
        <v>2004</v>
      </c>
      <c r="K751" t="s">
        <v>697</v>
      </c>
      <c r="L751">
        <v>127</v>
      </c>
      <c r="M751" t="s">
        <v>761</v>
      </c>
      <c r="N751" t="s">
        <v>367</v>
      </c>
      <c r="O751">
        <v>4155551450</v>
      </c>
      <c r="P751" t="s">
        <v>368</v>
      </c>
      <c r="R751" t="s">
        <v>369</v>
      </c>
      <c r="S751" t="s">
        <v>124</v>
      </c>
      <c r="T751">
        <v>97562</v>
      </c>
      <c r="U751" t="s">
        <v>100</v>
      </c>
      <c r="V751" t="s">
        <v>101</v>
      </c>
      <c r="W751" t="s">
        <v>370</v>
      </c>
      <c r="X751" t="s">
        <v>371</v>
      </c>
      <c r="Y751" t="s">
        <v>119</v>
      </c>
    </row>
    <row r="752" spans="1:25">
      <c r="A752">
        <v>10322</v>
      </c>
      <c r="B752">
        <v>50</v>
      </c>
      <c r="C752">
        <v>100</v>
      </c>
      <c r="D752">
        <v>6</v>
      </c>
      <c r="E752">
        <v>12536.5</v>
      </c>
      <c r="F752" s="4">
        <v>38088</v>
      </c>
      <c r="G752" t="s">
        <v>93</v>
      </c>
      <c r="H752">
        <v>4</v>
      </c>
      <c r="I752">
        <v>11</v>
      </c>
      <c r="J752">
        <v>2004</v>
      </c>
      <c r="K752" t="s">
        <v>697</v>
      </c>
      <c r="L752">
        <v>127</v>
      </c>
      <c r="M752" t="s">
        <v>761</v>
      </c>
      <c r="N752" t="s">
        <v>372</v>
      </c>
      <c r="O752">
        <v>6035558647</v>
      </c>
      <c r="P752" t="s">
        <v>373</v>
      </c>
      <c r="R752" t="s">
        <v>374</v>
      </c>
      <c r="S752" t="s">
        <v>375</v>
      </c>
      <c r="T752">
        <v>62005</v>
      </c>
      <c r="U752" t="s">
        <v>100</v>
      </c>
      <c r="V752" t="s">
        <v>101</v>
      </c>
      <c r="W752" t="s">
        <v>125</v>
      </c>
      <c r="X752" t="s">
        <v>371</v>
      </c>
      <c r="Y752" t="s">
        <v>232</v>
      </c>
    </row>
    <row r="753" spans="1:25">
      <c r="A753">
        <v>10332</v>
      </c>
      <c r="B753">
        <v>35</v>
      </c>
      <c r="C753">
        <v>64.69</v>
      </c>
      <c r="D753">
        <v>8</v>
      </c>
      <c r="E753">
        <v>2264.15</v>
      </c>
      <c r="F753" t="s">
        <v>695</v>
      </c>
      <c r="G753" t="s">
        <v>93</v>
      </c>
      <c r="H753">
        <v>4</v>
      </c>
      <c r="I753">
        <v>11</v>
      </c>
      <c r="J753">
        <v>2004</v>
      </c>
      <c r="K753" t="s">
        <v>697</v>
      </c>
      <c r="L753">
        <v>127</v>
      </c>
      <c r="M753" t="s">
        <v>761</v>
      </c>
      <c r="N753" t="s">
        <v>624</v>
      </c>
      <c r="O753" t="s">
        <v>625</v>
      </c>
      <c r="P753" t="s">
        <v>626</v>
      </c>
      <c r="R753" t="s">
        <v>627</v>
      </c>
      <c r="T753" t="s">
        <v>628</v>
      </c>
      <c r="U753" t="s">
        <v>252</v>
      </c>
      <c r="V753" t="s">
        <v>110</v>
      </c>
      <c r="W753" t="s">
        <v>629</v>
      </c>
      <c r="X753" t="s">
        <v>167</v>
      </c>
      <c r="Y753" t="s">
        <v>104</v>
      </c>
    </row>
    <row r="754" spans="1:25">
      <c r="A754">
        <v>10344</v>
      </c>
      <c r="B754">
        <v>30</v>
      </c>
      <c r="C754">
        <v>100</v>
      </c>
      <c r="D754">
        <v>3</v>
      </c>
      <c r="E754">
        <v>3928.2</v>
      </c>
      <c r="F754" t="s">
        <v>753</v>
      </c>
      <c r="G754" t="s">
        <v>93</v>
      </c>
      <c r="H754">
        <v>4</v>
      </c>
      <c r="I754">
        <v>11</v>
      </c>
      <c r="J754">
        <v>2004</v>
      </c>
      <c r="K754" t="s">
        <v>697</v>
      </c>
      <c r="L754">
        <v>127</v>
      </c>
      <c r="M754" t="s">
        <v>761</v>
      </c>
      <c r="N754" t="s">
        <v>555</v>
      </c>
      <c r="O754" t="s">
        <v>556</v>
      </c>
      <c r="P754" t="s">
        <v>557</v>
      </c>
      <c r="R754" t="s">
        <v>558</v>
      </c>
      <c r="T754">
        <v>13008</v>
      </c>
      <c r="U754" t="s">
        <v>109</v>
      </c>
      <c r="V754" t="s">
        <v>110</v>
      </c>
      <c r="W754" t="s">
        <v>559</v>
      </c>
      <c r="X754" t="s">
        <v>560</v>
      </c>
      <c r="Y754" t="s">
        <v>119</v>
      </c>
    </row>
    <row r="755" spans="1:25">
      <c r="A755">
        <v>10356</v>
      </c>
      <c r="B755">
        <v>29</v>
      </c>
      <c r="C755">
        <v>100</v>
      </c>
      <c r="D755">
        <v>3</v>
      </c>
      <c r="E755">
        <v>3630.22</v>
      </c>
      <c r="F755" s="4">
        <v>38242</v>
      </c>
      <c r="G755" t="s">
        <v>93</v>
      </c>
      <c r="H755">
        <v>4</v>
      </c>
      <c r="I755">
        <v>12</v>
      </c>
      <c r="J755">
        <v>2004</v>
      </c>
      <c r="K755" t="s">
        <v>697</v>
      </c>
      <c r="L755">
        <v>127</v>
      </c>
      <c r="M755" t="s">
        <v>761</v>
      </c>
      <c r="N755" t="s">
        <v>113</v>
      </c>
      <c r="O755" t="s">
        <v>114</v>
      </c>
      <c r="P755" t="s">
        <v>115</v>
      </c>
      <c r="R755" t="s">
        <v>116</v>
      </c>
      <c r="T755">
        <v>75508</v>
      </c>
      <c r="U755" t="s">
        <v>109</v>
      </c>
      <c r="V755" t="s">
        <v>110</v>
      </c>
      <c r="W755" t="s">
        <v>117</v>
      </c>
      <c r="X755" t="s">
        <v>118</v>
      </c>
      <c r="Y755" t="s">
        <v>119</v>
      </c>
    </row>
    <row r="756" spans="1:25">
      <c r="A756">
        <v>10367</v>
      </c>
      <c r="B756">
        <v>27</v>
      </c>
      <c r="C756">
        <v>100</v>
      </c>
      <c r="D756">
        <v>5</v>
      </c>
      <c r="E756">
        <v>4196.07</v>
      </c>
      <c r="F756" s="4">
        <v>38687</v>
      </c>
      <c r="G756" t="s">
        <v>526</v>
      </c>
      <c r="H756">
        <v>1</v>
      </c>
      <c r="I756">
        <v>1</v>
      </c>
      <c r="J756">
        <v>2005</v>
      </c>
      <c r="K756" t="s">
        <v>697</v>
      </c>
      <c r="L756">
        <v>127</v>
      </c>
      <c r="M756" t="s">
        <v>761</v>
      </c>
      <c r="N756" t="s">
        <v>121</v>
      </c>
      <c r="O756">
        <v>6265557265</v>
      </c>
      <c r="P756" t="s">
        <v>122</v>
      </c>
      <c r="R756" t="s">
        <v>123</v>
      </c>
      <c r="S756" t="s">
        <v>124</v>
      </c>
      <c r="T756">
        <v>90003</v>
      </c>
      <c r="U756" t="s">
        <v>100</v>
      </c>
      <c r="V756" t="s">
        <v>101</v>
      </c>
      <c r="W756" t="s">
        <v>125</v>
      </c>
      <c r="X756" t="s">
        <v>126</v>
      </c>
      <c r="Y756" t="s">
        <v>119</v>
      </c>
    </row>
    <row r="757" spans="1:25">
      <c r="A757">
        <v>10380</v>
      </c>
      <c r="B757">
        <v>40</v>
      </c>
      <c r="C757">
        <v>100</v>
      </c>
      <c r="D757">
        <v>10</v>
      </c>
      <c r="E757">
        <v>4931.6000000000004</v>
      </c>
      <c r="F757" t="s">
        <v>717</v>
      </c>
      <c r="G757" t="s">
        <v>93</v>
      </c>
      <c r="H757">
        <v>1</v>
      </c>
      <c r="I757">
        <v>2</v>
      </c>
      <c r="J757">
        <v>2005</v>
      </c>
      <c r="K757" t="s">
        <v>697</v>
      </c>
      <c r="L757">
        <v>127</v>
      </c>
      <c r="M757" t="s">
        <v>761</v>
      </c>
      <c r="N757" t="s">
        <v>257</v>
      </c>
      <c r="O757" t="s">
        <v>258</v>
      </c>
      <c r="P757" t="s">
        <v>259</v>
      </c>
      <c r="R757" t="s">
        <v>260</v>
      </c>
      <c r="T757">
        <v>28034</v>
      </c>
      <c r="U757" t="s">
        <v>261</v>
      </c>
      <c r="V757" t="s">
        <v>110</v>
      </c>
      <c r="W757" t="s">
        <v>262</v>
      </c>
      <c r="X757" t="s">
        <v>263</v>
      </c>
      <c r="Y757" t="s">
        <v>119</v>
      </c>
    </row>
    <row r="758" spans="1:25">
      <c r="A758">
        <v>10390</v>
      </c>
      <c r="B758">
        <v>31</v>
      </c>
      <c r="C758">
        <v>98.99</v>
      </c>
      <c r="D758">
        <v>16</v>
      </c>
      <c r="E758">
        <v>3068.69</v>
      </c>
      <c r="F758" s="4">
        <v>38445</v>
      </c>
      <c r="G758" t="s">
        <v>93</v>
      </c>
      <c r="H758">
        <v>1</v>
      </c>
      <c r="I758">
        <v>3</v>
      </c>
      <c r="J758">
        <v>2005</v>
      </c>
      <c r="K758" t="s">
        <v>697</v>
      </c>
      <c r="L758">
        <v>127</v>
      </c>
      <c r="M758" t="s">
        <v>761</v>
      </c>
      <c r="N758" t="s">
        <v>367</v>
      </c>
      <c r="O758">
        <v>4155551450</v>
      </c>
      <c r="P758" t="s">
        <v>368</v>
      </c>
      <c r="R758" t="s">
        <v>369</v>
      </c>
      <c r="S758" t="s">
        <v>124</v>
      </c>
      <c r="T758">
        <v>97562</v>
      </c>
      <c r="U758" t="s">
        <v>100</v>
      </c>
      <c r="V758" t="s">
        <v>101</v>
      </c>
      <c r="W758" t="s">
        <v>370</v>
      </c>
      <c r="X758" t="s">
        <v>371</v>
      </c>
      <c r="Y758" t="s">
        <v>119</v>
      </c>
    </row>
    <row r="759" spans="1:25">
      <c r="A759">
        <v>10409</v>
      </c>
      <c r="B759">
        <v>6</v>
      </c>
      <c r="C759">
        <v>100</v>
      </c>
      <c r="D759">
        <v>2</v>
      </c>
      <c r="E759">
        <v>785.64</v>
      </c>
      <c r="F759" t="s">
        <v>763</v>
      </c>
      <c r="G759" t="s">
        <v>93</v>
      </c>
      <c r="H759">
        <v>2</v>
      </c>
      <c r="I759">
        <v>4</v>
      </c>
      <c r="J759">
        <v>2005</v>
      </c>
      <c r="K759" t="s">
        <v>697</v>
      </c>
      <c r="L759">
        <v>127</v>
      </c>
      <c r="M759" t="s">
        <v>761</v>
      </c>
      <c r="N759" t="s">
        <v>536</v>
      </c>
      <c r="O759" t="s">
        <v>537</v>
      </c>
      <c r="P759" t="s">
        <v>538</v>
      </c>
      <c r="Q759" t="s">
        <v>539</v>
      </c>
      <c r="R759" t="s">
        <v>287</v>
      </c>
      <c r="T759">
        <v>69045</v>
      </c>
      <c r="U759" t="s">
        <v>287</v>
      </c>
      <c r="V759" t="s">
        <v>169</v>
      </c>
      <c r="W759" t="s">
        <v>540</v>
      </c>
      <c r="X759" t="s">
        <v>541</v>
      </c>
      <c r="Y759" t="s">
        <v>104</v>
      </c>
    </row>
    <row r="760" spans="1:25">
      <c r="A760">
        <v>10420</v>
      </c>
      <c r="B760">
        <v>45</v>
      </c>
      <c r="C760">
        <v>100</v>
      </c>
      <c r="D760">
        <v>2</v>
      </c>
      <c r="E760">
        <v>4977</v>
      </c>
      <c r="F760" t="s">
        <v>754</v>
      </c>
      <c r="G760" t="s">
        <v>400</v>
      </c>
      <c r="H760">
        <v>2</v>
      </c>
      <c r="I760">
        <v>5</v>
      </c>
      <c r="J760">
        <v>2005</v>
      </c>
      <c r="K760" t="s">
        <v>697</v>
      </c>
      <c r="L760">
        <v>127</v>
      </c>
      <c r="M760" t="s">
        <v>761</v>
      </c>
      <c r="N760" t="s">
        <v>234</v>
      </c>
      <c r="O760" t="s">
        <v>235</v>
      </c>
      <c r="P760" t="s">
        <v>236</v>
      </c>
      <c r="Q760" t="s">
        <v>237</v>
      </c>
      <c r="R760" t="s">
        <v>238</v>
      </c>
      <c r="S760" t="s">
        <v>239</v>
      </c>
      <c r="T760">
        <v>2067</v>
      </c>
      <c r="U760" t="s">
        <v>168</v>
      </c>
      <c r="V760" t="s">
        <v>169</v>
      </c>
      <c r="W760" t="s">
        <v>240</v>
      </c>
      <c r="X760" t="s">
        <v>241</v>
      </c>
      <c r="Y760" t="s">
        <v>119</v>
      </c>
    </row>
    <row r="761" spans="1:25">
      <c r="A761">
        <v>10103</v>
      </c>
      <c r="B761">
        <v>22</v>
      </c>
      <c r="C761">
        <v>54.09</v>
      </c>
      <c r="D761">
        <v>2</v>
      </c>
      <c r="E761">
        <v>1189.98</v>
      </c>
      <c r="F761" t="s">
        <v>264</v>
      </c>
      <c r="G761" t="s">
        <v>93</v>
      </c>
      <c r="H761">
        <v>1</v>
      </c>
      <c r="I761">
        <v>1</v>
      </c>
      <c r="J761">
        <v>2003</v>
      </c>
      <c r="K761" t="s">
        <v>638</v>
      </c>
      <c r="L761">
        <v>60</v>
      </c>
      <c r="M761" t="s">
        <v>764</v>
      </c>
      <c r="N761" t="s">
        <v>212</v>
      </c>
      <c r="O761" t="s">
        <v>213</v>
      </c>
      <c r="P761" t="s">
        <v>214</v>
      </c>
      <c r="R761" t="s">
        <v>215</v>
      </c>
      <c r="T761">
        <v>4110</v>
      </c>
      <c r="U761" t="s">
        <v>149</v>
      </c>
      <c r="V761" t="s">
        <v>110</v>
      </c>
      <c r="W761" t="s">
        <v>216</v>
      </c>
      <c r="X761" t="s">
        <v>217</v>
      </c>
      <c r="Y761" t="s">
        <v>104</v>
      </c>
    </row>
    <row r="762" spans="1:25">
      <c r="A762">
        <v>10114</v>
      </c>
      <c r="B762">
        <v>45</v>
      </c>
      <c r="C762">
        <v>68.67</v>
      </c>
      <c r="D762">
        <v>6</v>
      </c>
      <c r="E762">
        <v>3090.15</v>
      </c>
      <c r="F762" s="4">
        <v>37625</v>
      </c>
      <c r="G762" t="s">
        <v>93</v>
      </c>
      <c r="H762">
        <v>2</v>
      </c>
      <c r="I762">
        <v>4</v>
      </c>
      <c r="J762">
        <v>2003</v>
      </c>
      <c r="K762" t="s">
        <v>638</v>
      </c>
      <c r="L762">
        <v>60</v>
      </c>
      <c r="M762" t="s">
        <v>764</v>
      </c>
      <c r="N762" t="s">
        <v>520</v>
      </c>
      <c r="O762" t="s">
        <v>521</v>
      </c>
      <c r="P762" t="s">
        <v>522</v>
      </c>
      <c r="R762" t="s">
        <v>116</v>
      </c>
      <c r="T762">
        <v>75012</v>
      </c>
      <c r="U762" t="s">
        <v>109</v>
      </c>
      <c r="V762" t="s">
        <v>110</v>
      </c>
      <c r="W762" t="s">
        <v>523</v>
      </c>
      <c r="X762" t="s">
        <v>524</v>
      </c>
      <c r="Y762" t="s">
        <v>119</v>
      </c>
    </row>
    <row r="763" spans="1:25">
      <c r="A763">
        <v>10126</v>
      </c>
      <c r="B763">
        <v>43</v>
      </c>
      <c r="C763">
        <v>65.02</v>
      </c>
      <c r="D763">
        <v>2</v>
      </c>
      <c r="E763">
        <v>2795.86</v>
      </c>
      <c r="F763" t="s">
        <v>276</v>
      </c>
      <c r="G763" t="s">
        <v>93</v>
      </c>
      <c r="H763">
        <v>2</v>
      </c>
      <c r="I763">
        <v>5</v>
      </c>
      <c r="J763">
        <v>2003</v>
      </c>
      <c r="K763" t="s">
        <v>638</v>
      </c>
      <c r="L763">
        <v>60</v>
      </c>
      <c r="M763" t="s">
        <v>764</v>
      </c>
      <c r="N763" t="s">
        <v>277</v>
      </c>
      <c r="O763" t="s">
        <v>278</v>
      </c>
      <c r="P763" t="s">
        <v>279</v>
      </c>
      <c r="R763" t="s">
        <v>260</v>
      </c>
      <c r="T763">
        <v>28023</v>
      </c>
      <c r="U763" t="s">
        <v>261</v>
      </c>
      <c r="V763" t="s">
        <v>110</v>
      </c>
      <c r="W763" t="s">
        <v>280</v>
      </c>
      <c r="X763" t="s">
        <v>281</v>
      </c>
      <c r="Y763" t="s">
        <v>104</v>
      </c>
    </row>
    <row r="764" spans="1:25">
      <c r="A764">
        <v>10140</v>
      </c>
      <c r="B764">
        <v>46</v>
      </c>
      <c r="C764">
        <v>61.99</v>
      </c>
      <c r="D764">
        <v>2</v>
      </c>
      <c r="E764">
        <v>2851.54</v>
      </c>
      <c r="F764" t="s">
        <v>282</v>
      </c>
      <c r="G764" t="s">
        <v>93</v>
      </c>
      <c r="H764">
        <v>3</v>
      </c>
      <c r="I764">
        <v>7</v>
      </c>
      <c r="J764">
        <v>2003</v>
      </c>
      <c r="K764" t="s">
        <v>638</v>
      </c>
      <c r="L764">
        <v>60</v>
      </c>
      <c r="M764" t="s">
        <v>764</v>
      </c>
      <c r="N764" t="s">
        <v>132</v>
      </c>
      <c r="O764">
        <v>6505556809</v>
      </c>
      <c r="P764" t="s">
        <v>133</v>
      </c>
      <c r="R764" t="s">
        <v>134</v>
      </c>
      <c r="S764" t="s">
        <v>124</v>
      </c>
      <c r="T764">
        <v>94217</v>
      </c>
      <c r="U764" t="s">
        <v>100</v>
      </c>
      <c r="V764" t="s">
        <v>101</v>
      </c>
      <c r="W764" t="s">
        <v>135</v>
      </c>
      <c r="X764" t="s">
        <v>136</v>
      </c>
      <c r="Y764" t="s">
        <v>104</v>
      </c>
    </row>
    <row r="765" spans="1:25">
      <c r="A765">
        <v>10151</v>
      </c>
      <c r="B765">
        <v>39</v>
      </c>
      <c r="C765">
        <v>69.28</v>
      </c>
      <c r="D765">
        <v>9</v>
      </c>
      <c r="E765">
        <v>2701.92</v>
      </c>
      <c r="F765" t="s">
        <v>661</v>
      </c>
      <c r="G765" t="s">
        <v>93</v>
      </c>
      <c r="H765">
        <v>3</v>
      </c>
      <c r="I765">
        <v>9</v>
      </c>
      <c r="J765">
        <v>2003</v>
      </c>
      <c r="K765" t="s">
        <v>638</v>
      </c>
      <c r="L765">
        <v>60</v>
      </c>
      <c r="M765" t="s">
        <v>764</v>
      </c>
      <c r="N765" t="s">
        <v>506</v>
      </c>
      <c r="O765" t="s">
        <v>507</v>
      </c>
      <c r="P765" t="s">
        <v>508</v>
      </c>
      <c r="R765" t="s">
        <v>509</v>
      </c>
      <c r="T765">
        <v>90110</v>
      </c>
      <c r="U765" t="s">
        <v>208</v>
      </c>
      <c r="V765" t="s">
        <v>110</v>
      </c>
      <c r="W765" t="s">
        <v>510</v>
      </c>
      <c r="X765" t="s">
        <v>511</v>
      </c>
      <c r="Y765" t="s">
        <v>104</v>
      </c>
    </row>
    <row r="766" spans="1:25">
      <c r="A766">
        <v>10165</v>
      </c>
      <c r="B766">
        <v>31</v>
      </c>
      <c r="C766">
        <v>71.099999999999994</v>
      </c>
      <c r="D766">
        <v>18</v>
      </c>
      <c r="E766">
        <v>2204.1</v>
      </c>
      <c r="F766" t="s">
        <v>608</v>
      </c>
      <c r="G766" t="s">
        <v>93</v>
      </c>
      <c r="H766">
        <v>4</v>
      </c>
      <c r="I766">
        <v>10</v>
      </c>
      <c r="J766">
        <v>2003</v>
      </c>
      <c r="K766" t="s">
        <v>638</v>
      </c>
      <c r="L766">
        <v>60</v>
      </c>
      <c r="M766" t="s">
        <v>764</v>
      </c>
      <c r="N766" t="s">
        <v>284</v>
      </c>
      <c r="O766" t="s">
        <v>285</v>
      </c>
      <c r="P766" t="s">
        <v>286</v>
      </c>
      <c r="R766" t="s">
        <v>287</v>
      </c>
      <c r="T766">
        <v>79903</v>
      </c>
      <c r="U766" t="s">
        <v>287</v>
      </c>
      <c r="V766" t="s">
        <v>288</v>
      </c>
      <c r="W766" t="s">
        <v>289</v>
      </c>
      <c r="X766" t="s">
        <v>290</v>
      </c>
      <c r="Y766" t="s">
        <v>104</v>
      </c>
    </row>
    <row r="767" spans="1:25">
      <c r="A767">
        <v>10175</v>
      </c>
      <c r="B767">
        <v>41</v>
      </c>
      <c r="C767">
        <v>69.28</v>
      </c>
      <c r="D767">
        <v>7</v>
      </c>
      <c r="E767">
        <v>2840.48</v>
      </c>
      <c r="F767" s="4">
        <v>37783</v>
      </c>
      <c r="G767" t="s">
        <v>93</v>
      </c>
      <c r="H767">
        <v>4</v>
      </c>
      <c r="I767">
        <v>11</v>
      </c>
      <c r="J767">
        <v>2003</v>
      </c>
      <c r="K767" t="s">
        <v>638</v>
      </c>
      <c r="L767">
        <v>60</v>
      </c>
      <c r="M767" t="s">
        <v>764</v>
      </c>
      <c r="N767" t="s">
        <v>433</v>
      </c>
      <c r="O767" t="s">
        <v>434</v>
      </c>
      <c r="P767" t="s">
        <v>435</v>
      </c>
      <c r="R767" t="s">
        <v>436</v>
      </c>
      <c r="T767" t="s">
        <v>437</v>
      </c>
      <c r="U767" t="s">
        <v>252</v>
      </c>
      <c r="V767" t="s">
        <v>110</v>
      </c>
      <c r="W767" t="s">
        <v>130</v>
      </c>
      <c r="X767" t="s">
        <v>438</v>
      </c>
      <c r="Y767" t="s">
        <v>104</v>
      </c>
    </row>
    <row r="768" spans="1:25">
      <c r="A768">
        <v>10184</v>
      </c>
      <c r="B768">
        <v>44</v>
      </c>
      <c r="C768">
        <v>60.16</v>
      </c>
      <c r="D768">
        <v>12</v>
      </c>
      <c r="E768">
        <v>2647.04</v>
      </c>
      <c r="F768" t="s">
        <v>451</v>
      </c>
      <c r="G768" t="s">
        <v>93</v>
      </c>
      <c r="H768">
        <v>4</v>
      </c>
      <c r="I768">
        <v>11</v>
      </c>
      <c r="J768">
        <v>2003</v>
      </c>
      <c r="K768" t="s">
        <v>638</v>
      </c>
      <c r="L768">
        <v>60</v>
      </c>
      <c r="M768" t="s">
        <v>764</v>
      </c>
      <c r="N768" t="s">
        <v>662</v>
      </c>
      <c r="O768" t="s">
        <v>663</v>
      </c>
      <c r="P768" t="s">
        <v>664</v>
      </c>
      <c r="R768" t="s">
        <v>665</v>
      </c>
      <c r="T768">
        <v>41101</v>
      </c>
      <c r="U768" t="s">
        <v>261</v>
      </c>
      <c r="V768" t="s">
        <v>110</v>
      </c>
      <c r="W768" t="s">
        <v>666</v>
      </c>
      <c r="X768" t="s">
        <v>667</v>
      </c>
      <c r="Y768" t="s">
        <v>104</v>
      </c>
    </row>
    <row r="769" spans="1:25">
      <c r="A769">
        <v>10194</v>
      </c>
      <c r="B769">
        <v>45</v>
      </c>
      <c r="C769">
        <v>70.489999999999995</v>
      </c>
      <c r="D769">
        <v>2</v>
      </c>
      <c r="E769">
        <v>3172.05</v>
      </c>
      <c r="F769" t="s">
        <v>309</v>
      </c>
      <c r="G769" t="s">
        <v>93</v>
      </c>
      <c r="H769">
        <v>4</v>
      </c>
      <c r="I769">
        <v>11</v>
      </c>
      <c r="J769">
        <v>2003</v>
      </c>
      <c r="K769" t="s">
        <v>638</v>
      </c>
      <c r="L769">
        <v>60</v>
      </c>
      <c r="M769" t="s">
        <v>764</v>
      </c>
      <c r="N769" t="s">
        <v>310</v>
      </c>
      <c r="O769" t="s">
        <v>311</v>
      </c>
      <c r="P769" t="s">
        <v>312</v>
      </c>
      <c r="R769" t="s">
        <v>313</v>
      </c>
      <c r="T769">
        <v>69004</v>
      </c>
      <c r="U769" t="s">
        <v>109</v>
      </c>
      <c r="V769" t="s">
        <v>110</v>
      </c>
      <c r="W769" t="s">
        <v>314</v>
      </c>
      <c r="X769" t="s">
        <v>315</v>
      </c>
      <c r="Y769" t="s">
        <v>119</v>
      </c>
    </row>
    <row r="770" spans="1:25">
      <c r="A770">
        <v>10207</v>
      </c>
      <c r="B770">
        <v>37</v>
      </c>
      <c r="C770">
        <v>69.89</v>
      </c>
      <c r="D770">
        <v>13</v>
      </c>
      <c r="E770">
        <v>2585.9299999999998</v>
      </c>
      <c r="F770" s="4">
        <v>37876</v>
      </c>
      <c r="G770" t="s">
        <v>93</v>
      </c>
      <c r="H770">
        <v>4</v>
      </c>
      <c r="I770">
        <v>12</v>
      </c>
      <c r="J770">
        <v>2003</v>
      </c>
      <c r="K770" t="s">
        <v>638</v>
      </c>
      <c r="L770">
        <v>60</v>
      </c>
      <c r="M770" t="s">
        <v>764</v>
      </c>
      <c r="N770" t="s">
        <v>533</v>
      </c>
      <c r="O770">
        <v>6175552555</v>
      </c>
      <c r="P770" t="s">
        <v>534</v>
      </c>
      <c r="R770" t="s">
        <v>492</v>
      </c>
      <c r="S770" t="s">
        <v>200</v>
      </c>
      <c r="T770">
        <v>51003</v>
      </c>
      <c r="U770" t="s">
        <v>100</v>
      </c>
      <c r="V770" t="s">
        <v>101</v>
      </c>
      <c r="W770" t="s">
        <v>535</v>
      </c>
      <c r="X770" t="s">
        <v>371</v>
      </c>
      <c r="Y770" t="s">
        <v>104</v>
      </c>
    </row>
    <row r="771" spans="1:25">
      <c r="A771">
        <v>10217</v>
      </c>
      <c r="B771">
        <v>35</v>
      </c>
      <c r="C771">
        <v>61.38</v>
      </c>
      <c r="D771">
        <v>2</v>
      </c>
      <c r="E771">
        <v>2148.3000000000002</v>
      </c>
      <c r="F771" s="4">
        <v>38079</v>
      </c>
      <c r="G771" t="s">
        <v>93</v>
      </c>
      <c r="H771">
        <v>1</v>
      </c>
      <c r="I771">
        <v>2</v>
      </c>
      <c r="J771">
        <v>2004</v>
      </c>
      <c r="K771" t="s">
        <v>638</v>
      </c>
      <c r="L771">
        <v>60</v>
      </c>
      <c r="M771" t="s">
        <v>764</v>
      </c>
      <c r="N771" t="s">
        <v>536</v>
      </c>
      <c r="O771" t="s">
        <v>537</v>
      </c>
      <c r="P771" t="s">
        <v>538</v>
      </c>
      <c r="Q771" t="s">
        <v>539</v>
      </c>
      <c r="R771" t="s">
        <v>287</v>
      </c>
      <c r="T771">
        <v>69045</v>
      </c>
      <c r="U771" t="s">
        <v>287</v>
      </c>
      <c r="V771" t="s">
        <v>169</v>
      </c>
      <c r="W771" t="s">
        <v>540</v>
      </c>
      <c r="X771" t="s">
        <v>541</v>
      </c>
      <c r="Y771" t="s">
        <v>104</v>
      </c>
    </row>
    <row r="772" spans="1:25">
      <c r="A772">
        <v>10229</v>
      </c>
      <c r="B772">
        <v>28</v>
      </c>
      <c r="C772">
        <v>59.55</v>
      </c>
      <c r="D772">
        <v>7</v>
      </c>
      <c r="E772">
        <v>1667.4</v>
      </c>
      <c r="F772" s="4">
        <v>38294</v>
      </c>
      <c r="G772" t="s">
        <v>93</v>
      </c>
      <c r="H772">
        <v>1</v>
      </c>
      <c r="I772">
        <v>3</v>
      </c>
      <c r="J772">
        <v>2004</v>
      </c>
      <c r="K772" t="s">
        <v>638</v>
      </c>
      <c r="L772">
        <v>60</v>
      </c>
      <c r="M772" t="s">
        <v>764</v>
      </c>
      <c r="N772" t="s">
        <v>367</v>
      </c>
      <c r="O772">
        <v>4155551450</v>
      </c>
      <c r="P772" t="s">
        <v>368</v>
      </c>
      <c r="R772" t="s">
        <v>369</v>
      </c>
      <c r="S772" t="s">
        <v>124</v>
      </c>
      <c r="T772">
        <v>97562</v>
      </c>
      <c r="U772" t="s">
        <v>100</v>
      </c>
      <c r="V772" t="s">
        <v>101</v>
      </c>
      <c r="W772" t="s">
        <v>370</v>
      </c>
      <c r="X772" t="s">
        <v>371</v>
      </c>
      <c r="Y772" t="s">
        <v>104</v>
      </c>
    </row>
    <row r="773" spans="1:25">
      <c r="A773">
        <v>10246</v>
      </c>
      <c r="B773">
        <v>30</v>
      </c>
      <c r="C773">
        <v>61.99</v>
      </c>
      <c r="D773">
        <v>11</v>
      </c>
      <c r="E773">
        <v>1859.7</v>
      </c>
      <c r="F773" s="4">
        <v>38112</v>
      </c>
      <c r="G773" t="s">
        <v>93</v>
      </c>
      <c r="H773">
        <v>2</v>
      </c>
      <c r="I773">
        <v>5</v>
      </c>
      <c r="J773">
        <v>2004</v>
      </c>
      <c r="K773" t="s">
        <v>638</v>
      </c>
      <c r="L773">
        <v>60</v>
      </c>
      <c r="M773" t="s">
        <v>764</v>
      </c>
      <c r="N773" t="s">
        <v>257</v>
      </c>
      <c r="O773" t="s">
        <v>258</v>
      </c>
      <c r="P773" t="s">
        <v>259</v>
      </c>
      <c r="R773" t="s">
        <v>260</v>
      </c>
      <c r="T773">
        <v>28034</v>
      </c>
      <c r="U773" t="s">
        <v>261</v>
      </c>
      <c r="V773" t="s">
        <v>110</v>
      </c>
      <c r="W773" t="s">
        <v>262</v>
      </c>
      <c r="X773" t="s">
        <v>263</v>
      </c>
      <c r="Y773" t="s">
        <v>104</v>
      </c>
    </row>
    <row r="774" spans="1:25">
      <c r="A774">
        <v>10259</v>
      </c>
      <c r="B774">
        <v>30</v>
      </c>
      <c r="C774">
        <v>49.22</v>
      </c>
      <c r="D774">
        <v>10</v>
      </c>
      <c r="E774">
        <v>1476.6</v>
      </c>
      <c r="F774" t="s">
        <v>337</v>
      </c>
      <c r="G774" t="s">
        <v>93</v>
      </c>
      <c r="H774">
        <v>2</v>
      </c>
      <c r="I774">
        <v>6</v>
      </c>
      <c r="J774">
        <v>2004</v>
      </c>
      <c r="K774" t="s">
        <v>638</v>
      </c>
      <c r="L774">
        <v>60</v>
      </c>
      <c r="M774" t="s">
        <v>764</v>
      </c>
      <c r="N774" t="s">
        <v>536</v>
      </c>
      <c r="O774" t="s">
        <v>537</v>
      </c>
      <c r="P774" t="s">
        <v>538</v>
      </c>
      <c r="Q774" t="s">
        <v>539</v>
      </c>
      <c r="R774" t="s">
        <v>287</v>
      </c>
      <c r="T774">
        <v>69045</v>
      </c>
      <c r="U774" t="s">
        <v>287</v>
      </c>
      <c r="V774" t="s">
        <v>169</v>
      </c>
      <c r="W774" t="s">
        <v>540</v>
      </c>
      <c r="X774" t="s">
        <v>541</v>
      </c>
      <c r="Y774" t="s">
        <v>104</v>
      </c>
    </row>
    <row r="775" spans="1:25">
      <c r="A775">
        <v>10271</v>
      </c>
      <c r="B775">
        <v>25</v>
      </c>
      <c r="C775">
        <v>69.28</v>
      </c>
      <c r="D775">
        <v>11</v>
      </c>
      <c r="E775">
        <v>1732</v>
      </c>
      <c r="F775" t="s">
        <v>623</v>
      </c>
      <c r="G775" t="s">
        <v>93</v>
      </c>
      <c r="H775">
        <v>3</v>
      </c>
      <c r="I775">
        <v>7</v>
      </c>
      <c r="J775">
        <v>2004</v>
      </c>
      <c r="K775" t="s">
        <v>638</v>
      </c>
      <c r="L775">
        <v>60</v>
      </c>
      <c r="M775" t="s">
        <v>764</v>
      </c>
      <c r="N775" t="s">
        <v>367</v>
      </c>
      <c r="O775">
        <v>4155551450</v>
      </c>
      <c r="P775" t="s">
        <v>368</v>
      </c>
      <c r="R775" t="s">
        <v>369</v>
      </c>
      <c r="S775" t="s">
        <v>124</v>
      </c>
      <c r="T775">
        <v>97562</v>
      </c>
      <c r="U775" t="s">
        <v>100</v>
      </c>
      <c r="V775" t="s">
        <v>101</v>
      </c>
      <c r="W775" t="s">
        <v>370</v>
      </c>
      <c r="X775" t="s">
        <v>371</v>
      </c>
      <c r="Y775" t="s">
        <v>104</v>
      </c>
    </row>
    <row r="776" spans="1:25">
      <c r="A776">
        <v>10281</v>
      </c>
      <c r="B776">
        <v>29</v>
      </c>
      <c r="C776">
        <v>57.73</v>
      </c>
      <c r="D776">
        <v>7</v>
      </c>
      <c r="E776">
        <v>1674.17</v>
      </c>
      <c r="F776" t="s">
        <v>542</v>
      </c>
      <c r="G776" t="s">
        <v>93</v>
      </c>
      <c r="H776">
        <v>3</v>
      </c>
      <c r="I776">
        <v>8</v>
      </c>
      <c r="J776">
        <v>2004</v>
      </c>
      <c r="K776" t="s">
        <v>638</v>
      </c>
      <c r="L776">
        <v>60</v>
      </c>
      <c r="M776" t="s">
        <v>764</v>
      </c>
      <c r="N776" t="s">
        <v>218</v>
      </c>
      <c r="O776">
        <v>2155551555</v>
      </c>
      <c r="P776" t="s">
        <v>219</v>
      </c>
      <c r="R776" t="s">
        <v>220</v>
      </c>
      <c r="S776" t="s">
        <v>221</v>
      </c>
      <c r="T776">
        <v>70267</v>
      </c>
      <c r="U776" t="s">
        <v>100</v>
      </c>
      <c r="V776" t="s">
        <v>101</v>
      </c>
      <c r="W776" t="s">
        <v>102</v>
      </c>
      <c r="X776" t="s">
        <v>222</v>
      </c>
      <c r="Y776" t="s">
        <v>104</v>
      </c>
    </row>
    <row r="777" spans="1:25">
      <c r="A777">
        <v>10291</v>
      </c>
      <c r="B777">
        <v>26</v>
      </c>
      <c r="C777">
        <v>57.73</v>
      </c>
      <c r="D777">
        <v>2</v>
      </c>
      <c r="E777">
        <v>1500.98</v>
      </c>
      <c r="F777" s="4">
        <v>38208</v>
      </c>
      <c r="G777" t="s">
        <v>93</v>
      </c>
      <c r="H777">
        <v>3</v>
      </c>
      <c r="I777">
        <v>9</v>
      </c>
      <c r="J777">
        <v>2004</v>
      </c>
      <c r="K777" t="s">
        <v>638</v>
      </c>
      <c r="L777">
        <v>60</v>
      </c>
      <c r="M777" t="s">
        <v>764</v>
      </c>
      <c r="N777" t="s">
        <v>355</v>
      </c>
      <c r="O777" t="s">
        <v>356</v>
      </c>
      <c r="P777" t="s">
        <v>357</v>
      </c>
      <c r="R777" t="s">
        <v>358</v>
      </c>
      <c r="T777" t="s">
        <v>359</v>
      </c>
      <c r="U777" t="s">
        <v>273</v>
      </c>
      <c r="V777" t="s">
        <v>110</v>
      </c>
      <c r="W777" t="s">
        <v>360</v>
      </c>
      <c r="X777" t="s">
        <v>295</v>
      </c>
      <c r="Y777" t="s">
        <v>104</v>
      </c>
    </row>
    <row r="778" spans="1:25">
      <c r="A778">
        <v>10305</v>
      </c>
      <c r="B778">
        <v>41</v>
      </c>
      <c r="C778">
        <v>53.48</v>
      </c>
      <c r="D778">
        <v>11</v>
      </c>
      <c r="E778">
        <v>2192.6799999999998</v>
      </c>
      <c r="F778" t="s">
        <v>543</v>
      </c>
      <c r="G778" t="s">
        <v>93</v>
      </c>
      <c r="H778">
        <v>4</v>
      </c>
      <c r="I778">
        <v>10</v>
      </c>
      <c r="J778">
        <v>2004</v>
      </c>
      <c r="K778" t="s">
        <v>638</v>
      </c>
      <c r="L778">
        <v>60</v>
      </c>
      <c r="M778" t="s">
        <v>764</v>
      </c>
      <c r="N778" t="s">
        <v>197</v>
      </c>
      <c r="O778">
        <v>6175558555</v>
      </c>
      <c r="P778" t="s">
        <v>198</v>
      </c>
      <c r="R778" t="s">
        <v>199</v>
      </c>
      <c r="S778" t="s">
        <v>200</v>
      </c>
      <c r="T778">
        <v>51247</v>
      </c>
      <c r="U778" t="s">
        <v>100</v>
      </c>
      <c r="V778" t="s">
        <v>101</v>
      </c>
      <c r="W778" t="s">
        <v>201</v>
      </c>
      <c r="X778" t="s">
        <v>202</v>
      </c>
      <c r="Y778" t="s">
        <v>104</v>
      </c>
    </row>
    <row r="779" spans="1:25">
      <c r="A779">
        <v>10313</v>
      </c>
      <c r="B779">
        <v>34</v>
      </c>
      <c r="C779">
        <v>52.87</v>
      </c>
      <c r="D779">
        <v>5</v>
      </c>
      <c r="E779">
        <v>1797.58</v>
      </c>
      <c r="F779" t="s">
        <v>544</v>
      </c>
      <c r="G779" t="s">
        <v>93</v>
      </c>
      <c r="H779">
        <v>4</v>
      </c>
      <c r="I779">
        <v>10</v>
      </c>
      <c r="J779">
        <v>2004</v>
      </c>
      <c r="K779" t="s">
        <v>638</v>
      </c>
      <c r="L779">
        <v>60</v>
      </c>
      <c r="M779" t="s">
        <v>764</v>
      </c>
      <c r="N779" t="s">
        <v>316</v>
      </c>
      <c r="O779" t="s">
        <v>317</v>
      </c>
      <c r="P779" t="s">
        <v>318</v>
      </c>
      <c r="R779" t="s">
        <v>319</v>
      </c>
      <c r="S779" t="s">
        <v>320</v>
      </c>
      <c r="T779" t="s">
        <v>321</v>
      </c>
      <c r="U779" t="s">
        <v>322</v>
      </c>
      <c r="V779" t="s">
        <v>101</v>
      </c>
      <c r="W779" t="s">
        <v>323</v>
      </c>
      <c r="X779" t="s">
        <v>324</v>
      </c>
      <c r="Y779" t="s">
        <v>104</v>
      </c>
    </row>
    <row r="780" spans="1:25">
      <c r="A780">
        <v>10322</v>
      </c>
      <c r="B780">
        <v>35</v>
      </c>
      <c r="C780">
        <v>61.21</v>
      </c>
      <c r="D780">
        <v>11</v>
      </c>
      <c r="E780">
        <v>2142.35</v>
      </c>
      <c r="F780" s="4">
        <v>38088</v>
      </c>
      <c r="G780" t="s">
        <v>93</v>
      </c>
      <c r="H780">
        <v>4</v>
      </c>
      <c r="I780">
        <v>11</v>
      </c>
      <c r="J780">
        <v>2004</v>
      </c>
      <c r="K780" t="s">
        <v>638</v>
      </c>
      <c r="L780">
        <v>60</v>
      </c>
      <c r="M780" t="s">
        <v>764</v>
      </c>
      <c r="N780" t="s">
        <v>372</v>
      </c>
      <c r="O780">
        <v>6035558647</v>
      </c>
      <c r="P780" t="s">
        <v>373</v>
      </c>
      <c r="R780" t="s">
        <v>374</v>
      </c>
      <c r="S780" t="s">
        <v>375</v>
      </c>
      <c r="T780">
        <v>62005</v>
      </c>
      <c r="U780" t="s">
        <v>100</v>
      </c>
      <c r="V780" t="s">
        <v>101</v>
      </c>
      <c r="W780" t="s">
        <v>125</v>
      </c>
      <c r="X780" t="s">
        <v>371</v>
      </c>
      <c r="Y780" t="s">
        <v>104</v>
      </c>
    </row>
    <row r="781" spans="1:25">
      <c r="A781">
        <v>10334</v>
      </c>
      <c r="B781">
        <v>34</v>
      </c>
      <c r="C781">
        <v>61.38</v>
      </c>
      <c r="D781">
        <v>1</v>
      </c>
      <c r="E781">
        <v>2086.92</v>
      </c>
      <c r="F781" t="s">
        <v>545</v>
      </c>
      <c r="G781" t="s">
        <v>518</v>
      </c>
      <c r="H781">
        <v>4</v>
      </c>
      <c r="I781">
        <v>11</v>
      </c>
      <c r="J781">
        <v>2004</v>
      </c>
      <c r="K781" t="s">
        <v>638</v>
      </c>
      <c r="L781">
        <v>60</v>
      </c>
      <c r="M781" t="s">
        <v>764</v>
      </c>
      <c r="N781" t="s">
        <v>268</v>
      </c>
      <c r="O781" t="s">
        <v>269</v>
      </c>
      <c r="P781" t="s">
        <v>270</v>
      </c>
      <c r="R781" t="s">
        <v>271</v>
      </c>
      <c r="T781" t="s">
        <v>272</v>
      </c>
      <c r="U781" t="s">
        <v>273</v>
      </c>
      <c r="V781" t="s">
        <v>110</v>
      </c>
      <c r="W781" t="s">
        <v>274</v>
      </c>
      <c r="X781" t="s">
        <v>275</v>
      </c>
      <c r="Y781" t="s">
        <v>104</v>
      </c>
    </row>
    <row r="782" spans="1:25">
      <c r="A782">
        <v>10347</v>
      </c>
      <c r="B782">
        <v>50</v>
      </c>
      <c r="C782">
        <v>100</v>
      </c>
      <c r="D782">
        <v>8</v>
      </c>
      <c r="E782">
        <v>6834.5</v>
      </c>
      <c r="F782" t="s">
        <v>377</v>
      </c>
      <c r="G782" t="s">
        <v>93</v>
      </c>
      <c r="H782">
        <v>4</v>
      </c>
      <c r="I782">
        <v>11</v>
      </c>
      <c r="J782">
        <v>2004</v>
      </c>
      <c r="K782" t="s">
        <v>638</v>
      </c>
      <c r="L782">
        <v>60</v>
      </c>
      <c r="M782" t="s">
        <v>764</v>
      </c>
      <c r="N782" t="s">
        <v>162</v>
      </c>
      <c r="O782" t="s">
        <v>163</v>
      </c>
      <c r="P782" t="s">
        <v>164</v>
      </c>
      <c r="Q782" t="s">
        <v>165</v>
      </c>
      <c r="R782" t="s">
        <v>166</v>
      </c>
      <c r="S782" t="s">
        <v>167</v>
      </c>
      <c r="T782">
        <v>3004</v>
      </c>
      <c r="U782" t="s">
        <v>168</v>
      </c>
      <c r="V782" t="s">
        <v>169</v>
      </c>
      <c r="W782" t="s">
        <v>170</v>
      </c>
      <c r="X782" t="s">
        <v>171</v>
      </c>
      <c r="Y782" t="s">
        <v>119</v>
      </c>
    </row>
    <row r="783" spans="1:25">
      <c r="A783">
        <v>10357</v>
      </c>
      <c r="B783">
        <v>41</v>
      </c>
      <c r="C783">
        <v>61.99</v>
      </c>
      <c r="D783">
        <v>7</v>
      </c>
      <c r="E783">
        <v>2541.59</v>
      </c>
      <c r="F783" s="4">
        <v>38272</v>
      </c>
      <c r="G783" t="s">
        <v>93</v>
      </c>
      <c r="H783">
        <v>4</v>
      </c>
      <c r="I783">
        <v>12</v>
      </c>
      <c r="J783">
        <v>2004</v>
      </c>
      <c r="K783" t="s">
        <v>638</v>
      </c>
      <c r="L783">
        <v>60</v>
      </c>
      <c r="M783" t="s">
        <v>764</v>
      </c>
      <c r="N783" t="s">
        <v>367</v>
      </c>
      <c r="O783">
        <v>4155551450</v>
      </c>
      <c r="P783" t="s">
        <v>368</v>
      </c>
      <c r="R783" t="s">
        <v>369</v>
      </c>
      <c r="S783" t="s">
        <v>124</v>
      </c>
      <c r="T783">
        <v>97562</v>
      </c>
      <c r="U783" t="s">
        <v>100</v>
      </c>
      <c r="V783" t="s">
        <v>101</v>
      </c>
      <c r="W783" t="s">
        <v>370</v>
      </c>
      <c r="X783" t="s">
        <v>371</v>
      </c>
      <c r="Y783" t="s">
        <v>104</v>
      </c>
    </row>
    <row r="784" spans="1:25">
      <c r="A784">
        <v>10370</v>
      </c>
      <c r="B784">
        <v>22</v>
      </c>
      <c r="C784">
        <v>96.86</v>
      </c>
      <c r="D784">
        <v>7</v>
      </c>
      <c r="E784">
        <v>2130.92</v>
      </c>
      <c r="F784" t="s">
        <v>378</v>
      </c>
      <c r="G784" t="s">
        <v>93</v>
      </c>
      <c r="H784">
        <v>1</v>
      </c>
      <c r="I784">
        <v>1</v>
      </c>
      <c r="J784">
        <v>2005</v>
      </c>
      <c r="K784" t="s">
        <v>638</v>
      </c>
      <c r="L784">
        <v>60</v>
      </c>
      <c r="M784" t="s">
        <v>764</v>
      </c>
      <c r="N784" t="s">
        <v>384</v>
      </c>
      <c r="O784" t="s">
        <v>385</v>
      </c>
      <c r="P784" t="s">
        <v>386</v>
      </c>
      <c r="Q784" t="s">
        <v>387</v>
      </c>
      <c r="R784" t="s">
        <v>388</v>
      </c>
      <c r="S784" t="s">
        <v>239</v>
      </c>
      <c r="T784">
        <v>2060</v>
      </c>
      <c r="U784" t="s">
        <v>168</v>
      </c>
      <c r="V784" t="s">
        <v>169</v>
      </c>
      <c r="W784" t="s">
        <v>389</v>
      </c>
      <c r="X784" t="s">
        <v>390</v>
      </c>
      <c r="Y784" t="s">
        <v>104</v>
      </c>
    </row>
    <row r="785" spans="1:25">
      <c r="A785">
        <v>10381</v>
      </c>
      <c r="B785">
        <v>35</v>
      </c>
      <c r="C785">
        <v>48.62</v>
      </c>
      <c r="D785">
        <v>7</v>
      </c>
      <c r="E785">
        <v>1701.7</v>
      </c>
      <c r="F785" t="s">
        <v>383</v>
      </c>
      <c r="G785" t="s">
        <v>93</v>
      </c>
      <c r="H785">
        <v>1</v>
      </c>
      <c r="I785">
        <v>2</v>
      </c>
      <c r="J785">
        <v>2005</v>
      </c>
      <c r="K785" t="s">
        <v>638</v>
      </c>
      <c r="L785">
        <v>60</v>
      </c>
      <c r="M785" t="s">
        <v>764</v>
      </c>
      <c r="N785" t="s">
        <v>127</v>
      </c>
      <c r="O785">
        <v>6505551386</v>
      </c>
      <c r="P785" t="s">
        <v>128</v>
      </c>
      <c r="R785" t="s">
        <v>129</v>
      </c>
      <c r="S785" t="s">
        <v>124</v>
      </c>
      <c r="U785" t="s">
        <v>100</v>
      </c>
      <c r="V785" t="s">
        <v>101</v>
      </c>
      <c r="W785" t="s">
        <v>130</v>
      </c>
      <c r="X785" t="s">
        <v>126</v>
      </c>
      <c r="Y785" t="s">
        <v>104</v>
      </c>
    </row>
    <row r="786" spans="1:25">
      <c r="A786">
        <v>10391</v>
      </c>
      <c r="B786">
        <v>44</v>
      </c>
      <c r="C786">
        <v>38.5</v>
      </c>
      <c r="D786">
        <v>5</v>
      </c>
      <c r="E786">
        <v>1694</v>
      </c>
      <c r="F786" s="4">
        <v>38598</v>
      </c>
      <c r="G786" t="s">
        <v>93</v>
      </c>
      <c r="H786">
        <v>1</v>
      </c>
      <c r="I786">
        <v>3</v>
      </c>
      <c r="J786">
        <v>2005</v>
      </c>
      <c r="K786" t="s">
        <v>638</v>
      </c>
      <c r="L786">
        <v>60</v>
      </c>
      <c r="M786" t="s">
        <v>764</v>
      </c>
      <c r="N786" t="s">
        <v>384</v>
      </c>
      <c r="O786" t="s">
        <v>385</v>
      </c>
      <c r="P786" t="s">
        <v>386</v>
      </c>
      <c r="Q786" t="s">
        <v>387</v>
      </c>
      <c r="R786" t="s">
        <v>388</v>
      </c>
      <c r="S786" t="s">
        <v>239</v>
      </c>
      <c r="T786">
        <v>2060</v>
      </c>
      <c r="U786" t="s">
        <v>168</v>
      </c>
      <c r="V786" t="s">
        <v>169</v>
      </c>
      <c r="W786" t="s">
        <v>389</v>
      </c>
      <c r="X786" t="s">
        <v>390</v>
      </c>
      <c r="Y786" t="s">
        <v>104</v>
      </c>
    </row>
    <row r="787" spans="1:25">
      <c r="A787">
        <v>10412</v>
      </c>
      <c r="B787">
        <v>47</v>
      </c>
      <c r="C787">
        <v>61.99</v>
      </c>
      <c r="D787">
        <v>11</v>
      </c>
      <c r="E787">
        <v>2913.53</v>
      </c>
      <c r="F787" s="4">
        <v>38416</v>
      </c>
      <c r="G787" t="s">
        <v>93</v>
      </c>
      <c r="H787">
        <v>2</v>
      </c>
      <c r="I787">
        <v>5</v>
      </c>
      <c r="J787">
        <v>2005</v>
      </c>
      <c r="K787" t="s">
        <v>638</v>
      </c>
      <c r="L787">
        <v>60</v>
      </c>
      <c r="M787" t="s">
        <v>764</v>
      </c>
      <c r="N787" t="s">
        <v>257</v>
      </c>
      <c r="O787" t="s">
        <v>258</v>
      </c>
      <c r="P787" t="s">
        <v>259</v>
      </c>
      <c r="R787" t="s">
        <v>260</v>
      </c>
      <c r="T787">
        <v>28034</v>
      </c>
      <c r="U787" t="s">
        <v>261</v>
      </c>
      <c r="V787" t="s">
        <v>110</v>
      </c>
      <c r="W787" t="s">
        <v>262</v>
      </c>
      <c r="X787" t="s">
        <v>263</v>
      </c>
      <c r="Y787" t="s">
        <v>104</v>
      </c>
    </row>
    <row r="788" spans="1:25">
      <c r="A788">
        <v>10425</v>
      </c>
      <c r="B788">
        <v>19</v>
      </c>
      <c r="C788">
        <v>49.22</v>
      </c>
      <c r="D788">
        <v>10</v>
      </c>
      <c r="E788">
        <v>935.18</v>
      </c>
      <c r="F788" t="s">
        <v>399</v>
      </c>
      <c r="G788" t="s">
        <v>400</v>
      </c>
      <c r="H788">
        <v>2</v>
      </c>
      <c r="I788">
        <v>5</v>
      </c>
      <c r="J788">
        <v>2005</v>
      </c>
      <c r="K788" t="s">
        <v>638</v>
      </c>
      <c r="L788">
        <v>60</v>
      </c>
      <c r="M788" t="s">
        <v>764</v>
      </c>
      <c r="N788" t="s">
        <v>190</v>
      </c>
      <c r="O788" t="s">
        <v>191</v>
      </c>
      <c r="P788" t="s">
        <v>192</v>
      </c>
      <c r="R788" t="s">
        <v>193</v>
      </c>
      <c r="T788">
        <v>44000</v>
      </c>
      <c r="U788" t="s">
        <v>109</v>
      </c>
      <c r="V788" t="s">
        <v>110</v>
      </c>
      <c r="W788" t="s">
        <v>194</v>
      </c>
      <c r="X788" t="s">
        <v>195</v>
      </c>
      <c r="Y788" t="s">
        <v>104</v>
      </c>
    </row>
    <row r="789" spans="1:25">
      <c r="A789">
        <v>10106</v>
      </c>
      <c r="B789">
        <v>34</v>
      </c>
      <c r="C789">
        <v>90.39</v>
      </c>
      <c r="D789">
        <v>2</v>
      </c>
      <c r="E789">
        <v>3073.26</v>
      </c>
      <c r="F789" t="s">
        <v>725</v>
      </c>
      <c r="G789" t="s">
        <v>93</v>
      </c>
      <c r="H789">
        <v>1</v>
      </c>
      <c r="I789">
        <v>2</v>
      </c>
      <c r="J789">
        <v>2003</v>
      </c>
      <c r="K789" t="s">
        <v>726</v>
      </c>
      <c r="L789">
        <v>84</v>
      </c>
      <c r="M789" t="s">
        <v>765</v>
      </c>
      <c r="N789" t="s">
        <v>703</v>
      </c>
      <c r="O789" t="s">
        <v>704</v>
      </c>
      <c r="P789" t="s">
        <v>705</v>
      </c>
      <c r="R789" t="s">
        <v>706</v>
      </c>
      <c r="T789">
        <v>24100</v>
      </c>
      <c r="U789" t="s">
        <v>352</v>
      </c>
      <c r="V789" t="s">
        <v>110</v>
      </c>
      <c r="W789" t="s">
        <v>707</v>
      </c>
      <c r="X789" t="s">
        <v>708</v>
      </c>
      <c r="Y789" t="s">
        <v>119</v>
      </c>
    </row>
    <row r="790" spans="1:25">
      <c r="A790">
        <v>10120</v>
      </c>
      <c r="B790">
        <v>29</v>
      </c>
      <c r="C790">
        <v>71.81</v>
      </c>
      <c r="D790">
        <v>8</v>
      </c>
      <c r="E790">
        <v>2082.4899999999998</v>
      </c>
      <c r="F790" t="s">
        <v>402</v>
      </c>
      <c r="G790" t="s">
        <v>93</v>
      </c>
      <c r="H790">
        <v>2</v>
      </c>
      <c r="I790">
        <v>4</v>
      </c>
      <c r="J790">
        <v>2003</v>
      </c>
      <c r="K790" t="s">
        <v>726</v>
      </c>
      <c r="L790">
        <v>84</v>
      </c>
      <c r="M790" t="s">
        <v>765</v>
      </c>
      <c r="N790" t="s">
        <v>162</v>
      </c>
      <c r="O790" t="s">
        <v>163</v>
      </c>
      <c r="P790" t="s">
        <v>164</v>
      </c>
      <c r="Q790" t="s">
        <v>165</v>
      </c>
      <c r="R790" t="s">
        <v>166</v>
      </c>
      <c r="S790" t="s">
        <v>167</v>
      </c>
      <c r="T790">
        <v>3004</v>
      </c>
      <c r="U790" t="s">
        <v>168</v>
      </c>
      <c r="V790" t="s">
        <v>169</v>
      </c>
      <c r="W790" t="s">
        <v>170</v>
      </c>
      <c r="X790" t="s">
        <v>171</v>
      </c>
      <c r="Y790" t="s">
        <v>104</v>
      </c>
    </row>
    <row r="791" spans="1:25">
      <c r="A791">
        <v>10133</v>
      </c>
      <c r="B791">
        <v>49</v>
      </c>
      <c r="C791">
        <v>69.27</v>
      </c>
      <c r="D791">
        <v>3</v>
      </c>
      <c r="E791">
        <v>3394.23</v>
      </c>
      <c r="F791" t="s">
        <v>766</v>
      </c>
      <c r="G791" t="s">
        <v>93</v>
      </c>
      <c r="H791">
        <v>2</v>
      </c>
      <c r="I791">
        <v>6</v>
      </c>
      <c r="J791">
        <v>2003</v>
      </c>
      <c r="K791" t="s">
        <v>726</v>
      </c>
      <c r="L791">
        <v>84</v>
      </c>
      <c r="M791" t="s">
        <v>765</v>
      </c>
      <c r="N791" t="s">
        <v>257</v>
      </c>
      <c r="O791" t="s">
        <v>258</v>
      </c>
      <c r="P791" t="s">
        <v>259</v>
      </c>
      <c r="R791" t="s">
        <v>260</v>
      </c>
      <c r="T791">
        <v>28034</v>
      </c>
      <c r="U791" t="s">
        <v>261</v>
      </c>
      <c r="V791" t="s">
        <v>110</v>
      </c>
      <c r="W791" t="s">
        <v>262</v>
      </c>
      <c r="X791" t="s">
        <v>263</v>
      </c>
      <c r="Y791" t="s">
        <v>119</v>
      </c>
    </row>
    <row r="792" spans="1:25">
      <c r="A792">
        <v>10145</v>
      </c>
      <c r="B792">
        <v>30</v>
      </c>
      <c r="C792">
        <v>85.32</v>
      </c>
      <c r="D792">
        <v>14</v>
      </c>
      <c r="E792">
        <v>2559.6</v>
      </c>
      <c r="F792" t="s">
        <v>120</v>
      </c>
      <c r="G792" t="s">
        <v>93</v>
      </c>
      <c r="H792">
        <v>3</v>
      </c>
      <c r="I792">
        <v>8</v>
      </c>
      <c r="J792">
        <v>2003</v>
      </c>
      <c r="K792" t="s">
        <v>726</v>
      </c>
      <c r="L792">
        <v>84</v>
      </c>
      <c r="M792" t="s">
        <v>765</v>
      </c>
      <c r="N792" t="s">
        <v>121</v>
      </c>
      <c r="O792">
        <v>6265557265</v>
      </c>
      <c r="P792" t="s">
        <v>122</v>
      </c>
      <c r="R792" t="s">
        <v>123</v>
      </c>
      <c r="S792" t="s">
        <v>124</v>
      </c>
      <c r="T792">
        <v>90003</v>
      </c>
      <c r="U792" t="s">
        <v>100</v>
      </c>
      <c r="V792" t="s">
        <v>101</v>
      </c>
      <c r="W792" t="s">
        <v>125</v>
      </c>
      <c r="X792" t="s">
        <v>126</v>
      </c>
      <c r="Y792" t="s">
        <v>104</v>
      </c>
    </row>
    <row r="793" spans="1:25">
      <c r="A793">
        <v>10168</v>
      </c>
      <c r="B793">
        <v>21</v>
      </c>
      <c r="C793">
        <v>70.959999999999994</v>
      </c>
      <c r="D793">
        <v>9</v>
      </c>
      <c r="E793">
        <v>1490.16</v>
      </c>
      <c r="F793" t="s">
        <v>131</v>
      </c>
      <c r="G793" t="s">
        <v>93</v>
      </c>
      <c r="H793">
        <v>4</v>
      </c>
      <c r="I793">
        <v>10</v>
      </c>
      <c r="J793">
        <v>2003</v>
      </c>
      <c r="K793" t="s">
        <v>726</v>
      </c>
      <c r="L793">
        <v>84</v>
      </c>
      <c r="M793" t="s">
        <v>765</v>
      </c>
      <c r="N793" t="s">
        <v>132</v>
      </c>
      <c r="O793">
        <v>6505556809</v>
      </c>
      <c r="P793" t="s">
        <v>133</v>
      </c>
      <c r="R793" t="s">
        <v>134</v>
      </c>
      <c r="S793" t="s">
        <v>124</v>
      </c>
      <c r="T793">
        <v>94217</v>
      </c>
      <c r="U793" t="s">
        <v>100</v>
      </c>
      <c r="V793" t="s">
        <v>101</v>
      </c>
      <c r="W793" t="s">
        <v>135</v>
      </c>
      <c r="X793" t="s">
        <v>136</v>
      </c>
      <c r="Y793" t="s">
        <v>104</v>
      </c>
    </row>
    <row r="794" spans="1:25">
      <c r="A794">
        <v>10210</v>
      </c>
      <c r="B794">
        <v>50</v>
      </c>
      <c r="C794">
        <v>76.88</v>
      </c>
      <c r="D794">
        <v>7</v>
      </c>
      <c r="E794">
        <v>3844</v>
      </c>
      <c r="F794" s="4">
        <v>38322</v>
      </c>
      <c r="G794" t="s">
        <v>93</v>
      </c>
      <c r="H794">
        <v>1</v>
      </c>
      <c r="I794">
        <v>1</v>
      </c>
      <c r="J794">
        <v>2004</v>
      </c>
      <c r="K794" t="s">
        <v>726</v>
      </c>
      <c r="L794">
        <v>84</v>
      </c>
      <c r="M794" t="s">
        <v>765</v>
      </c>
      <c r="N794" t="s">
        <v>403</v>
      </c>
      <c r="O794" t="s">
        <v>404</v>
      </c>
      <c r="P794" t="s">
        <v>405</v>
      </c>
      <c r="R794" t="s">
        <v>406</v>
      </c>
      <c r="S794" t="s">
        <v>406</v>
      </c>
      <c r="T794" t="s">
        <v>407</v>
      </c>
      <c r="U794" t="s">
        <v>288</v>
      </c>
      <c r="V794" t="s">
        <v>288</v>
      </c>
      <c r="W794" t="s">
        <v>408</v>
      </c>
      <c r="X794" t="s">
        <v>409</v>
      </c>
      <c r="Y794" t="s">
        <v>119</v>
      </c>
    </row>
    <row r="795" spans="1:25">
      <c r="A795">
        <v>10223</v>
      </c>
      <c r="B795">
        <v>47</v>
      </c>
      <c r="C795">
        <v>100</v>
      </c>
      <c r="D795">
        <v>9</v>
      </c>
      <c r="E795">
        <v>4724.91</v>
      </c>
      <c r="F795" t="s">
        <v>161</v>
      </c>
      <c r="G795" t="s">
        <v>93</v>
      </c>
      <c r="H795">
        <v>1</v>
      </c>
      <c r="I795">
        <v>2</v>
      </c>
      <c r="J795">
        <v>2004</v>
      </c>
      <c r="K795" t="s">
        <v>726</v>
      </c>
      <c r="L795">
        <v>84</v>
      </c>
      <c r="M795" t="s">
        <v>765</v>
      </c>
      <c r="N795" t="s">
        <v>162</v>
      </c>
      <c r="O795" t="s">
        <v>163</v>
      </c>
      <c r="P795" t="s">
        <v>164</v>
      </c>
      <c r="Q795" t="s">
        <v>165</v>
      </c>
      <c r="R795" t="s">
        <v>166</v>
      </c>
      <c r="S795" t="s">
        <v>167</v>
      </c>
      <c r="T795">
        <v>3004</v>
      </c>
      <c r="U795" t="s">
        <v>168</v>
      </c>
      <c r="V795" t="s">
        <v>169</v>
      </c>
      <c r="W795" t="s">
        <v>170</v>
      </c>
      <c r="X795" t="s">
        <v>171</v>
      </c>
      <c r="Y795" t="s">
        <v>119</v>
      </c>
    </row>
    <row r="796" spans="1:25">
      <c r="A796">
        <v>10235</v>
      </c>
      <c r="B796">
        <v>24</v>
      </c>
      <c r="C796">
        <v>76.03</v>
      </c>
      <c r="D796">
        <v>3</v>
      </c>
      <c r="E796">
        <v>1824.72</v>
      </c>
      <c r="F796" s="4">
        <v>38021</v>
      </c>
      <c r="G796" t="s">
        <v>93</v>
      </c>
      <c r="H796">
        <v>2</v>
      </c>
      <c r="I796">
        <v>4</v>
      </c>
      <c r="J796">
        <v>2004</v>
      </c>
      <c r="K796" t="s">
        <v>726</v>
      </c>
      <c r="L796">
        <v>84</v>
      </c>
      <c r="M796" t="s">
        <v>765</v>
      </c>
      <c r="N796" t="s">
        <v>484</v>
      </c>
      <c r="O796" t="s">
        <v>485</v>
      </c>
      <c r="P796" t="s">
        <v>486</v>
      </c>
      <c r="R796" t="s">
        <v>487</v>
      </c>
      <c r="S796" t="s">
        <v>320</v>
      </c>
      <c r="T796" t="s">
        <v>488</v>
      </c>
      <c r="U796" t="s">
        <v>322</v>
      </c>
      <c r="V796" t="s">
        <v>101</v>
      </c>
      <c r="W796" t="s">
        <v>489</v>
      </c>
      <c r="X796" t="s">
        <v>254</v>
      </c>
      <c r="Y796" t="s">
        <v>104</v>
      </c>
    </row>
    <row r="797" spans="1:25">
      <c r="A797">
        <v>10250</v>
      </c>
      <c r="B797">
        <v>27</v>
      </c>
      <c r="C797">
        <v>98.84</v>
      </c>
      <c r="D797">
        <v>4</v>
      </c>
      <c r="E797">
        <v>2668.68</v>
      </c>
      <c r="F797" s="4">
        <v>38296</v>
      </c>
      <c r="G797" t="s">
        <v>93</v>
      </c>
      <c r="H797">
        <v>2</v>
      </c>
      <c r="I797">
        <v>5</v>
      </c>
      <c r="J797">
        <v>2004</v>
      </c>
      <c r="K797" t="s">
        <v>726</v>
      </c>
      <c r="L797">
        <v>84</v>
      </c>
      <c r="M797" t="s">
        <v>765</v>
      </c>
      <c r="N797" t="s">
        <v>514</v>
      </c>
      <c r="O797">
        <v>4085553659</v>
      </c>
      <c r="P797" t="s">
        <v>515</v>
      </c>
      <c r="R797" t="s">
        <v>516</v>
      </c>
      <c r="S797" t="s">
        <v>124</v>
      </c>
      <c r="T797">
        <v>94217</v>
      </c>
      <c r="U797" t="s">
        <v>100</v>
      </c>
      <c r="V797" t="s">
        <v>101</v>
      </c>
      <c r="W797" t="s">
        <v>175</v>
      </c>
      <c r="X797" t="s">
        <v>517</v>
      </c>
      <c r="Y797" t="s">
        <v>104</v>
      </c>
    </row>
    <row r="798" spans="1:25">
      <c r="A798">
        <v>10263</v>
      </c>
      <c r="B798">
        <v>33</v>
      </c>
      <c r="C798">
        <v>86.17</v>
      </c>
      <c r="D798">
        <v>10</v>
      </c>
      <c r="E798">
        <v>2843.61</v>
      </c>
      <c r="F798" t="s">
        <v>183</v>
      </c>
      <c r="G798" t="s">
        <v>93</v>
      </c>
      <c r="H798">
        <v>2</v>
      </c>
      <c r="I798">
        <v>6</v>
      </c>
      <c r="J798">
        <v>2004</v>
      </c>
      <c r="K798" t="s">
        <v>726</v>
      </c>
      <c r="L798">
        <v>84</v>
      </c>
      <c r="M798" t="s">
        <v>765</v>
      </c>
      <c r="N798" t="s">
        <v>184</v>
      </c>
      <c r="O798">
        <v>2035552570</v>
      </c>
      <c r="P798" t="s">
        <v>185</v>
      </c>
      <c r="R798" t="s">
        <v>186</v>
      </c>
      <c r="S798" t="s">
        <v>187</v>
      </c>
      <c r="T798">
        <v>97562</v>
      </c>
      <c r="U798" t="s">
        <v>100</v>
      </c>
      <c r="V798" t="s">
        <v>101</v>
      </c>
      <c r="W798" t="s">
        <v>188</v>
      </c>
      <c r="X798" t="s">
        <v>126</v>
      </c>
      <c r="Y798" t="s">
        <v>104</v>
      </c>
    </row>
    <row r="799" spans="1:25">
      <c r="A799">
        <v>10275</v>
      </c>
      <c r="B799">
        <v>35</v>
      </c>
      <c r="C799">
        <v>90.39</v>
      </c>
      <c r="D799">
        <v>9</v>
      </c>
      <c r="E799">
        <v>3163.65</v>
      </c>
      <c r="F799" t="s">
        <v>189</v>
      </c>
      <c r="G799" t="s">
        <v>93</v>
      </c>
      <c r="H799">
        <v>3</v>
      </c>
      <c r="I799">
        <v>7</v>
      </c>
      <c r="J799">
        <v>2004</v>
      </c>
      <c r="K799" t="s">
        <v>726</v>
      </c>
      <c r="L799">
        <v>84</v>
      </c>
      <c r="M799" t="s">
        <v>765</v>
      </c>
      <c r="N799" t="s">
        <v>190</v>
      </c>
      <c r="O799" t="s">
        <v>191</v>
      </c>
      <c r="P799" t="s">
        <v>192</v>
      </c>
      <c r="R799" t="s">
        <v>193</v>
      </c>
      <c r="T799">
        <v>44000</v>
      </c>
      <c r="U799" t="s">
        <v>109</v>
      </c>
      <c r="V799" t="s">
        <v>110</v>
      </c>
      <c r="W799" t="s">
        <v>194</v>
      </c>
      <c r="X799" t="s">
        <v>195</v>
      </c>
      <c r="Y799" t="s">
        <v>119</v>
      </c>
    </row>
    <row r="800" spans="1:25">
      <c r="A800">
        <v>10284</v>
      </c>
      <c r="B800">
        <v>31</v>
      </c>
      <c r="C800">
        <v>71.81</v>
      </c>
      <c r="D800">
        <v>1</v>
      </c>
      <c r="E800">
        <v>2226.11</v>
      </c>
      <c r="F800" t="s">
        <v>735</v>
      </c>
      <c r="G800" t="s">
        <v>93</v>
      </c>
      <c r="H800">
        <v>3</v>
      </c>
      <c r="I800">
        <v>8</v>
      </c>
      <c r="J800">
        <v>2004</v>
      </c>
      <c r="K800" t="s">
        <v>726</v>
      </c>
      <c r="L800">
        <v>84</v>
      </c>
      <c r="M800" t="s">
        <v>765</v>
      </c>
      <c r="N800" t="s">
        <v>688</v>
      </c>
      <c r="O800" t="s">
        <v>689</v>
      </c>
      <c r="P800" t="s">
        <v>690</v>
      </c>
      <c r="R800" t="s">
        <v>691</v>
      </c>
      <c r="T800" t="s">
        <v>692</v>
      </c>
      <c r="U800" t="s">
        <v>149</v>
      </c>
      <c r="V800" t="s">
        <v>110</v>
      </c>
      <c r="W800" t="s">
        <v>693</v>
      </c>
      <c r="X800" t="s">
        <v>694</v>
      </c>
      <c r="Y800" t="s">
        <v>104</v>
      </c>
    </row>
    <row r="801" spans="1:25">
      <c r="A801">
        <v>10297</v>
      </c>
      <c r="B801">
        <v>25</v>
      </c>
      <c r="C801">
        <v>82.79</v>
      </c>
      <c r="D801">
        <v>4</v>
      </c>
      <c r="E801">
        <v>2069.75</v>
      </c>
      <c r="F801" t="s">
        <v>767</v>
      </c>
      <c r="G801" t="s">
        <v>93</v>
      </c>
      <c r="H801">
        <v>3</v>
      </c>
      <c r="I801">
        <v>9</v>
      </c>
      <c r="J801">
        <v>2004</v>
      </c>
      <c r="K801" t="s">
        <v>726</v>
      </c>
      <c r="L801">
        <v>84</v>
      </c>
      <c r="M801" t="s">
        <v>765</v>
      </c>
      <c r="N801" t="s">
        <v>609</v>
      </c>
      <c r="O801" t="s">
        <v>610</v>
      </c>
      <c r="P801" t="s">
        <v>611</v>
      </c>
      <c r="Q801" t="s">
        <v>612</v>
      </c>
      <c r="R801" t="s">
        <v>613</v>
      </c>
      <c r="T801">
        <v>2</v>
      </c>
      <c r="U801" t="s">
        <v>614</v>
      </c>
      <c r="V801" t="s">
        <v>110</v>
      </c>
      <c r="W801" t="s">
        <v>615</v>
      </c>
      <c r="X801" t="s">
        <v>616</v>
      </c>
      <c r="Y801" t="s">
        <v>104</v>
      </c>
    </row>
    <row r="802" spans="1:25">
      <c r="A802">
        <v>10308</v>
      </c>
      <c r="B802">
        <v>27</v>
      </c>
      <c r="C802">
        <v>82.79</v>
      </c>
      <c r="D802">
        <v>7</v>
      </c>
      <c r="E802">
        <v>2235.33</v>
      </c>
      <c r="F802" t="s">
        <v>211</v>
      </c>
      <c r="G802" t="s">
        <v>93</v>
      </c>
      <c r="H802">
        <v>4</v>
      </c>
      <c r="I802">
        <v>10</v>
      </c>
      <c r="J802">
        <v>2004</v>
      </c>
      <c r="K802" t="s">
        <v>726</v>
      </c>
      <c r="L802">
        <v>84</v>
      </c>
      <c r="M802" t="s">
        <v>765</v>
      </c>
      <c r="N802" t="s">
        <v>419</v>
      </c>
      <c r="O802">
        <v>9145554562</v>
      </c>
      <c r="P802" t="s">
        <v>420</v>
      </c>
      <c r="R802" t="s">
        <v>421</v>
      </c>
      <c r="S802" t="s">
        <v>99</v>
      </c>
      <c r="T802">
        <v>24067</v>
      </c>
      <c r="U802" t="s">
        <v>100</v>
      </c>
      <c r="V802" t="s">
        <v>101</v>
      </c>
      <c r="W802" t="s">
        <v>175</v>
      </c>
      <c r="X802" t="s">
        <v>329</v>
      </c>
      <c r="Y802" t="s">
        <v>104</v>
      </c>
    </row>
    <row r="803" spans="1:25">
      <c r="A803">
        <v>10318</v>
      </c>
      <c r="B803">
        <v>31</v>
      </c>
      <c r="C803">
        <v>100</v>
      </c>
      <c r="D803">
        <v>9</v>
      </c>
      <c r="E803">
        <v>3116.43</v>
      </c>
      <c r="F803" s="4">
        <v>38028</v>
      </c>
      <c r="G803" t="s">
        <v>93</v>
      </c>
      <c r="H803">
        <v>4</v>
      </c>
      <c r="I803">
        <v>11</v>
      </c>
      <c r="J803">
        <v>2004</v>
      </c>
      <c r="K803" t="s">
        <v>726</v>
      </c>
      <c r="L803">
        <v>84</v>
      </c>
      <c r="M803" t="s">
        <v>765</v>
      </c>
      <c r="N803" t="s">
        <v>218</v>
      </c>
      <c r="O803">
        <v>2155551555</v>
      </c>
      <c r="P803" t="s">
        <v>219</v>
      </c>
      <c r="R803" t="s">
        <v>220</v>
      </c>
      <c r="S803" t="s">
        <v>221</v>
      </c>
      <c r="T803">
        <v>70267</v>
      </c>
      <c r="U803" t="s">
        <v>100</v>
      </c>
      <c r="V803" t="s">
        <v>101</v>
      </c>
      <c r="W803" t="s">
        <v>102</v>
      </c>
      <c r="X803" t="s">
        <v>222</v>
      </c>
      <c r="Y803" t="s">
        <v>119</v>
      </c>
    </row>
    <row r="804" spans="1:25">
      <c r="A804">
        <v>10327</v>
      </c>
      <c r="B804">
        <v>45</v>
      </c>
      <c r="C804">
        <v>100</v>
      </c>
      <c r="D804">
        <v>8</v>
      </c>
      <c r="E804">
        <v>4781.7</v>
      </c>
      <c r="F804" s="4">
        <v>38271</v>
      </c>
      <c r="G804" t="s">
        <v>526</v>
      </c>
      <c r="H804">
        <v>4</v>
      </c>
      <c r="I804">
        <v>11</v>
      </c>
      <c r="J804">
        <v>2004</v>
      </c>
      <c r="K804" t="s">
        <v>726</v>
      </c>
      <c r="L804">
        <v>84</v>
      </c>
      <c r="M804" t="s">
        <v>765</v>
      </c>
      <c r="N804" t="s">
        <v>425</v>
      </c>
      <c r="O804" t="s">
        <v>426</v>
      </c>
      <c r="P804" t="s">
        <v>427</v>
      </c>
      <c r="R804" t="s">
        <v>428</v>
      </c>
      <c r="T804">
        <v>1734</v>
      </c>
      <c r="U804" t="s">
        <v>429</v>
      </c>
      <c r="V804" t="s">
        <v>110</v>
      </c>
      <c r="W804" t="s">
        <v>430</v>
      </c>
      <c r="X804" t="s">
        <v>431</v>
      </c>
      <c r="Y804" t="s">
        <v>119</v>
      </c>
    </row>
    <row r="805" spans="1:25">
      <c r="A805">
        <v>10339</v>
      </c>
      <c r="B805">
        <v>27</v>
      </c>
      <c r="C805">
        <v>100</v>
      </c>
      <c r="D805">
        <v>2</v>
      </c>
      <c r="E805">
        <v>2810.7</v>
      </c>
      <c r="F805" t="s">
        <v>422</v>
      </c>
      <c r="G805" t="s">
        <v>93</v>
      </c>
      <c r="H805">
        <v>4</v>
      </c>
      <c r="I805">
        <v>11</v>
      </c>
      <c r="J805">
        <v>2004</v>
      </c>
      <c r="K805" t="s">
        <v>726</v>
      </c>
      <c r="L805">
        <v>84</v>
      </c>
      <c r="M805" t="s">
        <v>765</v>
      </c>
      <c r="N805" t="s">
        <v>338</v>
      </c>
      <c r="O805" t="s">
        <v>339</v>
      </c>
      <c r="P805" t="s">
        <v>340</v>
      </c>
      <c r="R805" t="s">
        <v>341</v>
      </c>
      <c r="S805" t="s">
        <v>342</v>
      </c>
      <c r="T805" t="s">
        <v>343</v>
      </c>
      <c r="U805" t="s">
        <v>288</v>
      </c>
      <c r="V805" t="s">
        <v>288</v>
      </c>
      <c r="W805" t="s">
        <v>344</v>
      </c>
      <c r="X805" t="s">
        <v>345</v>
      </c>
      <c r="Y805" t="s">
        <v>104</v>
      </c>
    </row>
    <row r="806" spans="1:25">
      <c r="A806">
        <v>10353</v>
      </c>
      <c r="B806">
        <v>27</v>
      </c>
      <c r="C806">
        <v>100</v>
      </c>
      <c r="D806">
        <v>1</v>
      </c>
      <c r="E806">
        <v>3515.67</v>
      </c>
      <c r="F806" s="4">
        <v>38089</v>
      </c>
      <c r="G806" t="s">
        <v>93</v>
      </c>
      <c r="H806">
        <v>4</v>
      </c>
      <c r="I806">
        <v>12</v>
      </c>
      <c r="J806">
        <v>2004</v>
      </c>
      <c r="K806" t="s">
        <v>726</v>
      </c>
      <c r="L806">
        <v>84</v>
      </c>
      <c r="M806" t="s">
        <v>765</v>
      </c>
      <c r="N806" t="s">
        <v>729</v>
      </c>
      <c r="O806">
        <v>2035554407</v>
      </c>
      <c r="P806" t="s">
        <v>730</v>
      </c>
      <c r="R806" t="s">
        <v>656</v>
      </c>
      <c r="S806" t="s">
        <v>187</v>
      </c>
      <c r="T806">
        <v>97561</v>
      </c>
      <c r="U806" t="s">
        <v>100</v>
      </c>
      <c r="V806" t="s">
        <v>101</v>
      </c>
      <c r="W806" t="s">
        <v>731</v>
      </c>
      <c r="X806" t="s">
        <v>732</v>
      </c>
      <c r="Y806" t="s">
        <v>119</v>
      </c>
    </row>
    <row r="807" spans="1:25">
      <c r="A807">
        <v>10374</v>
      </c>
      <c r="B807">
        <v>42</v>
      </c>
      <c r="C807">
        <v>69.27</v>
      </c>
      <c r="D807">
        <v>2</v>
      </c>
      <c r="E807">
        <v>2909.34</v>
      </c>
      <c r="F807" s="4">
        <v>38385</v>
      </c>
      <c r="G807" t="s">
        <v>93</v>
      </c>
      <c r="H807">
        <v>1</v>
      </c>
      <c r="I807">
        <v>2</v>
      </c>
      <c r="J807">
        <v>2005</v>
      </c>
      <c r="K807" t="s">
        <v>726</v>
      </c>
      <c r="L807">
        <v>84</v>
      </c>
      <c r="M807" t="s">
        <v>765</v>
      </c>
      <c r="N807" t="s">
        <v>296</v>
      </c>
      <c r="O807" t="s">
        <v>297</v>
      </c>
      <c r="P807" t="s">
        <v>298</v>
      </c>
      <c r="R807" t="s">
        <v>299</v>
      </c>
      <c r="S807" t="s">
        <v>300</v>
      </c>
      <c r="T807">
        <v>4101</v>
      </c>
      <c r="U807" t="s">
        <v>168</v>
      </c>
      <c r="V807" t="s">
        <v>169</v>
      </c>
      <c r="W807" t="s">
        <v>301</v>
      </c>
      <c r="X807" t="s">
        <v>302</v>
      </c>
      <c r="Y807" t="s">
        <v>104</v>
      </c>
    </row>
    <row r="808" spans="1:25">
      <c r="A808">
        <v>10386</v>
      </c>
      <c r="B808">
        <v>21</v>
      </c>
      <c r="C808">
        <v>74.77</v>
      </c>
      <c r="D808">
        <v>18</v>
      </c>
      <c r="E808">
        <v>1570.17</v>
      </c>
      <c r="F808" s="4">
        <v>38355</v>
      </c>
      <c r="G808" t="s">
        <v>526</v>
      </c>
      <c r="H808">
        <v>1</v>
      </c>
      <c r="I808">
        <v>3</v>
      </c>
      <c r="J808">
        <v>2005</v>
      </c>
      <c r="K808" t="s">
        <v>726</v>
      </c>
      <c r="L808">
        <v>84</v>
      </c>
      <c r="M808" t="s">
        <v>765</v>
      </c>
      <c r="N808" t="s">
        <v>257</v>
      </c>
      <c r="O808" t="s">
        <v>258</v>
      </c>
      <c r="P808" t="s">
        <v>259</v>
      </c>
      <c r="R808" t="s">
        <v>260</v>
      </c>
      <c r="T808">
        <v>28034</v>
      </c>
      <c r="U808" t="s">
        <v>261</v>
      </c>
      <c r="V808" t="s">
        <v>110</v>
      </c>
      <c r="W808" t="s">
        <v>262</v>
      </c>
      <c r="X808" t="s">
        <v>263</v>
      </c>
      <c r="Y808" t="s">
        <v>104</v>
      </c>
    </row>
    <row r="809" spans="1:25">
      <c r="A809">
        <v>10398</v>
      </c>
      <c r="B809">
        <v>34</v>
      </c>
      <c r="C809">
        <v>76.88</v>
      </c>
      <c r="D809">
        <v>15</v>
      </c>
      <c r="E809">
        <v>2613.92</v>
      </c>
      <c r="F809" t="s">
        <v>750</v>
      </c>
      <c r="G809" t="s">
        <v>93</v>
      </c>
      <c r="H809">
        <v>1</v>
      </c>
      <c r="I809">
        <v>3</v>
      </c>
      <c r="J809">
        <v>2005</v>
      </c>
      <c r="K809" t="s">
        <v>726</v>
      </c>
      <c r="L809">
        <v>84</v>
      </c>
      <c r="M809" t="s">
        <v>765</v>
      </c>
      <c r="N809" t="s">
        <v>105</v>
      </c>
      <c r="O809" t="s">
        <v>106</v>
      </c>
      <c r="P809" t="s">
        <v>107</v>
      </c>
      <c r="R809" t="s">
        <v>108</v>
      </c>
      <c r="T809">
        <v>51100</v>
      </c>
      <c r="U809" t="s">
        <v>109</v>
      </c>
      <c r="V809" t="s">
        <v>110</v>
      </c>
      <c r="W809" t="s">
        <v>111</v>
      </c>
      <c r="X809" t="s">
        <v>112</v>
      </c>
      <c r="Y809" t="s">
        <v>104</v>
      </c>
    </row>
    <row r="810" spans="1:25">
      <c r="A810">
        <v>10401</v>
      </c>
      <c r="B810">
        <v>42</v>
      </c>
      <c r="C810">
        <v>76.03</v>
      </c>
      <c r="D810">
        <v>3</v>
      </c>
      <c r="E810">
        <v>3193.26</v>
      </c>
      <c r="F810" s="4">
        <v>38415</v>
      </c>
      <c r="G810" t="s">
        <v>518</v>
      </c>
      <c r="H810">
        <v>2</v>
      </c>
      <c r="I810">
        <v>4</v>
      </c>
      <c r="J810">
        <v>2005</v>
      </c>
      <c r="K810" t="s">
        <v>726</v>
      </c>
      <c r="L810">
        <v>84</v>
      </c>
      <c r="M810" t="s">
        <v>765</v>
      </c>
      <c r="N810" t="s">
        <v>178</v>
      </c>
      <c r="O810">
        <v>2015559350</v>
      </c>
      <c r="P810" t="s">
        <v>179</v>
      </c>
      <c r="R810" t="s">
        <v>180</v>
      </c>
      <c r="S810" t="s">
        <v>181</v>
      </c>
      <c r="T810">
        <v>94019</v>
      </c>
      <c r="U810" t="s">
        <v>100</v>
      </c>
      <c r="V810" t="s">
        <v>101</v>
      </c>
      <c r="W810" t="s">
        <v>130</v>
      </c>
      <c r="X810" t="s">
        <v>182</v>
      </c>
      <c r="Y810" t="s">
        <v>119</v>
      </c>
    </row>
    <row r="811" spans="1:25">
      <c r="A811">
        <v>10416</v>
      </c>
      <c r="B811">
        <v>15</v>
      </c>
      <c r="C811">
        <v>98.84</v>
      </c>
      <c r="D811">
        <v>4</v>
      </c>
      <c r="E811">
        <v>1482.6</v>
      </c>
      <c r="F811" s="4">
        <v>38630</v>
      </c>
      <c r="G811" t="s">
        <v>93</v>
      </c>
      <c r="H811">
        <v>2</v>
      </c>
      <c r="I811">
        <v>5</v>
      </c>
      <c r="J811">
        <v>2005</v>
      </c>
      <c r="K811" t="s">
        <v>726</v>
      </c>
      <c r="L811">
        <v>84</v>
      </c>
      <c r="M811" t="s">
        <v>765</v>
      </c>
      <c r="N811" t="s">
        <v>576</v>
      </c>
      <c r="O811" t="s">
        <v>577</v>
      </c>
      <c r="P811" t="s">
        <v>578</v>
      </c>
      <c r="R811" t="s">
        <v>579</v>
      </c>
      <c r="T811">
        <v>42100</v>
      </c>
      <c r="U811" t="s">
        <v>352</v>
      </c>
      <c r="V811" t="s">
        <v>110</v>
      </c>
      <c r="W811" t="s">
        <v>580</v>
      </c>
      <c r="X811" t="s">
        <v>581</v>
      </c>
      <c r="Y811" t="s">
        <v>104</v>
      </c>
    </row>
    <row r="812" spans="1:25">
      <c r="A812">
        <v>10107</v>
      </c>
      <c r="B812">
        <v>29</v>
      </c>
      <c r="C812">
        <v>70.87</v>
      </c>
      <c r="D812">
        <v>6</v>
      </c>
      <c r="E812">
        <v>2055.23</v>
      </c>
      <c r="F812" t="s">
        <v>92</v>
      </c>
      <c r="G812" t="s">
        <v>93</v>
      </c>
      <c r="H812">
        <v>1</v>
      </c>
      <c r="I812">
        <v>2</v>
      </c>
      <c r="J812">
        <v>2003</v>
      </c>
      <c r="K812" t="s">
        <v>94</v>
      </c>
      <c r="L812">
        <v>60</v>
      </c>
      <c r="M812" t="s">
        <v>768</v>
      </c>
      <c r="N812" t="s">
        <v>96</v>
      </c>
      <c r="O812">
        <v>2125557818</v>
      </c>
      <c r="P812" t="s">
        <v>97</v>
      </c>
      <c r="R812" t="s">
        <v>98</v>
      </c>
      <c r="S812" t="s">
        <v>99</v>
      </c>
      <c r="T812">
        <v>10022</v>
      </c>
      <c r="U812" t="s">
        <v>100</v>
      </c>
      <c r="V812" t="s">
        <v>101</v>
      </c>
      <c r="W812" t="s">
        <v>102</v>
      </c>
      <c r="X812" t="s">
        <v>103</v>
      </c>
      <c r="Y812" t="s">
        <v>104</v>
      </c>
    </row>
    <row r="813" spans="1:25">
      <c r="A813">
        <v>10120</v>
      </c>
      <c r="B813">
        <v>46</v>
      </c>
      <c r="C813">
        <v>58.15</v>
      </c>
      <c r="D813">
        <v>4</v>
      </c>
      <c r="E813">
        <v>2674.9</v>
      </c>
      <c r="F813" t="s">
        <v>402</v>
      </c>
      <c r="G813" t="s">
        <v>93</v>
      </c>
      <c r="H813">
        <v>2</v>
      </c>
      <c r="I813">
        <v>4</v>
      </c>
      <c r="J813">
        <v>2003</v>
      </c>
      <c r="K813" t="s">
        <v>94</v>
      </c>
      <c r="L813">
        <v>60</v>
      </c>
      <c r="M813" t="s">
        <v>768</v>
      </c>
      <c r="N813" t="s">
        <v>162</v>
      </c>
      <c r="O813" t="s">
        <v>163</v>
      </c>
      <c r="P813" t="s">
        <v>164</v>
      </c>
      <c r="Q813" t="s">
        <v>165</v>
      </c>
      <c r="R813" t="s">
        <v>166</v>
      </c>
      <c r="S813" t="s">
        <v>167</v>
      </c>
      <c r="T813">
        <v>3004</v>
      </c>
      <c r="U813" t="s">
        <v>168</v>
      </c>
      <c r="V813" t="s">
        <v>169</v>
      </c>
      <c r="W813" t="s">
        <v>170</v>
      </c>
      <c r="X813" t="s">
        <v>171</v>
      </c>
      <c r="Y813" t="s">
        <v>104</v>
      </c>
    </row>
    <row r="814" spans="1:25">
      <c r="A814">
        <v>10134</v>
      </c>
      <c r="B814">
        <v>30</v>
      </c>
      <c r="C814">
        <v>61.78</v>
      </c>
      <c r="D814">
        <v>6</v>
      </c>
      <c r="E814">
        <v>1853.4</v>
      </c>
      <c r="F814" s="4">
        <v>37628</v>
      </c>
      <c r="G814" t="s">
        <v>93</v>
      </c>
      <c r="H814">
        <v>3</v>
      </c>
      <c r="I814">
        <v>7</v>
      </c>
      <c r="J814">
        <v>2003</v>
      </c>
      <c r="K814" t="s">
        <v>94</v>
      </c>
      <c r="L814">
        <v>60</v>
      </c>
      <c r="M814" t="s">
        <v>768</v>
      </c>
      <c r="N814" t="s">
        <v>113</v>
      </c>
      <c r="O814" t="s">
        <v>114</v>
      </c>
      <c r="P814" t="s">
        <v>115</v>
      </c>
      <c r="R814" t="s">
        <v>116</v>
      </c>
      <c r="T814">
        <v>75508</v>
      </c>
      <c r="U814" t="s">
        <v>109</v>
      </c>
      <c r="V814" t="s">
        <v>110</v>
      </c>
      <c r="W814" t="s">
        <v>117</v>
      </c>
      <c r="X814" t="s">
        <v>118</v>
      </c>
      <c r="Y814" t="s">
        <v>104</v>
      </c>
    </row>
    <row r="815" spans="1:25">
      <c r="A815">
        <v>10145</v>
      </c>
      <c r="B815">
        <v>30</v>
      </c>
      <c r="C815">
        <v>49.67</v>
      </c>
      <c r="D815">
        <v>10</v>
      </c>
      <c r="E815">
        <v>1490.1</v>
      </c>
      <c r="F815" t="s">
        <v>120</v>
      </c>
      <c r="G815" t="s">
        <v>93</v>
      </c>
      <c r="H815">
        <v>3</v>
      </c>
      <c r="I815">
        <v>8</v>
      </c>
      <c r="J815">
        <v>2003</v>
      </c>
      <c r="K815" t="s">
        <v>94</v>
      </c>
      <c r="L815">
        <v>60</v>
      </c>
      <c r="M815" t="s">
        <v>768</v>
      </c>
      <c r="N815" t="s">
        <v>121</v>
      </c>
      <c r="O815">
        <v>6265557265</v>
      </c>
      <c r="P815" t="s">
        <v>122</v>
      </c>
      <c r="R815" t="s">
        <v>123</v>
      </c>
      <c r="S815" t="s">
        <v>124</v>
      </c>
      <c r="T815">
        <v>90003</v>
      </c>
      <c r="U815" t="s">
        <v>100</v>
      </c>
      <c r="V815" t="s">
        <v>101</v>
      </c>
      <c r="W815" t="s">
        <v>125</v>
      </c>
      <c r="X815" t="s">
        <v>126</v>
      </c>
      <c r="Y815" t="s">
        <v>104</v>
      </c>
    </row>
    <row r="816" spans="1:25">
      <c r="A816">
        <v>10159</v>
      </c>
      <c r="B816">
        <v>42</v>
      </c>
      <c r="C816">
        <v>51.48</v>
      </c>
      <c r="D816">
        <v>18</v>
      </c>
      <c r="E816">
        <v>2162.16</v>
      </c>
      <c r="F816" s="4">
        <v>37904</v>
      </c>
      <c r="G816" t="s">
        <v>93</v>
      </c>
      <c r="H816">
        <v>4</v>
      </c>
      <c r="I816">
        <v>10</v>
      </c>
      <c r="J816">
        <v>2003</v>
      </c>
      <c r="K816" t="s">
        <v>94</v>
      </c>
      <c r="L816">
        <v>60</v>
      </c>
      <c r="M816" t="s">
        <v>768</v>
      </c>
      <c r="N816" t="s">
        <v>127</v>
      </c>
      <c r="O816">
        <v>6505551386</v>
      </c>
      <c r="P816" t="s">
        <v>128</v>
      </c>
      <c r="R816" t="s">
        <v>129</v>
      </c>
      <c r="S816" t="s">
        <v>124</v>
      </c>
      <c r="U816" t="s">
        <v>100</v>
      </c>
      <c r="V816" t="s">
        <v>101</v>
      </c>
      <c r="W816" t="s">
        <v>130</v>
      </c>
      <c r="X816" t="s">
        <v>126</v>
      </c>
      <c r="Y816" t="s">
        <v>104</v>
      </c>
    </row>
    <row r="817" spans="1:25">
      <c r="A817">
        <v>10168</v>
      </c>
      <c r="B817">
        <v>46</v>
      </c>
      <c r="C817">
        <v>61.18</v>
      </c>
      <c r="D817">
        <v>5</v>
      </c>
      <c r="E817">
        <v>2814.28</v>
      </c>
      <c r="F817" t="s">
        <v>131</v>
      </c>
      <c r="G817" t="s">
        <v>93</v>
      </c>
      <c r="H817">
        <v>4</v>
      </c>
      <c r="I817">
        <v>10</v>
      </c>
      <c r="J817">
        <v>2003</v>
      </c>
      <c r="K817" t="s">
        <v>94</v>
      </c>
      <c r="L817">
        <v>60</v>
      </c>
      <c r="M817" t="s">
        <v>768</v>
      </c>
      <c r="N817" t="s">
        <v>132</v>
      </c>
      <c r="O817">
        <v>6505556809</v>
      </c>
      <c r="P817" t="s">
        <v>133</v>
      </c>
      <c r="R817" t="s">
        <v>134</v>
      </c>
      <c r="S817" t="s">
        <v>124</v>
      </c>
      <c r="T817">
        <v>94217</v>
      </c>
      <c r="U817" t="s">
        <v>100</v>
      </c>
      <c r="V817" t="s">
        <v>101</v>
      </c>
      <c r="W817" t="s">
        <v>135</v>
      </c>
      <c r="X817" t="s">
        <v>136</v>
      </c>
      <c r="Y817" t="s">
        <v>104</v>
      </c>
    </row>
    <row r="818" spans="1:25">
      <c r="A818">
        <v>10180</v>
      </c>
      <c r="B818">
        <v>25</v>
      </c>
      <c r="C818">
        <v>64.2</v>
      </c>
      <c r="D818">
        <v>13</v>
      </c>
      <c r="E818">
        <v>1605</v>
      </c>
      <c r="F818" s="4">
        <v>37936</v>
      </c>
      <c r="G818" t="s">
        <v>93</v>
      </c>
      <c r="H818">
        <v>4</v>
      </c>
      <c r="I818">
        <v>11</v>
      </c>
      <c r="J818">
        <v>2003</v>
      </c>
      <c r="K818" t="s">
        <v>94</v>
      </c>
      <c r="L818">
        <v>60</v>
      </c>
      <c r="M818" t="s">
        <v>768</v>
      </c>
      <c r="N818" t="s">
        <v>137</v>
      </c>
      <c r="O818" t="s">
        <v>138</v>
      </c>
      <c r="P818" t="s">
        <v>139</v>
      </c>
      <c r="R818" t="s">
        <v>140</v>
      </c>
      <c r="T818">
        <v>59000</v>
      </c>
      <c r="U818" t="s">
        <v>109</v>
      </c>
      <c r="V818" t="s">
        <v>110</v>
      </c>
      <c r="W818" t="s">
        <v>141</v>
      </c>
      <c r="X818" t="s">
        <v>142</v>
      </c>
      <c r="Y818" t="s">
        <v>104</v>
      </c>
    </row>
    <row r="819" spans="1:25">
      <c r="A819">
        <v>10188</v>
      </c>
      <c r="B819">
        <v>32</v>
      </c>
      <c r="C819">
        <v>65.42</v>
      </c>
      <c r="D819">
        <v>5</v>
      </c>
      <c r="E819">
        <v>2093.44</v>
      </c>
      <c r="F819" t="s">
        <v>143</v>
      </c>
      <c r="G819" t="s">
        <v>93</v>
      </c>
      <c r="H819">
        <v>4</v>
      </c>
      <c r="I819">
        <v>11</v>
      </c>
      <c r="J819">
        <v>2003</v>
      </c>
      <c r="K819" t="s">
        <v>94</v>
      </c>
      <c r="L819">
        <v>60</v>
      </c>
      <c r="M819" t="s">
        <v>768</v>
      </c>
      <c r="N819" t="s">
        <v>144</v>
      </c>
      <c r="O819" t="s">
        <v>145</v>
      </c>
      <c r="P819" t="s">
        <v>146</v>
      </c>
      <c r="R819" t="s">
        <v>147</v>
      </c>
      <c r="T819" t="s">
        <v>148</v>
      </c>
      <c r="U819" t="s">
        <v>149</v>
      </c>
      <c r="V819" t="s">
        <v>110</v>
      </c>
      <c r="W819" t="s">
        <v>150</v>
      </c>
      <c r="X819" t="s">
        <v>151</v>
      </c>
      <c r="Y819" t="s">
        <v>104</v>
      </c>
    </row>
    <row r="820" spans="1:25">
      <c r="A820">
        <v>10201</v>
      </c>
      <c r="B820">
        <v>30</v>
      </c>
      <c r="C820">
        <v>64.81</v>
      </c>
      <c r="D820">
        <v>6</v>
      </c>
      <c r="E820">
        <v>1944.3</v>
      </c>
      <c r="F820" s="4">
        <v>37633</v>
      </c>
      <c r="G820" t="s">
        <v>93</v>
      </c>
      <c r="H820">
        <v>4</v>
      </c>
      <c r="I820">
        <v>12</v>
      </c>
      <c r="J820">
        <v>2003</v>
      </c>
      <c r="K820" t="s">
        <v>94</v>
      </c>
      <c r="L820">
        <v>60</v>
      </c>
      <c r="M820" t="s">
        <v>768</v>
      </c>
      <c r="N820" t="s">
        <v>152</v>
      </c>
      <c r="O820">
        <v>6505555787</v>
      </c>
      <c r="P820" t="s">
        <v>153</v>
      </c>
      <c r="R820" t="s">
        <v>129</v>
      </c>
      <c r="S820" t="s">
        <v>124</v>
      </c>
      <c r="U820" t="s">
        <v>100</v>
      </c>
      <c r="V820" t="s">
        <v>101</v>
      </c>
      <c r="W820" t="s">
        <v>154</v>
      </c>
      <c r="X820" t="s">
        <v>126</v>
      </c>
      <c r="Y820" t="s">
        <v>104</v>
      </c>
    </row>
    <row r="821" spans="1:25">
      <c r="A821">
        <v>10210</v>
      </c>
      <c r="B821">
        <v>40</v>
      </c>
      <c r="C821">
        <v>49.67</v>
      </c>
      <c r="D821">
        <v>3</v>
      </c>
      <c r="E821">
        <v>1986.8</v>
      </c>
      <c r="F821" s="4">
        <v>38322</v>
      </c>
      <c r="G821" t="s">
        <v>93</v>
      </c>
      <c r="H821">
        <v>1</v>
      </c>
      <c r="I821">
        <v>1</v>
      </c>
      <c r="J821">
        <v>2004</v>
      </c>
      <c r="K821" t="s">
        <v>94</v>
      </c>
      <c r="L821">
        <v>60</v>
      </c>
      <c r="M821" t="s">
        <v>768</v>
      </c>
      <c r="N821" t="s">
        <v>403</v>
      </c>
      <c r="O821" t="s">
        <v>404</v>
      </c>
      <c r="P821" t="s">
        <v>405</v>
      </c>
      <c r="R821" t="s">
        <v>406</v>
      </c>
      <c r="S821" t="s">
        <v>406</v>
      </c>
      <c r="T821" t="s">
        <v>407</v>
      </c>
      <c r="U821" t="s">
        <v>288</v>
      </c>
      <c r="V821" t="s">
        <v>288</v>
      </c>
      <c r="W821" t="s">
        <v>408</v>
      </c>
      <c r="X821" t="s">
        <v>409</v>
      </c>
      <c r="Y821" t="s">
        <v>104</v>
      </c>
    </row>
    <row r="822" spans="1:25">
      <c r="A822">
        <v>10223</v>
      </c>
      <c r="B822">
        <v>28</v>
      </c>
      <c r="C822">
        <v>60.57</v>
      </c>
      <c r="D822">
        <v>5</v>
      </c>
      <c r="E822">
        <v>1695.96</v>
      </c>
      <c r="F822" t="s">
        <v>161</v>
      </c>
      <c r="G822" t="s">
        <v>93</v>
      </c>
      <c r="H822">
        <v>1</v>
      </c>
      <c r="I822">
        <v>2</v>
      </c>
      <c r="J822">
        <v>2004</v>
      </c>
      <c r="K822" t="s">
        <v>94</v>
      </c>
      <c r="L822">
        <v>60</v>
      </c>
      <c r="M822" t="s">
        <v>768</v>
      </c>
      <c r="N822" t="s">
        <v>162</v>
      </c>
      <c r="O822" t="s">
        <v>163</v>
      </c>
      <c r="P822" t="s">
        <v>164</v>
      </c>
      <c r="Q822" t="s">
        <v>165</v>
      </c>
      <c r="R822" t="s">
        <v>166</v>
      </c>
      <c r="S822" t="s">
        <v>167</v>
      </c>
      <c r="T822">
        <v>3004</v>
      </c>
      <c r="U822" t="s">
        <v>168</v>
      </c>
      <c r="V822" t="s">
        <v>169</v>
      </c>
      <c r="W822" t="s">
        <v>170</v>
      </c>
      <c r="X822" t="s">
        <v>171</v>
      </c>
      <c r="Y822" t="s">
        <v>104</v>
      </c>
    </row>
    <row r="823" spans="1:25">
      <c r="A823">
        <v>10236</v>
      </c>
      <c r="B823">
        <v>23</v>
      </c>
      <c r="C823">
        <v>55.72</v>
      </c>
      <c r="D823">
        <v>2</v>
      </c>
      <c r="E823">
        <v>1281.56</v>
      </c>
      <c r="F823" s="4">
        <v>38050</v>
      </c>
      <c r="G823" t="s">
        <v>93</v>
      </c>
      <c r="H823">
        <v>2</v>
      </c>
      <c r="I823">
        <v>4</v>
      </c>
      <c r="J823">
        <v>2004</v>
      </c>
      <c r="K823" t="s">
        <v>94</v>
      </c>
      <c r="L823">
        <v>60</v>
      </c>
      <c r="M823" t="s">
        <v>768</v>
      </c>
      <c r="N823" t="s">
        <v>410</v>
      </c>
      <c r="O823">
        <v>2155559857</v>
      </c>
      <c r="P823" t="s">
        <v>411</v>
      </c>
      <c r="R823" t="s">
        <v>306</v>
      </c>
      <c r="S823" t="s">
        <v>221</v>
      </c>
      <c r="T823">
        <v>71270</v>
      </c>
      <c r="U823" t="s">
        <v>100</v>
      </c>
      <c r="V823" t="s">
        <v>101</v>
      </c>
      <c r="W823" t="s">
        <v>201</v>
      </c>
      <c r="X823" t="s">
        <v>412</v>
      </c>
      <c r="Y823" t="s">
        <v>104</v>
      </c>
    </row>
    <row r="824" spans="1:25">
      <c r="A824">
        <v>10251</v>
      </c>
      <c r="B824">
        <v>29</v>
      </c>
      <c r="C824">
        <v>61.18</v>
      </c>
      <c r="D824">
        <v>6</v>
      </c>
      <c r="E824">
        <v>1774.22</v>
      </c>
      <c r="F824" t="s">
        <v>177</v>
      </c>
      <c r="G824" t="s">
        <v>93</v>
      </c>
      <c r="H824">
        <v>2</v>
      </c>
      <c r="I824">
        <v>5</v>
      </c>
      <c r="J824">
        <v>2004</v>
      </c>
      <c r="K824" t="s">
        <v>94</v>
      </c>
      <c r="L824">
        <v>60</v>
      </c>
      <c r="M824" t="s">
        <v>768</v>
      </c>
      <c r="N824" t="s">
        <v>178</v>
      </c>
      <c r="O824">
        <v>2015559350</v>
      </c>
      <c r="P824" t="s">
        <v>179</v>
      </c>
      <c r="R824" t="s">
        <v>180</v>
      </c>
      <c r="S824" t="s">
        <v>181</v>
      </c>
      <c r="T824">
        <v>94019</v>
      </c>
      <c r="U824" t="s">
        <v>100</v>
      </c>
      <c r="V824" t="s">
        <v>101</v>
      </c>
      <c r="W824" t="s">
        <v>130</v>
      </c>
      <c r="X824" t="s">
        <v>182</v>
      </c>
      <c r="Y824" t="s">
        <v>104</v>
      </c>
    </row>
    <row r="825" spans="1:25">
      <c r="A825">
        <v>10263</v>
      </c>
      <c r="B825">
        <v>34</v>
      </c>
      <c r="C825">
        <v>58.75</v>
      </c>
      <c r="D825">
        <v>6</v>
      </c>
      <c r="E825">
        <v>1997.5</v>
      </c>
      <c r="F825" t="s">
        <v>183</v>
      </c>
      <c r="G825" t="s">
        <v>93</v>
      </c>
      <c r="H825">
        <v>2</v>
      </c>
      <c r="I825">
        <v>6</v>
      </c>
      <c r="J825">
        <v>2004</v>
      </c>
      <c r="K825" t="s">
        <v>94</v>
      </c>
      <c r="L825">
        <v>60</v>
      </c>
      <c r="M825" t="s">
        <v>768</v>
      </c>
      <c r="N825" t="s">
        <v>184</v>
      </c>
      <c r="O825">
        <v>2035552570</v>
      </c>
      <c r="P825" t="s">
        <v>185</v>
      </c>
      <c r="R825" t="s">
        <v>186</v>
      </c>
      <c r="S825" t="s">
        <v>187</v>
      </c>
      <c r="T825">
        <v>97562</v>
      </c>
      <c r="U825" t="s">
        <v>100</v>
      </c>
      <c r="V825" t="s">
        <v>101</v>
      </c>
      <c r="W825" t="s">
        <v>188</v>
      </c>
      <c r="X825" t="s">
        <v>126</v>
      </c>
      <c r="Y825" t="s">
        <v>104</v>
      </c>
    </row>
    <row r="826" spans="1:25">
      <c r="A826">
        <v>10275</v>
      </c>
      <c r="B826">
        <v>37</v>
      </c>
      <c r="C826">
        <v>63.6</v>
      </c>
      <c r="D826">
        <v>5</v>
      </c>
      <c r="E826">
        <v>2353.1999999999998</v>
      </c>
      <c r="F826" t="s">
        <v>189</v>
      </c>
      <c r="G826" t="s">
        <v>93</v>
      </c>
      <c r="H826">
        <v>3</v>
      </c>
      <c r="I826">
        <v>7</v>
      </c>
      <c r="J826">
        <v>2004</v>
      </c>
      <c r="K826" t="s">
        <v>94</v>
      </c>
      <c r="L826">
        <v>60</v>
      </c>
      <c r="M826" t="s">
        <v>768</v>
      </c>
      <c r="N826" t="s">
        <v>190</v>
      </c>
      <c r="O826" t="s">
        <v>191</v>
      </c>
      <c r="P826" t="s">
        <v>192</v>
      </c>
      <c r="R826" t="s">
        <v>193</v>
      </c>
      <c r="T826">
        <v>44000</v>
      </c>
      <c r="U826" t="s">
        <v>109</v>
      </c>
      <c r="V826" t="s">
        <v>110</v>
      </c>
      <c r="W826" t="s">
        <v>194</v>
      </c>
      <c r="X826" t="s">
        <v>195</v>
      </c>
      <c r="Y826" t="s">
        <v>104</v>
      </c>
    </row>
    <row r="827" spans="1:25">
      <c r="A827">
        <v>10285</v>
      </c>
      <c r="B827">
        <v>20</v>
      </c>
      <c r="C827">
        <v>49.06</v>
      </c>
      <c r="D827">
        <v>10</v>
      </c>
      <c r="E827">
        <v>981.2</v>
      </c>
      <c r="F827" t="s">
        <v>196</v>
      </c>
      <c r="G827" t="s">
        <v>93</v>
      </c>
      <c r="H827">
        <v>3</v>
      </c>
      <c r="I827">
        <v>8</v>
      </c>
      <c r="J827">
        <v>2004</v>
      </c>
      <c r="K827" t="s">
        <v>94</v>
      </c>
      <c r="L827">
        <v>60</v>
      </c>
      <c r="M827" t="s">
        <v>768</v>
      </c>
      <c r="N827" t="s">
        <v>197</v>
      </c>
      <c r="O827">
        <v>6175558555</v>
      </c>
      <c r="P827" t="s">
        <v>198</v>
      </c>
      <c r="R827" t="s">
        <v>199</v>
      </c>
      <c r="S827" t="s">
        <v>200</v>
      </c>
      <c r="T827">
        <v>51247</v>
      </c>
      <c r="U827" t="s">
        <v>100</v>
      </c>
      <c r="V827" t="s">
        <v>101</v>
      </c>
      <c r="W827" t="s">
        <v>201</v>
      </c>
      <c r="X827" t="s">
        <v>202</v>
      </c>
      <c r="Y827" t="s">
        <v>104</v>
      </c>
    </row>
    <row r="828" spans="1:25">
      <c r="A828">
        <v>10298</v>
      </c>
      <c r="B828">
        <v>32</v>
      </c>
      <c r="C828">
        <v>48.46</v>
      </c>
      <c r="D828">
        <v>2</v>
      </c>
      <c r="E828">
        <v>1550.72</v>
      </c>
      <c r="F828" t="s">
        <v>413</v>
      </c>
      <c r="G828" t="s">
        <v>93</v>
      </c>
      <c r="H828">
        <v>3</v>
      </c>
      <c r="I828">
        <v>9</v>
      </c>
      <c r="J828">
        <v>2004</v>
      </c>
      <c r="K828" t="s">
        <v>94</v>
      </c>
      <c r="L828">
        <v>60</v>
      </c>
      <c r="M828" t="s">
        <v>768</v>
      </c>
      <c r="N828" t="s">
        <v>414</v>
      </c>
      <c r="O828" t="s">
        <v>415</v>
      </c>
      <c r="P828" t="s">
        <v>416</v>
      </c>
      <c r="R828" t="s">
        <v>193</v>
      </c>
      <c r="T828">
        <v>44000</v>
      </c>
      <c r="U828" t="s">
        <v>109</v>
      </c>
      <c r="V828" t="s">
        <v>110</v>
      </c>
      <c r="W828" t="s">
        <v>417</v>
      </c>
      <c r="X828" t="s">
        <v>418</v>
      </c>
      <c r="Y828" t="s">
        <v>104</v>
      </c>
    </row>
    <row r="829" spans="1:25">
      <c r="A829">
        <v>10308</v>
      </c>
      <c r="B829">
        <v>34</v>
      </c>
      <c r="C829">
        <v>52.09</v>
      </c>
      <c r="D829">
        <v>3</v>
      </c>
      <c r="E829">
        <v>1771.06</v>
      </c>
      <c r="F829" t="s">
        <v>211</v>
      </c>
      <c r="G829" t="s">
        <v>93</v>
      </c>
      <c r="H829">
        <v>4</v>
      </c>
      <c r="I829">
        <v>10</v>
      </c>
      <c r="J829">
        <v>2004</v>
      </c>
      <c r="K829" t="s">
        <v>94</v>
      </c>
      <c r="L829">
        <v>60</v>
      </c>
      <c r="M829" t="s">
        <v>768</v>
      </c>
      <c r="N829" t="s">
        <v>419</v>
      </c>
      <c r="O829">
        <v>9145554562</v>
      </c>
      <c r="P829" t="s">
        <v>420</v>
      </c>
      <c r="R829" t="s">
        <v>421</v>
      </c>
      <c r="S829" t="s">
        <v>99</v>
      </c>
      <c r="T829">
        <v>24067</v>
      </c>
      <c r="U829" t="s">
        <v>100</v>
      </c>
      <c r="V829" t="s">
        <v>101</v>
      </c>
      <c r="W829" t="s">
        <v>175</v>
      </c>
      <c r="X829" t="s">
        <v>329</v>
      </c>
      <c r="Y829" t="s">
        <v>104</v>
      </c>
    </row>
    <row r="830" spans="1:25">
      <c r="A830">
        <v>10318</v>
      </c>
      <c r="B830">
        <v>42</v>
      </c>
      <c r="C830">
        <v>52.7</v>
      </c>
      <c r="D830">
        <v>5</v>
      </c>
      <c r="E830">
        <v>2213.4</v>
      </c>
      <c r="F830" s="4">
        <v>38028</v>
      </c>
      <c r="G830" t="s">
        <v>93</v>
      </c>
      <c r="H830">
        <v>4</v>
      </c>
      <c r="I830">
        <v>11</v>
      </c>
      <c r="J830">
        <v>2004</v>
      </c>
      <c r="K830" t="s">
        <v>94</v>
      </c>
      <c r="L830">
        <v>60</v>
      </c>
      <c r="M830" t="s">
        <v>768</v>
      </c>
      <c r="N830" t="s">
        <v>218</v>
      </c>
      <c r="O830">
        <v>2155551555</v>
      </c>
      <c r="P830" t="s">
        <v>219</v>
      </c>
      <c r="R830" t="s">
        <v>220</v>
      </c>
      <c r="S830" t="s">
        <v>221</v>
      </c>
      <c r="T830">
        <v>70267</v>
      </c>
      <c r="U830" t="s">
        <v>100</v>
      </c>
      <c r="V830" t="s">
        <v>101</v>
      </c>
      <c r="W830" t="s">
        <v>102</v>
      </c>
      <c r="X830" t="s">
        <v>222</v>
      </c>
      <c r="Y830" t="s">
        <v>104</v>
      </c>
    </row>
    <row r="831" spans="1:25">
      <c r="A831">
        <v>10329</v>
      </c>
      <c r="B831">
        <v>38</v>
      </c>
      <c r="C831">
        <v>100</v>
      </c>
      <c r="D831">
        <v>12</v>
      </c>
      <c r="E831">
        <v>5266.04</v>
      </c>
      <c r="F831" t="s">
        <v>223</v>
      </c>
      <c r="G831" t="s">
        <v>93</v>
      </c>
      <c r="H831">
        <v>4</v>
      </c>
      <c r="I831">
        <v>11</v>
      </c>
      <c r="J831">
        <v>2004</v>
      </c>
      <c r="K831" t="s">
        <v>94</v>
      </c>
      <c r="L831">
        <v>60</v>
      </c>
      <c r="M831" t="s">
        <v>768</v>
      </c>
      <c r="N831" t="s">
        <v>96</v>
      </c>
      <c r="O831">
        <v>2125557818</v>
      </c>
      <c r="P831" t="s">
        <v>97</v>
      </c>
      <c r="R831" t="s">
        <v>98</v>
      </c>
      <c r="S831" t="s">
        <v>99</v>
      </c>
      <c r="T831">
        <v>10022</v>
      </c>
      <c r="U831" t="s">
        <v>100</v>
      </c>
      <c r="V831" t="s">
        <v>101</v>
      </c>
      <c r="W831" t="s">
        <v>102</v>
      </c>
      <c r="X831" t="s">
        <v>103</v>
      </c>
      <c r="Y831" t="s">
        <v>119</v>
      </c>
    </row>
    <row r="832" spans="1:25">
      <c r="A832">
        <v>10339</v>
      </c>
      <c r="B832">
        <v>30</v>
      </c>
      <c r="C832">
        <v>62.16</v>
      </c>
      <c r="D832">
        <v>1</v>
      </c>
      <c r="E832">
        <v>1864.8</v>
      </c>
      <c r="F832" t="s">
        <v>422</v>
      </c>
      <c r="G832" t="s">
        <v>93</v>
      </c>
      <c r="H832">
        <v>4</v>
      </c>
      <c r="I832">
        <v>11</v>
      </c>
      <c r="J832">
        <v>2004</v>
      </c>
      <c r="K832" t="s">
        <v>94</v>
      </c>
      <c r="L832">
        <v>60</v>
      </c>
      <c r="M832" t="s">
        <v>768</v>
      </c>
      <c r="N832" t="s">
        <v>338</v>
      </c>
      <c r="O832" t="s">
        <v>339</v>
      </c>
      <c r="P832" t="s">
        <v>340</v>
      </c>
      <c r="R832" t="s">
        <v>341</v>
      </c>
      <c r="S832" t="s">
        <v>342</v>
      </c>
      <c r="T832" t="s">
        <v>343</v>
      </c>
      <c r="U832" t="s">
        <v>288</v>
      </c>
      <c r="V832" t="s">
        <v>288</v>
      </c>
      <c r="W832" t="s">
        <v>344</v>
      </c>
      <c r="X832" t="s">
        <v>345</v>
      </c>
      <c r="Y832" t="s">
        <v>104</v>
      </c>
    </row>
    <row r="833" spans="1:25">
      <c r="A833">
        <v>10362</v>
      </c>
      <c r="B833">
        <v>23</v>
      </c>
      <c r="C833">
        <v>49.67</v>
      </c>
      <c r="D833">
        <v>3</v>
      </c>
      <c r="E833">
        <v>1142.4100000000001</v>
      </c>
      <c r="F833" s="4">
        <v>38473</v>
      </c>
      <c r="G833" t="s">
        <v>93</v>
      </c>
      <c r="H833">
        <v>1</v>
      </c>
      <c r="I833">
        <v>1</v>
      </c>
      <c r="J833">
        <v>2005</v>
      </c>
      <c r="K833" t="s">
        <v>94</v>
      </c>
      <c r="L833">
        <v>60</v>
      </c>
      <c r="M833" t="s">
        <v>768</v>
      </c>
      <c r="N833" t="s">
        <v>132</v>
      </c>
      <c r="O833">
        <v>6505556809</v>
      </c>
      <c r="P833" t="s">
        <v>133</v>
      </c>
      <c r="R833" t="s">
        <v>134</v>
      </c>
      <c r="S833" t="s">
        <v>124</v>
      </c>
      <c r="T833">
        <v>94217</v>
      </c>
      <c r="U833" t="s">
        <v>100</v>
      </c>
      <c r="V833" t="s">
        <v>101</v>
      </c>
      <c r="W833" t="s">
        <v>135</v>
      </c>
      <c r="X833" t="s">
        <v>136</v>
      </c>
      <c r="Y833" t="s">
        <v>104</v>
      </c>
    </row>
    <row r="834" spans="1:25">
      <c r="A834">
        <v>10374</v>
      </c>
      <c r="B834">
        <v>22</v>
      </c>
      <c r="C834">
        <v>53.3</v>
      </c>
      <c r="D834">
        <v>4</v>
      </c>
      <c r="E834">
        <v>1172.5999999999999</v>
      </c>
      <c r="F834" s="4">
        <v>38385</v>
      </c>
      <c r="G834" t="s">
        <v>93</v>
      </c>
      <c r="H834">
        <v>1</v>
      </c>
      <c r="I834">
        <v>2</v>
      </c>
      <c r="J834">
        <v>2005</v>
      </c>
      <c r="K834" t="s">
        <v>94</v>
      </c>
      <c r="L834">
        <v>60</v>
      </c>
      <c r="M834" t="s">
        <v>768</v>
      </c>
      <c r="N834" t="s">
        <v>296</v>
      </c>
      <c r="O834" t="s">
        <v>297</v>
      </c>
      <c r="P834" t="s">
        <v>298</v>
      </c>
      <c r="R834" t="s">
        <v>299</v>
      </c>
      <c r="S834" t="s">
        <v>300</v>
      </c>
      <c r="T834">
        <v>4101</v>
      </c>
      <c r="U834" t="s">
        <v>168</v>
      </c>
      <c r="V834" t="s">
        <v>169</v>
      </c>
      <c r="W834" t="s">
        <v>301</v>
      </c>
      <c r="X834" t="s">
        <v>302</v>
      </c>
      <c r="Y834" t="s">
        <v>104</v>
      </c>
    </row>
    <row r="835" spans="1:25">
      <c r="A835">
        <v>10389</v>
      </c>
      <c r="B835">
        <v>39</v>
      </c>
      <c r="C835">
        <v>100</v>
      </c>
      <c r="D835">
        <v>5</v>
      </c>
      <c r="E835">
        <v>6981</v>
      </c>
      <c r="F835" s="4">
        <v>38414</v>
      </c>
      <c r="G835" t="s">
        <v>93</v>
      </c>
      <c r="H835">
        <v>1</v>
      </c>
      <c r="I835">
        <v>3</v>
      </c>
      <c r="J835">
        <v>2005</v>
      </c>
      <c r="K835" t="s">
        <v>94</v>
      </c>
      <c r="L835">
        <v>60</v>
      </c>
      <c r="M835" t="s">
        <v>768</v>
      </c>
      <c r="N835" t="s">
        <v>355</v>
      </c>
      <c r="O835" t="s">
        <v>356</v>
      </c>
      <c r="P835" t="s">
        <v>357</v>
      </c>
      <c r="R835" t="s">
        <v>358</v>
      </c>
      <c r="T835" t="s">
        <v>359</v>
      </c>
      <c r="U835" t="s">
        <v>273</v>
      </c>
      <c r="V835" t="s">
        <v>110</v>
      </c>
      <c r="W835" t="s">
        <v>360</v>
      </c>
      <c r="X835" t="s">
        <v>295</v>
      </c>
      <c r="Y835" t="s">
        <v>119</v>
      </c>
    </row>
    <row r="836" spans="1:25">
      <c r="A836">
        <v>10402</v>
      </c>
      <c r="B836">
        <v>55</v>
      </c>
      <c r="C836">
        <v>55.72</v>
      </c>
      <c r="D836">
        <v>2</v>
      </c>
      <c r="E836">
        <v>3064.6</v>
      </c>
      <c r="F836" s="4">
        <v>38537</v>
      </c>
      <c r="G836" t="s">
        <v>93</v>
      </c>
      <c r="H836">
        <v>2</v>
      </c>
      <c r="I836">
        <v>4</v>
      </c>
      <c r="J836">
        <v>2005</v>
      </c>
      <c r="K836" t="s">
        <v>94</v>
      </c>
      <c r="L836">
        <v>60</v>
      </c>
      <c r="M836" t="s">
        <v>768</v>
      </c>
      <c r="N836" t="s">
        <v>156</v>
      </c>
      <c r="O836" t="s">
        <v>157</v>
      </c>
      <c r="P836" t="s">
        <v>158</v>
      </c>
      <c r="R836" t="s">
        <v>116</v>
      </c>
      <c r="T836">
        <v>75016</v>
      </c>
      <c r="U836" t="s">
        <v>109</v>
      </c>
      <c r="V836" t="s">
        <v>110</v>
      </c>
      <c r="W836" t="s">
        <v>159</v>
      </c>
      <c r="X836" t="s">
        <v>160</v>
      </c>
      <c r="Y836" t="s">
        <v>119</v>
      </c>
    </row>
    <row r="837" spans="1:25">
      <c r="A837">
        <v>10417</v>
      </c>
      <c r="B837">
        <v>36</v>
      </c>
      <c r="C837">
        <v>61.18</v>
      </c>
      <c r="D837">
        <v>6</v>
      </c>
      <c r="E837">
        <v>2202.48</v>
      </c>
      <c r="F837" t="s">
        <v>255</v>
      </c>
      <c r="G837" t="s">
        <v>256</v>
      </c>
      <c r="H837">
        <v>2</v>
      </c>
      <c r="I837">
        <v>5</v>
      </c>
      <c r="J837">
        <v>2005</v>
      </c>
      <c r="K837" t="s">
        <v>94</v>
      </c>
      <c r="L837">
        <v>60</v>
      </c>
      <c r="M837" t="s">
        <v>768</v>
      </c>
      <c r="N837" t="s">
        <v>257</v>
      </c>
      <c r="O837" t="s">
        <v>258</v>
      </c>
      <c r="P837" t="s">
        <v>259</v>
      </c>
      <c r="R837" t="s">
        <v>260</v>
      </c>
      <c r="T837">
        <v>28034</v>
      </c>
      <c r="U837" t="s">
        <v>261</v>
      </c>
      <c r="V837" t="s">
        <v>110</v>
      </c>
      <c r="W837" t="s">
        <v>262</v>
      </c>
      <c r="X837" t="s">
        <v>263</v>
      </c>
      <c r="Y837" t="s">
        <v>104</v>
      </c>
    </row>
    <row r="838" spans="1:25">
      <c r="A838">
        <v>10101</v>
      </c>
      <c r="B838">
        <v>26</v>
      </c>
      <c r="C838">
        <v>100</v>
      </c>
      <c r="D838">
        <v>1</v>
      </c>
      <c r="E838">
        <v>3773.38</v>
      </c>
      <c r="F838" s="4">
        <v>37865</v>
      </c>
      <c r="G838" t="s">
        <v>93</v>
      </c>
      <c r="H838">
        <v>1</v>
      </c>
      <c r="I838">
        <v>1</v>
      </c>
      <c r="J838">
        <v>2003</v>
      </c>
      <c r="K838" t="s">
        <v>697</v>
      </c>
      <c r="L838">
        <v>168</v>
      </c>
      <c r="M838" t="s">
        <v>769</v>
      </c>
      <c r="N838" t="s">
        <v>587</v>
      </c>
      <c r="O838" t="s">
        <v>588</v>
      </c>
      <c r="P838" t="s">
        <v>589</v>
      </c>
      <c r="R838" t="s">
        <v>590</v>
      </c>
      <c r="T838">
        <v>60528</v>
      </c>
      <c r="U838" t="s">
        <v>566</v>
      </c>
      <c r="V838" t="s">
        <v>110</v>
      </c>
      <c r="W838" t="s">
        <v>591</v>
      </c>
      <c r="X838" t="s">
        <v>532</v>
      </c>
      <c r="Y838" t="s">
        <v>119</v>
      </c>
    </row>
    <row r="839" spans="1:25">
      <c r="A839">
        <v>10110</v>
      </c>
      <c r="B839">
        <v>31</v>
      </c>
      <c r="C839">
        <v>100</v>
      </c>
      <c r="D839">
        <v>1</v>
      </c>
      <c r="E839">
        <v>5074.3900000000003</v>
      </c>
      <c r="F839" t="s">
        <v>720</v>
      </c>
      <c r="G839" t="s">
        <v>93</v>
      </c>
      <c r="H839">
        <v>1</v>
      </c>
      <c r="I839">
        <v>3</v>
      </c>
      <c r="J839">
        <v>2003</v>
      </c>
      <c r="K839" t="s">
        <v>697</v>
      </c>
      <c r="L839">
        <v>168</v>
      </c>
      <c r="M839" t="s">
        <v>769</v>
      </c>
      <c r="N839" t="s">
        <v>624</v>
      </c>
      <c r="O839" t="s">
        <v>625</v>
      </c>
      <c r="P839" t="s">
        <v>626</v>
      </c>
      <c r="R839" t="s">
        <v>627</v>
      </c>
      <c r="T839" t="s">
        <v>628</v>
      </c>
      <c r="U839" t="s">
        <v>252</v>
      </c>
      <c r="V839" t="s">
        <v>110</v>
      </c>
      <c r="W839" t="s">
        <v>629</v>
      </c>
      <c r="X839" t="s">
        <v>167</v>
      </c>
      <c r="Y839" t="s">
        <v>119</v>
      </c>
    </row>
    <row r="840" spans="1:25">
      <c r="A840">
        <v>10125</v>
      </c>
      <c r="B840">
        <v>34</v>
      </c>
      <c r="C840">
        <v>100</v>
      </c>
      <c r="D840">
        <v>2</v>
      </c>
      <c r="E840">
        <v>6483.46</v>
      </c>
      <c r="F840" t="s">
        <v>700</v>
      </c>
      <c r="G840" t="s">
        <v>93</v>
      </c>
      <c r="H840">
        <v>2</v>
      </c>
      <c r="I840">
        <v>5</v>
      </c>
      <c r="J840">
        <v>2003</v>
      </c>
      <c r="K840" t="s">
        <v>697</v>
      </c>
      <c r="L840">
        <v>168</v>
      </c>
      <c r="M840" t="s">
        <v>769</v>
      </c>
      <c r="N840" t="s">
        <v>162</v>
      </c>
      <c r="O840" t="s">
        <v>163</v>
      </c>
      <c r="P840" t="s">
        <v>164</v>
      </c>
      <c r="Q840" t="s">
        <v>165</v>
      </c>
      <c r="R840" t="s">
        <v>166</v>
      </c>
      <c r="S840" t="s">
        <v>167</v>
      </c>
      <c r="T840">
        <v>3004</v>
      </c>
      <c r="U840" t="s">
        <v>168</v>
      </c>
      <c r="V840" t="s">
        <v>169</v>
      </c>
      <c r="W840" t="s">
        <v>170</v>
      </c>
      <c r="X840" t="s">
        <v>171</v>
      </c>
      <c r="Y840" t="s">
        <v>119</v>
      </c>
    </row>
    <row r="841" spans="1:25">
      <c r="A841">
        <v>10139</v>
      </c>
      <c r="B841">
        <v>41</v>
      </c>
      <c r="C841">
        <v>100</v>
      </c>
      <c r="D841">
        <v>8</v>
      </c>
      <c r="E841">
        <v>7956.46</v>
      </c>
      <c r="F841" t="s">
        <v>701</v>
      </c>
      <c r="G841" t="s">
        <v>93</v>
      </c>
      <c r="H841">
        <v>3</v>
      </c>
      <c r="I841">
        <v>7</v>
      </c>
      <c r="J841">
        <v>2003</v>
      </c>
      <c r="K841" t="s">
        <v>697</v>
      </c>
      <c r="L841">
        <v>168</v>
      </c>
      <c r="M841" t="s">
        <v>769</v>
      </c>
      <c r="N841" t="s">
        <v>234</v>
      </c>
      <c r="O841" t="s">
        <v>235</v>
      </c>
      <c r="P841" t="s">
        <v>236</v>
      </c>
      <c r="Q841" t="s">
        <v>237</v>
      </c>
      <c r="R841" t="s">
        <v>238</v>
      </c>
      <c r="S841" t="s">
        <v>239</v>
      </c>
      <c r="T841">
        <v>2067</v>
      </c>
      <c r="U841" t="s">
        <v>168</v>
      </c>
      <c r="V841" t="s">
        <v>169</v>
      </c>
      <c r="W841" t="s">
        <v>240</v>
      </c>
      <c r="X841" t="s">
        <v>241</v>
      </c>
      <c r="Y841" t="s">
        <v>232</v>
      </c>
    </row>
    <row r="842" spans="1:25">
      <c r="A842">
        <v>10149</v>
      </c>
      <c r="B842">
        <v>23</v>
      </c>
      <c r="C842">
        <v>100</v>
      </c>
      <c r="D842">
        <v>5</v>
      </c>
      <c r="E842">
        <v>4230.62</v>
      </c>
      <c r="F842" s="4">
        <v>37964</v>
      </c>
      <c r="G842" t="s">
        <v>93</v>
      </c>
      <c r="H842">
        <v>3</v>
      </c>
      <c r="I842">
        <v>9</v>
      </c>
      <c r="J842">
        <v>2003</v>
      </c>
      <c r="K842" t="s">
        <v>697</v>
      </c>
      <c r="L842">
        <v>168</v>
      </c>
      <c r="M842" t="s">
        <v>769</v>
      </c>
      <c r="N842" t="s">
        <v>668</v>
      </c>
      <c r="O842">
        <v>4155554312</v>
      </c>
      <c r="P842" t="s">
        <v>669</v>
      </c>
      <c r="R842" t="s">
        <v>670</v>
      </c>
      <c r="S842" t="s">
        <v>124</v>
      </c>
      <c r="T842">
        <v>94217</v>
      </c>
      <c r="U842" t="s">
        <v>100</v>
      </c>
      <c r="V842" t="s">
        <v>101</v>
      </c>
      <c r="W842" t="s">
        <v>671</v>
      </c>
      <c r="X842" t="s">
        <v>517</v>
      </c>
      <c r="Y842" t="s">
        <v>119</v>
      </c>
    </row>
    <row r="843" spans="1:25">
      <c r="A843">
        <v>10162</v>
      </c>
      <c r="B843">
        <v>48</v>
      </c>
      <c r="C843">
        <v>100</v>
      </c>
      <c r="D843">
        <v>3</v>
      </c>
      <c r="E843">
        <v>7209.12</v>
      </c>
      <c r="F843" t="s">
        <v>702</v>
      </c>
      <c r="G843" t="s">
        <v>93</v>
      </c>
      <c r="H843">
        <v>4</v>
      </c>
      <c r="I843">
        <v>10</v>
      </c>
      <c r="J843">
        <v>2003</v>
      </c>
      <c r="K843" t="s">
        <v>697</v>
      </c>
      <c r="L843">
        <v>168</v>
      </c>
      <c r="M843" t="s">
        <v>769</v>
      </c>
      <c r="N843" t="s">
        <v>127</v>
      </c>
      <c r="O843">
        <v>6505551386</v>
      </c>
      <c r="P843" t="s">
        <v>128</v>
      </c>
      <c r="R843" t="s">
        <v>129</v>
      </c>
      <c r="S843" t="s">
        <v>124</v>
      </c>
      <c r="U843" t="s">
        <v>100</v>
      </c>
      <c r="V843" t="s">
        <v>101</v>
      </c>
      <c r="W843" t="s">
        <v>130</v>
      </c>
      <c r="X843" t="s">
        <v>126</v>
      </c>
      <c r="Y843" t="s">
        <v>232</v>
      </c>
    </row>
    <row r="844" spans="1:25">
      <c r="A844">
        <v>10173</v>
      </c>
      <c r="B844">
        <v>22</v>
      </c>
      <c r="C844">
        <v>100</v>
      </c>
      <c r="D844">
        <v>7</v>
      </c>
      <c r="E844">
        <v>3452.68</v>
      </c>
      <c r="F844" s="4">
        <v>37752</v>
      </c>
      <c r="G844" t="s">
        <v>93</v>
      </c>
      <c r="H844">
        <v>4</v>
      </c>
      <c r="I844">
        <v>11</v>
      </c>
      <c r="J844">
        <v>2003</v>
      </c>
      <c r="K844" t="s">
        <v>697</v>
      </c>
      <c r="L844">
        <v>168</v>
      </c>
      <c r="M844" t="s">
        <v>769</v>
      </c>
      <c r="N844" t="s">
        <v>703</v>
      </c>
      <c r="O844" t="s">
        <v>704</v>
      </c>
      <c r="P844" t="s">
        <v>705</v>
      </c>
      <c r="R844" t="s">
        <v>706</v>
      </c>
      <c r="T844">
        <v>24100</v>
      </c>
      <c r="U844" t="s">
        <v>352</v>
      </c>
      <c r="V844" t="s">
        <v>110</v>
      </c>
      <c r="W844" t="s">
        <v>707</v>
      </c>
      <c r="X844" t="s">
        <v>708</v>
      </c>
      <c r="Y844" t="s">
        <v>119</v>
      </c>
    </row>
    <row r="845" spans="1:25">
      <c r="A845">
        <v>10182</v>
      </c>
      <c r="B845">
        <v>21</v>
      </c>
      <c r="C845">
        <v>100</v>
      </c>
      <c r="D845">
        <v>4</v>
      </c>
      <c r="E845">
        <v>3047.73</v>
      </c>
      <c r="F845" s="4">
        <v>37966</v>
      </c>
      <c r="G845" t="s">
        <v>93</v>
      </c>
      <c r="H845">
        <v>4</v>
      </c>
      <c r="I845">
        <v>11</v>
      </c>
      <c r="J845">
        <v>2003</v>
      </c>
      <c r="K845" t="s">
        <v>697</v>
      </c>
      <c r="L845">
        <v>168</v>
      </c>
      <c r="M845" t="s">
        <v>769</v>
      </c>
      <c r="N845" t="s">
        <v>367</v>
      </c>
      <c r="O845">
        <v>4155551450</v>
      </c>
      <c r="P845" t="s">
        <v>368</v>
      </c>
      <c r="R845" t="s">
        <v>369</v>
      </c>
      <c r="S845" t="s">
        <v>124</v>
      </c>
      <c r="T845">
        <v>97562</v>
      </c>
      <c r="U845" t="s">
        <v>100</v>
      </c>
      <c r="V845" t="s">
        <v>101</v>
      </c>
      <c r="W845" t="s">
        <v>370</v>
      </c>
      <c r="X845" t="s">
        <v>371</v>
      </c>
      <c r="Y845" t="s">
        <v>119</v>
      </c>
    </row>
    <row r="846" spans="1:25">
      <c r="A846">
        <v>10193</v>
      </c>
      <c r="B846">
        <v>22</v>
      </c>
      <c r="C846">
        <v>100</v>
      </c>
      <c r="D846">
        <v>8</v>
      </c>
      <c r="E846">
        <v>3675.32</v>
      </c>
      <c r="F846" t="s">
        <v>709</v>
      </c>
      <c r="G846" t="s">
        <v>93</v>
      </c>
      <c r="H846">
        <v>4</v>
      </c>
      <c r="I846">
        <v>11</v>
      </c>
      <c r="J846">
        <v>2003</v>
      </c>
      <c r="K846" t="s">
        <v>697</v>
      </c>
      <c r="L846">
        <v>168</v>
      </c>
      <c r="M846" t="s">
        <v>769</v>
      </c>
      <c r="N846" t="s">
        <v>710</v>
      </c>
      <c r="O846" t="s">
        <v>711</v>
      </c>
      <c r="P846" t="s">
        <v>712</v>
      </c>
      <c r="R846" t="s">
        <v>713</v>
      </c>
      <c r="S846" t="s">
        <v>167</v>
      </c>
      <c r="T846">
        <v>3150</v>
      </c>
      <c r="U846" t="s">
        <v>168</v>
      </c>
      <c r="V846" t="s">
        <v>169</v>
      </c>
      <c r="W846" t="s">
        <v>714</v>
      </c>
      <c r="X846" t="s">
        <v>715</v>
      </c>
      <c r="Y846" t="s">
        <v>119</v>
      </c>
    </row>
    <row r="847" spans="1:25">
      <c r="A847">
        <v>10205</v>
      </c>
      <c r="B847">
        <v>40</v>
      </c>
      <c r="C847">
        <v>100</v>
      </c>
      <c r="D847">
        <v>3</v>
      </c>
      <c r="E847">
        <v>7492.4</v>
      </c>
      <c r="F847" s="4">
        <v>37692</v>
      </c>
      <c r="G847" t="s">
        <v>93</v>
      </c>
      <c r="H847">
        <v>4</v>
      </c>
      <c r="I847">
        <v>12</v>
      </c>
      <c r="J847">
        <v>2003</v>
      </c>
      <c r="K847" t="s">
        <v>697</v>
      </c>
      <c r="L847">
        <v>168</v>
      </c>
      <c r="M847" t="s">
        <v>769</v>
      </c>
      <c r="N847" t="s">
        <v>257</v>
      </c>
      <c r="O847" t="s">
        <v>258</v>
      </c>
      <c r="P847" t="s">
        <v>259</v>
      </c>
      <c r="R847" t="s">
        <v>260</v>
      </c>
      <c r="T847">
        <v>28034</v>
      </c>
      <c r="U847" t="s">
        <v>261</v>
      </c>
      <c r="V847" t="s">
        <v>110</v>
      </c>
      <c r="W847" t="s">
        <v>262</v>
      </c>
      <c r="X847" t="s">
        <v>263</v>
      </c>
      <c r="Y847" t="s">
        <v>232</v>
      </c>
    </row>
    <row r="848" spans="1:25">
      <c r="A848">
        <v>10214</v>
      </c>
      <c r="B848">
        <v>50</v>
      </c>
      <c r="C848">
        <v>100</v>
      </c>
      <c r="D848">
        <v>1</v>
      </c>
      <c r="E848">
        <v>9534.5</v>
      </c>
      <c r="F848" t="s">
        <v>752</v>
      </c>
      <c r="G848" t="s">
        <v>93</v>
      </c>
      <c r="H848">
        <v>1</v>
      </c>
      <c r="I848">
        <v>1</v>
      </c>
      <c r="J848">
        <v>2004</v>
      </c>
      <c r="K848" t="s">
        <v>697</v>
      </c>
      <c r="L848">
        <v>168</v>
      </c>
      <c r="M848" t="s">
        <v>769</v>
      </c>
      <c r="N848" t="s">
        <v>277</v>
      </c>
      <c r="O848" t="s">
        <v>278</v>
      </c>
      <c r="P848" t="s">
        <v>279</v>
      </c>
      <c r="R848" t="s">
        <v>260</v>
      </c>
      <c r="T848">
        <v>28023</v>
      </c>
      <c r="U848" t="s">
        <v>261</v>
      </c>
      <c r="V848" t="s">
        <v>110</v>
      </c>
      <c r="W848" t="s">
        <v>280</v>
      </c>
      <c r="X848" t="s">
        <v>281</v>
      </c>
      <c r="Y848" t="s">
        <v>232</v>
      </c>
    </row>
    <row r="849" spans="1:25">
      <c r="A849">
        <v>10227</v>
      </c>
      <c r="B849">
        <v>29</v>
      </c>
      <c r="C849">
        <v>100</v>
      </c>
      <c r="D849">
        <v>4</v>
      </c>
      <c r="E849">
        <v>5579.02</v>
      </c>
      <c r="F849" s="4">
        <v>38020</v>
      </c>
      <c r="G849" t="s">
        <v>93</v>
      </c>
      <c r="H849">
        <v>1</v>
      </c>
      <c r="I849">
        <v>3</v>
      </c>
      <c r="J849">
        <v>2004</v>
      </c>
      <c r="K849" t="s">
        <v>697</v>
      </c>
      <c r="L849">
        <v>168</v>
      </c>
      <c r="M849" t="s">
        <v>769</v>
      </c>
      <c r="N849" t="s">
        <v>310</v>
      </c>
      <c r="O849" t="s">
        <v>311</v>
      </c>
      <c r="P849" t="s">
        <v>312</v>
      </c>
      <c r="R849" t="s">
        <v>313</v>
      </c>
      <c r="T849">
        <v>69004</v>
      </c>
      <c r="U849" t="s">
        <v>109</v>
      </c>
      <c r="V849" t="s">
        <v>110</v>
      </c>
      <c r="W849" t="s">
        <v>314</v>
      </c>
      <c r="X849" t="s">
        <v>315</v>
      </c>
      <c r="Y849" t="s">
        <v>119</v>
      </c>
    </row>
    <row r="850" spans="1:25">
      <c r="A850">
        <v>10244</v>
      </c>
      <c r="B850">
        <v>43</v>
      </c>
      <c r="C850">
        <v>100</v>
      </c>
      <c r="D850">
        <v>8</v>
      </c>
      <c r="E850">
        <v>5950.34</v>
      </c>
      <c r="F850" t="s">
        <v>716</v>
      </c>
      <c r="G850" t="s">
        <v>93</v>
      </c>
      <c r="H850">
        <v>2</v>
      </c>
      <c r="I850">
        <v>4</v>
      </c>
      <c r="J850">
        <v>2004</v>
      </c>
      <c r="K850" t="s">
        <v>697</v>
      </c>
      <c r="L850">
        <v>168</v>
      </c>
      <c r="M850" t="s">
        <v>769</v>
      </c>
      <c r="N850" t="s">
        <v>257</v>
      </c>
      <c r="O850" t="s">
        <v>258</v>
      </c>
      <c r="P850" t="s">
        <v>259</v>
      </c>
      <c r="R850" t="s">
        <v>260</v>
      </c>
      <c r="T850">
        <v>28034</v>
      </c>
      <c r="U850" t="s">
        <v>261</v>
      </c>
      <c r="V850" t="s">
        <v>110</v>
      </c>
      <c r="W850" t="s">
        <v>262</v>
      </c>
      <c r="X850" t="s">
        <v>263</v>
      </c>
      <c r="Y850" t="s">
        <v>119</v>
      </c>
    </row>
    <row r="851" spans="1:25">
      <c r="A851">
        <v>10255</v>
      </c>
      <c r="B851">
        <v>24</v>
      </c>
      <c r="C851">
        <v>100</v>
      </c>
      <c r="D851">
        <v>1</v>
      </c>
      <c r="E851">
        <v>3726</v>
      </c>
      <c r="F851" s="4">
        <v>38083</v>
      </c>
      <c r="G851" t="s">
        <v>93</v>
      </c>
      <c r="H851">
        <v>2</v>
      </c>
      <c r="I851">
        <v>6</v>
      </c>
      <c r="J851">
        <v>2004</v>
      </c>
      <c r="K851" t="s">
        <v>697</v>
      </c>
      <c r="L851">
        <v>168</v>
      </c>
      <c r="M851" t="s">
        <v>769</v>
      </c>
      <c r="N851" t="s">
        <v>674</v>
      </c>
      <c r="O851" t="s">
        <v>675</v>
      </c>
      <c r="P851" t="s">
        <v>676</v>
      </c>
      <c r="R851" t="s">
        <v>677</v>
      </c>
      <c r="T851">
        <v>67000</v>
      </c>
      <c r="U851" t="s">
        <v>109</v>
      </c>
      <c r="V851" t="s">
        <v>110</v>
      </c>
      <c r="W851" t="s">
        <v>678</v>
      </c>
      <c r="X851" t="s">
        <v>679</v>
      </c>
      <c r="Y851" t="s">
        <v>119</v>
      </c>
    </row>
    <row r="852" spans="1:25">
      <c r="A852">
        <v>10280</v>
      </c>
      <c r="B852">
        <v>22</v>
      </c>
      <c r="C852">
        <v>100</v>
      </c>
      <c r="D852">
        <v>10</v>
      </c>
      <c r="E852">
        <v>4455</v>
      </c>
      <c r="F852" t="s">
        <v>347</v>
      </c>
      <c r="G852" t="s">
        <v>93</v>
      </c>
      <c r="H852">
        <v>3</v>
      </c>
      <c r="I852">
        <v>8</v>
      </c>
      <c r="J852">
        <v>2004</v>
      </c>
      <c r="K852" t="s">
        <v>697</v>
      </c>
      <c r="L852">
        <v>168</v>
      </c>
      <c r="M852" t="s">
        <v>769</v>
      </c>
      <c r="N852" t="s">
        <v>348</v>
      </c>
      <c r="O852" t="s">
        <v>349</v>
      </c>
      <c r="P852" t="s">
        <v>350</v>
      </c>
      <c r="R852" t="s">
        <v>351</v>
      </c>
      <c r="T852">
        <v>10100</v>
      </c>
      <c r="U852" t="s">
        <v>352</v>
      </c>
      <c r="V852" t="s">
        <v>110</v>
      </c>
      <c r="W852" t="s">
        <v>353</v>
      </c>
      <c r="X852" t="s">
        <v>354</v>
      </c>
      <c r="Y852" t="s">
        <v>119</v>
      </c>
    </row>
    <row r="853" spans="1:25">
      <c r="A853">
        <v>10289</v>
      </c>
      <c r="B853">
        <v>43</v>
      </c>
      <c r="C853">
        <v>100</v>
      </c>
      <c r="D853">
        <v>3</v>
      </c>
      <c r="E853">
        <v>8272.34</v>
      </c>
      <c r="F853" s="4">
        <v>38055</v>
      </c>
      <c r="G853" t="s">
        <v>93</v>
      </c>
      <c r="H853">
        <v>3</v>
      </c>
      <c r="I853">
        <v>9</v>
      </c>
      <c r="J853">
        <v>2004</v>
      </c>
      <c r="K853" t="s">
        <v>697</v>
      </c>
      <c r="L853">
        <v>168</v>
      </c>
      <c r="M853" t="s">
        <v>769</v>
      </c>
      <c r="N853" t="s">
        <v>144</v>
      </c>
      <c r="O853" t="s">
        <v>145</v>
      </c>
      <c r="P853" t="s">
        <v>146</v>
      </c>
      <c r="R853" t="s">
        <v>147</v>
      </c>
      <c r="T853" t="s">
        <v>148</v>
      </c>
      <c r="U853" t="s">
        <v>149</v>
      </c>
      <c r="V853" t="s">
        <v>110</v>
      </c>
      <c r="W853" t="s">
        <v>150</v>
      </c>
      <c r="X853" t="s">
        <v>151</v>
      </c>
      <c r="Y853" t="s">
        <v>232</v>
      </c>
    </row>
    <row r="854" spans="1:25">
      <c r="A854">
        <v>10304</v>
      </c>
      <c r="B854">
        <v>20</v>
      </c>
      <c r="C854">
        <v>100</v>
      </c>
      <c r="D854">
        <v>14</v>
      </c>
      <c r="E854">
        <v>3577.6</v>
      </c>
      <c r="F854" s="4">
        <v>38301</v>
      </c>
      <c r="G854" t="s">
        <v>93</v>
      </c>
      <c r="H854">
        <v>4</v>
      </c>
      <c r="I854">
        <v>10</v>
      </c>
      <c r="J854">
        <v>2004</v>
      </c>
      <c r="K854" t="s">
        <v>697</v>
      </c>
      <c r="L854">
        <v>168</v>
      </c>
      <c r="M854" t="s">
        <v>769</v>
      </c>
      <c r="N854" t="s">
        <v>361</v>
      </c>
      <c r="O854" t="s">
        <v>362</v>
      </c>
      <c r="P854" t="s">
        <v>363</v>
      </c>
      <c r="R854" t="s">
        <v>364</v>
      </c>
      <c r="T854">
        <v>78000</v>
      </c>
      <c r="U854" t="s">
        <v>109</v>
      </c>
      <c r="V854" t="s">
        <v>110</v>
      </c>
      <c r="W854" t="s">
        <v>365</v>
      </c>
      <c r="X854" t="s">
        <v>118</v>
      </c>
      <c r="Y854" t="s">
        <v>119</v>
      </c>
    </row>
    <row r="855" spans="1:25">
      <c r="A855">
        <v>10312</v>
      </c>
      <c r="B855">
        <v>25</v>
      </c>
      <c r="C855">
        <v>100</v>
      </c>
      <c r="D855">
        <v>11</v>
      </c>
      <c r="E855">
        <v>3881.25</v>
      </c>
      <c r="F855" t="s">
        <v>366</v>
      </c>
      <c r="G855" t="s">
        <v>93</v>
      </c>
      <c r="H855">
        <v>4</v>
      </c>
      <c r="I855">
        <v>10</v>
      </c>
      <c r="J855">
        <v>2004</v>
      </c>
      <c r="K855" t="s">
        <v>697</v>
      </c>
      <c r="L855">
        <v>168</v>
      </c>
      <c r="M855" t="s">
        <v>769</v>
      </c>
      <c r="N855" t="s">
        <v>367</v>
      </c>
      <c r="O855">
        <v>4155551450</v>
      </c>
      <c r="P855" t="s">
        <v>368</v>
      </c>
      <c r="R855" t="s">
        <v>369</v>
      </c>
      <c r="S855" t="s">
        <v>124</v>
      </c>
      <c r="T855">
        <v>97562</v>
      </c>
      <c r="U855" t="s">
        <v>100</v>
      </c>
      <c r="V855" t="s">
        <v>101</v>
      </c>
      <c r="W855" t="s">
        <v>370</v>
      </c>
      <c r="X855" t="s">
        <v>371</v>
      </c>
      <c r="Y855" t="s">
        <v>119</v>
      </c>
    </row>
    <row r="856" spans="1:25">
      <c r="A856">
        <v>10322</v>
      </c>
      <c r="B856">
        <v>36</v>
      </c>
      <c r="C856">
        <v>100</v>
      </c>
      <c r="D856">
        <v>2</v>
      </c>
      <c r="E856">
        <v>5797.44</v>
      </c>
      <c r="F856" s="4">
        <v>38088</v>
      </c>
      <c r="G856" t="s">
        <v>93</v>
      </c>
      <c r="H856">
        <v>4</v>
      </c>
      <c r="I856">
        <v>11</v>
      </c>
      <c r="J856">
        <v>2004</v>
      </c>
      <c r="K856" t="s">
        <v>697</v>
      </c>
      <c r="L856">
        <v>168</v>
      </c>
      <c r="M856" t="s">
        <v>769</v>
      </c>
      <c r="N856" t="s">
        <v>372</v>
      </c>
      <c r="O856">
        <v>6035558647</v>
      </c>
      <c r="P856" t="s">
        <v>373</v>
      </c>
      <c r="R856" t="s">
        <v>374</v>
      </c>
      <c r="S856" t="s">
        <v>375</v>
      </c>
      <c r="T856">
        <v>62005</v>
      </c>
      <c r="U856" t="s">
        <v>100</v>
      </c>
      <c r="V856" t="s">
        <v>101</v>
      </c>
      <c r="W856" t="s">
        <v>125</v>
      </c>
      <c r="X856" t="s">
        <v>371</v>
      </c>
      <c r="Y856" t="s">
        <v>119</v>
      </c>
    </row>
    <row r="857" spans="1:25">
      <c r="A857">
        <v>10332</v>
      </c>
      <c r="B857">
        <v>24</v>
      </c>
      <c r="C857">
        <v>52.67</v>
      </c>
      <c r="D857">
        <v>1</v>
      </c>
      <c r="E857">
        <v>1264.08</v>
      </c>
      <c r="F857" t="s">
        <v>695</v>
      </c>
      <c r="G857" t="s">
        <v>93</v>
      </c>
      <c r="H857">
        <v>4</v>
      </c>
      <c r="I857">
        <v>11</v>
      </c>
      <c r="J857">
        <v>2004</v>
      </c>
      <c r="K857" t="s">
        <v>697</v>
      </c>
      <c r="L857">
        <v>168</v>
      </c>
      <c r="M857" t="s">
        <v>769</v>
      </c>
      <c r="N857" t="s">
        <v>624</v>
      </c>
      <c r="O857" t="s">
        <v>625</v>
      </c>
      <c r="P857" t="s">
        <v>626</v>
      </c>
      <c r="R857" t="s">
        <v>627</v>
      </c>
      <c r="T857" t="s">
        <v>628</v>
      </c>
      <c r="U857" t="s">
        <v>252</v>
      </c>
      <c r="V857" t="s">
        <v>110</v>
      </c>
      <c r="W857" t="s">
        <v>629</v>
      </c>
      <c r="X857" t="s">
        <v>167</v>
      </c>
      <c r="Y857" t="s">
        <v>104</v>
      </c>
    </row>
    <row r="858" spans="1:25">
      <c r="A858">
        <v>10347</v>
      </c>
      <c r="B858">
        <v>21</v>
      </c>
      <c r="C858">
        <v>100</v>
      </c>
      <c r="D858">
        <v>6</v>
      </c>
      <c r="E858">
        <v>4815.3</v>
      </c>
      <c r="F858" t="s">
        <v>377</v>
      </c>
      <c r="G858" t="s">
        <v>93</v>
      </c>
      <c r="H858">
        <v>4</v>
      </c>
      <c r="I858">
        <v>11</v>
      </c>
      <c r="J858">
        <v>2004</v>
      </c>
      <c r="K858" t="s">
        <v>697</v>
      </c>
      <c r="L858">
        <v>168</v>
      </c>
      <c r="M858" t="s">
        <v>769</v>
      </c>
      <c r="N858" t="s">
        <v>162</v>
      </c>
      <c r="O858" t="s">
        <v>163</v>
      </c>
      <c r="P858" t="s">
        <v>164</v>
      </c>
      <c r="Q858" t="s">
        <v>165</v>
      </c>
      <c r="R858" t="s">
        <v>166</v>
      </c>
      <c r="S858" t="s">
        <v>167</v>
      </c>
      <c r="T858">
        <v>3004</v>
      </c>
      <c r="U858" t="s">
        <v>168</v>
      </c>
      <c r="V858" t="s">
        <v>169</v>
      </c>
      <c r="W858" t="s">
        <v>170</v>
      </c>
      <c r="X858" t="s">
        <v>171</v>
      </c>
      <c r="Y858" t="s">
        <v>119</v>
      </c>
    </row>
    <row r="859" spans="1:25">
      <c r="A859">
        <v>10356</v>
      </c>
      <c r="B859">
        <v>30</v>
      </c>
      <c r="C859">
        <v>100</v>
      </c>
      <c r="D859">
        <v>1</v>
      </c>
      <c r="E859">
        <v>4462.2</v>
      </c>
      <c r="F859" s="4">
        <v>38242</v>
      </c>
      <c r="G859" t="s">
        <v>93</v>
      </c>
      <c r="H859">
        <v>4</v>
      </c>
      <c r="I859">
        <v>12</v>
      </c>
      <c r="J859">
        <v>2004</v>
      </c>
      <c r="K859" t="s">
        <v>697</v>
      </c>
      <c r="L859">
        <v>168</v>
      </c>
      <c r="M859" t="s">
        <v>769</v>
      </c>
      <c r="N859" t="s">
        <v>113</v>
      </c>
      <c r="O859" t="s">
        <v>114</v>
      </c>
      <c r="P859" t="s">
        <v>115</v>
      </c>
      <c r="R859" t="s">
        <v>116</v>
      </c>
      <c r="T859">
        <v>75508</v>
      </c>
      <c r="U859" t="s">
        <v>109</v>
      </c>
      <c r="V859" t="s">
        <v>110</v>
      </c>
      <c r="W859" t="s">
        <v>117</v>
      </c>
      <c r="X859" t="s">
        <v>118</v>
      </c>
      <c r="Y859" t="s">
        <v>119</v>
      </c>
    </row>
    <row r="860" spans="1:25">
      <c r="A860">
        <v>10367</v>
      </c>
      <c r="B860">
        <v>32</v>
      </c>
      <c r="C860">
        <v>94.79</v>
      </c>
      <c r="D860">
        <v>7</v>
      </c>
      <c r="E860">
        <v>3033.28</v>
      </c>
      <c r="F860" s="4">
        <v>38687</v>
      </c>
      <c r="G860" t="s">
        <v>526</v>
      </c>
      <c r="H860">
        <v>1</v>
      </c>
      <c r="I860">
        <v>1</v>
      </c>
      <c r="J860">
        <v>2005</v>
      </c>
      <c r="K860" t="s">
        <v>697</v>
      </c>
      <c r="L860">
        <v>168</v>
      </c>
      <c r="M860" t="s">
        <v>769</v>
      </c>
      <c r="N860" t="s">
        <v>121</v>
      </c>
      <c r="O860">
        <v>6265557265</v>
      </c>
      <c r="P860" t="s">
        <v>122</v>
      </c>
      <c r="R860" t="s">
        <v>123</v>
      </c>
      <c r="S860" t="s">
        <v>124</v>
      </c>
      <c r="T860">
        <v>90003</v>
      </c>
      <c r="U860" t="s">
        <v>100</v>
      </c>
      <c r="V860" t="s">
        <v>101</v>
      </c>
      <c r="W860" t="s">
        <v>125</v>
      </c>
      <c r="X860" t="s">
        <v>126</v>
      </c>
      <c r="Y860" t="s">
        <v>119</v>
      </c>
    </row>
    <row r="861" spans="1:25">
      <c r="A861">
        <v>10380</v>
      </c>
      <c r="B861">
        <v>21</v>
      </c>
      <c r="C861">
        <v>47.18</v>
      </c>
      <c r="D861">
        <v>8</v>
      </c>
      <c r="E861">
        <v>990.78</v>
      </c>
      <c r="F861" t="s">
        <v>717</v>
      </c>
      <c r="G861" t="s">
        <v>93</v>
      </c>
      <c r="H861">
        <v>1</v>
      </c>
      <c r="I861">
        <v>2</v>
      </c>
      <c r="J861">
        <v>2005</v>
      </c>
      <c r="K861" t="s">
        <v>697</v>
      </c>
      <c r="L861">
        <v>168</v>
      </c>
      <c r="M861" t="s">
        <v>769</v>
      </c>
      <c r="N861" t="s">
        <v>257</v>
      </c>
      <c r="O861" t="s">
        <v>258</v>
      </c>
      <c r="P861" t="s">
        <v>259</v>
      </c>
      <c r="R861" t="s">
        <v>260</v>
      </c>
      <c r="T861">
        <v>28034</v>
      </c>
      <c r="U861" t="s">
        <v>261</v>
      </c>
      <c r="V861" t="s">
        <v>110</v>
      </c>
      <c r="W861" t="s">
        <v>262</v>
      </c>
      <c r="X861" t="s">
        <v>263</v>
      </c>
      <c r="Y861" t="s">
        <v>104</v>
      </c>
    </row>
    <row r="862" spans="1:25">
      <c r="A862">
        <v>10390</v>
      </c>
      <c r="B862">
        <v>26</v>
      </c>
      <c r="C862">
        <v>78.11</v>
      </c>
      <c r="D862">
        <v>7</v>
      </c>
      <c r="E862">
        <v>2030.86</v>
      </c>
      <c r="F862" s="4">
        <v>38445</v>
      </c>
      <c r="G862" t="s">
        <v>93</v>
      </c>
      <c r="H862">
        <v>1</v>
      </c>
      <c r="I862">
        <v>3</v>
      </c>
      <c r="J862">
        <v>2005</v>
      </c>
      <c r="K862" t="s">
        <v>697</v>
      </c>
      <c r="L862">
        <v>168</v>
      </c>
      <c r="M862" t="s">
        <v>769</v>
      </c>
      <c r="N862" t="s">
        <v>367</v>
      </c>
      <c r="O862">
        <v>4155551450</v>
      </c>
      <c r="P862" t="s">
        <v>368</v>
      </c>
      <c r="R862" t="s">
        <v>369</v>
      </c>
      <c r="S862" t="s">
        <v>124</v>
      </c>
      <c r="T862">
        <v>97562</v>
      </c>
      <c r="U862" t="s">
        <v>100</v>
      </c>
      <c r="V862" t="s">
        <v>101</v>
      </c>
      <c r="W862" t="s">
        <v>370</v>
      </c>
      <c r="X862" t="s">
        <v>371</v>
      </c>
      <c r="Y862" t="s">
        <v>104</v>
      </c>
    </row>
    <row r="863" spans="1:25">
      <c r="A863">
        <v>10421</v>
      </c>
      <c r="B863">
        <v>35</v>
      </c>
      <c r="C863">
        <v>100</v>
      </c>
      <c r="D863">
        <v>1</v>
      </c>
      <c r="E863">
        <v>5433.75</v>
      </c>
      <c r="F863" t="s">
        <v>754</v>
      </c>
      <c r="G863" t="s">
        <v>400</v>
      </c>
      <c r="H863">
        <v>2</v>
      </c>
      <c r="I863">
        <v>5</v>
      </c>
      <c r="J863">
        <v>2005</v>
      </c>
      <c r="K863" t="s">
        <v>697</v>
      </c>
      <c r="L863">
        <v>168</v>
      </c>
      <c r="M863" t="s">
        <v>769</v>
      </c>
      <c r="N863" t="s">
        <v>367</v>
      </c>
      <c r="O863">
        <v>4155551450</v>
      </c>
      <c r="P863" t="s">
        <v>368</v>
      </c>
      <c r="R863" t="s">
        <v>369</v>
      </c>
      <c r="S863" t="s">
        <v>124</v>
      </c>
      <c r="T863">
        <v>97562</v>
      </c>
      <c r="U863" t="s">
        <v>100</v>
      </c>
      <c r="V863" t="s">
        <v>101</v>
      </c>
      <c r="W863" t="s">
        <v>370</v>
      </c>
      <c r="X863" t="s">
        <v>371</v>
      </c>
      <c r="Y863" t="s">
        <v>119</v>
      </c>
    </row>
    <row r="864" spans="1:25">
      <c r="A864">
        <v>10109</v>
      </c>
      <c r="B864">
        <v>26</v>
      </c>
      <c r="C864">
        <v>100</v>
      </c>
      <c r="D864">
        <v>1</v>
      </c>
      <c r="E864">
        <v>3157.44</v>
      </c>
      <c r="F864" s="4">
        <v>37897</v>
      </c>
      <c r="G864" t="s">
        <v>93</v>
      </c>
      <c r="H864">
        <v>1</v>
      </c>
      <c r="I864">
        <v>3</v>
      </c>
      <c r="J864">
        <v>2003</v>
      </c>
      <c r="K864" t="s">
        <v>265</v>
      </c>
      <c r="L864">
        <v>132</v>
      </c>
      <c r="M864" t="s">
        <v>770</v>
      </c>
      <c r="N864" t="s">
        <v>410</v>
      </c>
      <c r="O864">
        <v>2155559857</v>
      </c>
      <c r="P864" t="s">
        <v>411</v>
      </c>
      <c r="R864" t="s">
        <v>306</v>
      </c>
      <c r="S864" t="s">
        <v>221</v>
      </c>
      <c r="T864">
        <v>71270</v>
      </c>
      <c r="U864" t="s">
        <v>100</v>
      </c>
      <c r="V864" t="s">
        <v>101</v>
      </c>
      <c r="W864" t="s">
        <v>201</v>
      </c>
      <c r="X864" t="s">
        <v>412</v>
      </c>
      <c r="Y864" t="s">
        <v>119</v>
      </c>
    </row>
    <row r="865" spans="1:25">
      <c r="A865">
        <v>10123</v>
      </c>
      <c r="B865">
        <v>46</v>
      </c>
      <c r="C865">
        <v>100</v>
      </c>
      <c r="D865">
        <v>3</v>
      </c>
      <c r="E865">
        <v>5161.2</v>
      </c>
      <c r="F865" t="s">
        <v>722</v>
      </c>
      <c r="G865" t="s">
        <v>93</v>
      </c>
      <c r="H865">
        <v>2</v>
      </c>
      <c r="I865">
        <v>5</v>
      </c>
      <c r="J865">
        <v>2003</v>
      </c>
      <c r="K865" t="s">
        <v>265</v>
      </c>
      <c r="L865">
        <v>132</v>
      </c>
      <c r="M865" t="s">
        <v>770</v>
      </c>
      <c r="N865" t="s">
        <v>414</v>
      </c>
      <c r="O865" t="s">
        <v>415</v>
      </c>
      <c r="P865" t="s">
        <v>416</v>
      </c>
      <c r="R865" t="s">
        <v>193</v>
      </c>
      <c r="T865">
        <v>44000</v>
      </c>
      <c r="U865" t="s">
        <v>109</v>
      </c>
      <c r="V865" t="s">
        <v>110</v>
      </c>
      <c r="W865" t="s">
        <v>417</v>
      </c>
      <c r="X865" t="s">
        <v>418</v>
      </c>
      <c r="Y865" t="s">
        <v>119</v>
      </c>
    </row>
    <row r="866" spans="1:25">
      <c r="A866">
        <v>10137</v>
      </c>
      <c r="B866">
        <v>37</v>
      </c>
      <c r="C866">
        <v>100</v>
      </c>
      <c r="D866">
        <v>3</v>
      </c>
      <c r="E866">
        <v>4346.76</v>
      </c>
      <c r="F866" s="4">
        <v>37901</v>
      </c>
      <c r="G866" t="s">
        <v>93</v>
      </c>
      <c r="H866">
        <v>3</v>
      </c>
      <c r="I866">
        <v>7</v>
      </c>
      <c r="J866">
        <v>2003</v>
      </c>
      <c r="K866" t="s">
        <v>265</v>
      </c>
      <c r="L866">
        <v>132</v>
      </c>
      <c r="M866" t="s">
        <v>770</v>
      </c>
      <c r="N866" t="s">
        <v>105</v>
      </c>
      <c r="O866" t="s">
        <v>106</v>
      </c>
      <c r="P866" t="s">
        <v>107</v>
      </c>
      <c r="R866" t="s">
        <v>108</v>
      </c>
      <c r="T866">
        <v>51100</v>
      </c>
      <c r="U866" t="s">
        <v>109</v>
      </c>
      <c r="V866" t="s">
        <v>110</v>
      </c>
      <c r="W866" t="s">
        <v>111</v>
      </c>
      <c r="X866" t="s">
        <v>112</v>
      </c>
      <c r="Y866" t="s">
        <v>119</v>
      </c>
    </row>
    <row r="867" spans="1:25">
      <c r="A867">
        <v>10148</v>
      </c>
      <c r="B867">
        <v>27</v>
      </c>
      <c r="C867">
        <v>100</v>
      </c>
      <c r="D867">
        <v>10</v>
      </c>
      <c r="E867">
        <v>3528.36</v>
      </c>
      <c r="F867" s="4">
        <v>37934</v>
      </c>
      <c r="G867" t="s">
        <v>93</v>
      </c>
      <c r="H867">
        <v>3</v>
      </c>
      <c r="I867">
        <v>9</v>
      </c>
      <c r="J867">
        <v>2003</v>
      </c>
      <c r="K867" t="s">
        <v>265</v>
      </c>
      <c r="L867">
        <v>132</v>
      </c>
      <c r="M867" t="s">
        <v>770</v>
      </c>
      <c r="N867" t="s">
        <v>384</v>
      </c>
      <c r="O867" t="s">
        <v>385</v>
      </c>
      <c r="P867" t="s">
        <v>386</v>
      </c>
      <c r="Q867" t="s">
        <v>387</v>
      </c>
      <c r="R867" t="s">
        <v>388</v>
      </c>
      <c r="S867" t="s">
        <v>239</v>
      </c>
      <c r="T867">
        <v>2060</v>
      </c>
      <c r="U867" t="s">
        <v>168</v>
      </c>
      <c r="V867" t="s">
        <v>169</v>
      </c>
      <c r="W867" t="s">
        <v>389</v>
      </c>
      <c r="X867" t="s">
        <v>390</v>
      </c>
      <c r="Y867" t="s">
        <v>119</v>
      </c>
    </row>
    <row r="868" spans="1:25">
      <c r="A868">
        <v>10161</v>
      </c>
      <c r="B868">
        <v>23</v>
      </c>
      <c r="C868">
        <v>100</v>
      </c>
      <c r="D868">
        <v>9</v>
      </c>
      <c r="E868">
        <v>3187.8</v>
      </c>
      <c r="F868" t="s">
        <v>682</v>
      </c>
      <c r="G868" t="s">
        <v>93</v>
      </c>
      <c r="H868">
        <v>4</v>
      </c>
      <c r="I868">
        <v>10</v>
      </c>
      <c r="J868">
        <v>2003</v>
      </c>
      <c r="K868" t="s">
        <v>265</v>
      </c>
      <c r="L868">
        <v>132</v>
      </c>
      <c r="M868" t="s">
        <v>770</v>
      </c>
      <c r="N868" t="s">
        <v>630</v>
      </c>
      <c r="O868" t="s">
        <v>631</v>
      </c>
      <c r="P868" t="s">
        <v>632</v>
      </c>
      <c r="R868" t="s">
        <v>633</v>
      </c>
      <c r="T868">
        <v>8200</v>
      </c>
      <c r="U868" t="s">
        <v>429</v>
      </c>
      <c r="V868" t="s">
        <v>110</v>
      </c>
      <c r="W868" t="s">
        <v>634</v>
      </c>
      <c r="X868" t="s">
        <v>635</v>
      </c>
      <c r="Y868" t="s">
        <v>119</v>
      </c>
    </row>
    <row r="869" spans="1:25">
      <c r="A869">
        <v>10172</v>
      </c>
      <c r="B869">
        <v>39</v>
      </c>
      <c r="C869">
        <v>100</v>
      </c>
      <c r="D869">
        <v>7</v>
      </c>
      <c r="E869">
        <v>6023.16</v>
      </c>
      <c r="F869" s="4">
        <v>37752</v>
      </c>
      <c r="G869" t="s">
        <v>93</v>
      </c>
      <c r="H869">
        <v>4</v>
      </c>
      <c r="I869">
        <v>11</v>
      </c>
      <c r="J869">
        <v>2003</v>
      </c>
      <c r="K869" t="s">
        <v>265</v>
      </c>
      <c r="L869">
        <v>132</v>
      </c>
      <c r="M869" t="s">
        <v>770</v>
      </c>
      <c r="N869" t="s">
        <v>184</v>
      </c>
      <c r="O869">
        <v>2035552570</v>
      </c>
      <c r="P869" t="s">
        <v>185</v>
      </c>
      <c r="R869" t="s">
        <v>186</v>
      </c>
      <c r="S869" t="s">
        <v>187</v>
      </c>
      <c r="T869">
        <v>97562</v>
      </c>
      <c r="U869" t="s">
        <v>100</v>
      </c>
      <c r="V869" t="s">
        <v>101</v>
      </c>
      <c r="W869" t="s">
        <v>188</v>
      </c>
      <c r="X869" t="s">
        <v>126</v>
      </c>
      <c r="Y869" t="s">
        <v>119</v>
      </c>
    </row>
    <row r="870" spans="1:25">
      <c r="A870">
        <v>10181</v>
      </c>
      <c r="B870">
        <v>27</v>
      </c>
      <c r="C870">
        <v>100</v>
      </c>
      <c r="D870">
        <v>3</v>
      </c>
      <c r="E870">
        <v>3884.76</v>
      </c>
      <c r="F870" s="4">
        <v>37966</v>
      </c>
      <c r="G870" t="s">
        <v>93</v>
      </c>
      <c r="H870">
        <v>4</v>
      </c>
      <c r="I870">
        <v>11</v>
      </c>
      <c r="J870">
        <v>2003</v>
      </c>
      <c r="K870" t="s">
        <v>265</v>
      </c>
      <c r="L870">
        <v>132</v>
      </c>
      <c r="M870" t="s">
        <v>770</v>
      </c>
      <c r="N870" t="s">
        <v>144</v>
      </c>
      <c r="O870" t="s">
        <v>145</v>
      </c>
      <c r="P870" t="s">
        <v>146</v>
      </c>
      <c r="R870" t="s">
        <v>147</v>
      </c>
      <c r="T870" t="s">
        <v>148</v>
      </c>
      <c r="U870" t="s">
        <v>149</v>
      </c>
      <c r="V870" t="s">
        <v>110</v>
      </c>
      <c r="W870" t="s">
        <v>150</v>
      </c>
      <c r="X870" t="s">
        <v>151</v>
      </c>
      <c r="Y870" t="s">
        <v>119</v>
      </c>
    </row>
    <row r="871" spans="1:25">
      <c r="A871">
        <v>10192</v>
      </c>
      <c r="B871">
        <v>38</v>
      </c>
      <c r="C871">
        <v>100</v>
      </c>
      <c r="D871">
        <v>8</v>
      </c>
      <c r="E871">
        <v>4965.84</v>
      </c>
      <c r="F871" t="s">
        <v>561</v>
      </c>
      <c r="G871" t="s">
        <v>93</v>
      </c>
      <c r="H871">
        <v>4</v>
      </c>
      <c r="I871">
        <v>11</v>
      </c>
      <c r="J871">
        <v>2003</v>
      </c>
      <c r="K871" t="s">
        <v>265</v>
      </c>
      <c r="L871">
        <v>132</v>
      </c>
      <c r="M871" t="s">
        <v>770</v>
      </c>
      <c r="N871" t="s">
        <v>372</v>
      </c>
      <c r="O871">
        <v>6035558647</v>
      </c>
      <c r="P871" t="s">
        <v>373</v>
      </c>
      <c r="R871" t="s">
        <v>374</v>
      </c>
      <c r="S871" t="s">
        <v>375</v>
      </c>
      <c r="T871">
        <v>62005</v>
      </c>
      <c r="U871" t="s">
        <v>100</v>
      </c>
      <c r="V871" t="s">
        <v>101</v>
      </c>
      <c r="W871" t="s">
        <v>125</v>
      </c>
      <c r="X871" t="s">
        <v>371</v>
      </c>
      <c r="Y871" t="s">
        <v>119</v>
      </c>
    </row>
    <row r="872" spans="1:25">
      <c r="A872">
        <v>10204</v>
      </c>
      <c r="B872">
        <v>27</v>
      </c>
      <c r="C872">
        <v>100</v>
      </c>
      <c r="D872">
        <v>14</v>
      </c>
      <c r="E872">
        <v>4169.88</v>
      </c>
      <c r="F872" s="4">
        <v>37664</v>
      </c>
      <c r="G872" t="s">
        <v>93</v>
      </c>
      <c r="H872">
        <v>4</v>
      </c>
      <c r="I872">
        <v>12</v>
      </c>
      <c r="J872">
        <v>2003</v>
      </c>
      <c r="K872" t="s">
        <v>265</v>
      </c>
      <c r="L872">
        <v>132</v>
      </c>
      <c r="M872" t="s">
        <v>770</v>
      </c>
      <c r="N872" t="s">
        <v>603</v>
      </c>
      <c r="O872">
        <v>2125557413</v>
      </c>
      <c r="P872" t="s">
        <v>604</v>
      </c>
      <c r="Q872" t="s">
        <v>605</v>
      </c>
      <c r="R872" t="s">
        <v>98</v>
      </c>
      <c r="S872" t="s">
        <v>99</v>
      </c>
      <c r="T872">
        <v>10022</v>
      </c>
      <c r="U872" t="s">
        <v>100</v>
      </c>
      <c r="V872" t="s">
        <v>101</v>
      </c>
      <c r="W872" t="s">
        <v>125</v>
      </c>
      <c r="X872" t="s">
        <v>606</v>
      </c>
      <c r="Y872" t="s">
        <v>119</v>
      </c>
    </row>
    <row r="873" spans="1:25">
      <c r="A873">
        <v>10212</v>
      </c>
      <c r="B873">
        <v>40</v>
      </c>
      <c r="C873">
        <v>100</v>
      </c>
      <c r="D873">
        <v>7</v>
      </c>
      <c r="E873">
        <v>4910.3999999999996</v>
      </c>
      <c r="F873" t="s">
        <v>653</v>
      </c>
      <c r="G873" t="s">
        <v>93</v>
      </c>
      <c r="H873">
        <v>1</v>
      </c>
      <c r="I873">
        <v>1</v>
      </c>
      <c r="J873">
        <v>2004</v>
      </c>
      <c r="K873" t="s">
        <v>265</v>
      </c>
      <c r="L873">
        <v>132</v>
      </c>
      <c r="M873" t="s">
        <v>770</v>
      </c>
      <c r="N873" t="s">
        <v>257</v>
      </c>
      <c r="O873" t="s">
        <v>258</v>
      </c>
      <c r="P873" t="s">
        <v>259</v>
      </c>
      <c r="R873" t="s">
        <v>260</v>
      </c>
      <c r="T873">
        <v>28034</v>
      </c>
      <c r="U873" t="s">
        <v>261</v>
      </c>
      <c r="V873" t="s">
        <v>110</v>
      </c>
      <c r="W873" t="s">
        <v>262</v>
      </c>
      <c r="X873" t="s">
        <v>263</v>
      </c>
      <c r="Y873" t="s">
        <v>119</v>
      </c>
    </row>
    <row r="874" spans="1:25">
      <c r="A874">
        <v>10226</v>
      </c>
      <c r="B874">
        <v>24</v>
      </c>
      <c r="C874">
        <v>100</v>
      </c>
      <c r="D874">
        <v>5</v>
      </c>
      <c r="E874">
        <v>3231.36</v>
      </c>
      <c r="F874" t="s">
        <v>723</v>
      </c>
      <c r="G874" t="s">
        <v>93</v>
      </c>
      <c r="H874">
        <v>1</v>
      </c>
      <c r="I874">
        <v>2</v>
      </c>
      <c r="J874">
        <v>2004</v>
      </c>
      <c r="K874" t="s">
        <v>265</v>
      </c>
      <c r="L874">
        <v>132</v>
      </c>
      <c r="M874" t="s">
        <v>770</v>
      </c>
      <c r="N874" t="s">
        <v>470</v>
      </c>
      <c r="O874">
        <v>7605558146</v>
      </c>
      <c r="P874" t="s">
        <v>471</v>
      </c>
      <c r="R874" t="s">
        <v>472</v>
      </c>
      <c r="S874" t="s">
        <v>124</v>
      </c>
      <c r="T874">
        <v>91217</v>
      </c>
      <c r="U874" t="s">
        <v>100</v>
      </c>
      <c r="V874" t="s">
        <v>101</v>
      </c>
      <c r="W874" t="s">
        <v>6</v>
      </c>
      <c r="X874" t="s">
        <v>371</v>
      </c>
      <c r="Y874" t="s">
        <v>119</v>
      </c>
    </row>
    <row r="875" spans="1:25">
      <c r="A875">
        <v>10241</v>
      </c>
      <c r="B875">
        <v>44</v>
      </c>
      <c r="C875">
        <v>100</v>
      </c>
      <c r="D875">
        <v>12</v>
      </c>
      <c r="E875">
        <v>6853.44</v>
      </c>
      <c r="F875" t="s">
        <v>683</v>
      </c>
      <c r="G875" t="s">
        <v>93</v>
      </c>
      <c r="H875">
        <v>2</v>
      </c>
      <c r="I875">
        <v>4</v>
      </c>
      <c r="J875">
        <v>2004</v>
      </c>
      <c r="K875" t="s">
        <v>265</v>
      </c>
      <c r="L875">
        <v>132</v>
      </c>
      <c r="M875" t="s">
        <v>770</v>
      </c>
      <c r="N875" t="s">
        <v>674</v>
      </c>
      <c r="O875" t="s">
        <v>675</v>
      </c>
      <c r="P875" t="s">
        <v>676</v>
      </c>
      <c r="R875" t="s">
        <v>677</v>
      </c>
      <c r="T875">
        <v>67000</v>
      </c>
      <c r="U875" t="s">
        <v>109</v>
      </c>
      <c r="V875" t="s">
        <v>110</v>
      </c>
      <c r="W875" t="s">
        <v>678</v>
      </c>
      <c r="X875" t="s">
        <v>679</v>
      </c>
      <c r="Y875" t="s">
        <v>119</v>
      </c>
    </row>
    <row r="876" spans="1:25">
      <c r="A876">
        <v>10253</v>
      </c>
      <c r="B876">
        <v>37</v>
      </c>
      <c r="C876">
        <v>100</v>
      </c>
      <c r="D876">
        <v>2</v>
      </c>
      <c r="E876">
        <v>5177.04</v>
      </c>
      <c r="F876" s="4">
        <v>37992</v>
      </c>
      <c r="G876" t="s">
        <v>444</v>
      </c>
      <c r="H876">
        <v>2</v>
      </c>
      <c r="I876">
        <v>6</v>
      </c>
      <c r="J876">
        <v>2004</v>
      </c>
      <c r="K876" t="s">
        <v>265</v>
      </c>
      <c r="L876">
        <v>132</v>
      </c>
      <c r="M876" t="s">
        <v>770</v>
      </c>
      <c r="N876" t="s">
        <v>247</v>
      </c>
      <c r="O876" t="s">
        <v>248</v>
      </c>
      <c r="P876" t="s">
        <v>249</v>
      </c>
      <c r="R876" t="s">
        <v>250</v>
      </c>
      <c r="T876" t="s">
        <v>251</v>
      </c>
      <c r="U876" t="s">
        <v>252</v>
      </c>
      <c r="V876" t="s">
        <v>110</v>
      </c>
      <c r="W876" t="s">
        <v>253</v>
      </c>
      <c r="X876" t="s">
        <v>254</v>
      </c>
      <c r="Y876" t="s">
        <v>119</v>
      </c>
    </row>
    <row r="877" spans="1:25">
      <c r="A877">
        <v>10266</v>
      </c>
      <c r="B877">
        <v>20</v>
      </c>
      <c r="C877">
        <v>100</v>
      </c>
      <c r="D877">
        <v>3</v>
      </c>
      <c r="E877">
        <v>2824.8</v>
      </c>
      <c r="F877" s="4">
        <v>38145</v>
      </c>
      <c r="G877" t="s">
        <v>93</v>
      </c>
      <c r="H877">
        <v>3</v>
      </c>
      <c r="I877">
        <v>7</v>
      </c>
      <c r="J877">
        <v>2004</v>
      </c>
      <c r="K877" t="s">
        <v>265</v>
      </c>
      <c r="L877">
        <v>132</v>
      </c>
      <c r="M877" t="s">
        <v>770</v>
      </c>
      <c r="N877" t="s">
        <v>576</v>
      </c>
      <c r="O877" t="s">
        <v>577</v>
      </c>
      <c r="P877" t="s">
        <v>578</v>
      </c>
      <c r="R877" t="s">
        <v>579</v>
      </c>
      <c r="T877">
        <v>42100</v>
      </c>
      <c r="U877" t="s">
        <v>352</v>
      </c>
      <c r="V877" t="s">
        <v>110</v>
      </c>
      <c r="W877" t="s">
        <v>580</v>
      </c>
      <c r="X877" t="s">
        <v>581</v>
      </c>
      <c r="Y877" t="s">
        <v>104</v>
      </c>
    </row>
    <row r="878" spans="1:25">
      <c r="A878">
        <v>10278</v>
      </c>
      <c r="B878">
        <v>39</v>
      </c>
      <c r="C878">
        <v>100</v>
      </c>
      <c r="D878">
        <v>3</v>
      </c>
      <c r="E878">
        <v>4324.32</v>
      </c>
      <c r="F878" s="4">
        <v>38146</v>
      </c>
      <c r="G878" t="s">
        <v>93</v>
      </c>
      <c r="H878">
        <v>3</v>
      </c>
      <c r="I878">
        <v>8</v>
      </c>
      <c r="J878">
        <v>2004</v>
      </c>
      <c r="K878" t="s">
        <v>265</v>
      </c>
      <c r="L878">
        <v>132</v>
      </c>
      <c r="M878" t="s">
        <v>770</v>
      </c>
      <c r="N878" t="s">
        <v>684</v>
      </c>
      <c r="O878">
        <v>7025551838</v>
      </c>
      <c r="P878" t="s">
        <v>685</v>
      </c>
      <c r="R878" t="s">
        <v>686</v>
      </c>
      <c r="S878" t="s">
        <v>687</v>
      </c>
      <c r="T878">
        <v>83030</v>
      </c>
      <c r="U878" t="s">
        <v>100</v>
      </c>
      <c r="V878" t="s">
        <v>101</v>
      </c>
      <c r="W878" t="s">
        <v>188</v>
      </c>
      <c r="X878" t="s">
        <v>517</v>
      </c>
      <c r="Y878" t="s">
        <v>119</v>
      </c>
    </row>
    <row r="879" spans="1:25">
      <c r="A879">
        <v>10287</v>
      </c>
      <c r="B879">
        <v>44</v>
      </c>
      <c r="C879">
        <v>100</v>
      </c>
      <c r="D879">
        <v>1</v>
      </c>
      <c r="E879">
        <v>5052.96</v>
      </c>
      <c r="F879" t="s">
        <v>586</v>
      </c>
      <c r="G879" t="s">
        <v>93</v>
      </c>
      <c r="H879">
        <v>3</v>
      </c>
      <c r="I879">
        <v>8</v>
      </c>
      <c r="J879">
        <v>2004</v>
      </c>
      <c r="K879" t="s">
        <v>265</v>
      </c>
      <c r="L879">
        <v>132</v>
      </c>
      <c r="M879" t="s">
        <v>770</v>
      </c>
      <c r="N879" t="s">
        <v>570</v>
      </c>
      <c r="O879" t="s">
        <v>571</v>
      </c>
      <c r="P879" t="s">
        <v>572</v>
      </c>
      <c r="R879" t="s">
        <v>573</v>
      </c>
      <c r="T879">
        <v>1203</v>
      </c>
      <c r="U879" t="s">
        <v>574</v>
      </c>
      <c r="V879" t="s">
        <v>110</v>
      </c>
      <c r="W879" t="s">
        <v>575</v>
      </c>
      <c r="X879" t="s">
        <v>176</v>
      </c>
      <c r="Y879" t="s">
        <v>119</v>
      </c>
    </row>
    <row r="880" spans="1:25">
      <c r="A880">
        <v>10301</v>
      </c>
      <c r="B880">
        <v>22</v>
      </c>
      <c r="C880">
        <v>100</v>
      </c>
      <c r="D880">
        <v>5</v>
      </c>
      <c r="E880">
        <v>3223.44</v>
      </c>
      <c r="F880" s="4">
        <v>37751</v>
      </c>
      <c r="G880" t="s">
        <v>93</v>
      </c>
      <c r="H880">
        <v>4</v>
      </c>
      <c r="I880">
        <v>10</v>
      </c>
      <c r="J880">
        <v>2003</v>
      </c>
      <c r="K880" t="s">
        <v>265</v>
      </c>
      <c r="L880">
        <v>132</v>
      </c>
      <c r="M880" t="s">
        <v>770</v>
      </c>
      <c r="N880" t="s">
        <v>688</v>
      </c>
      <c r="O880" t="s">
        <v>689</v>
      </c>
      <c r="P880" t="s">
        <v>690</v>
      </c>
      <c r="R880" t="s">
        <v>691</v>
      </c>
      <c r="T880" t="s">
        <v>692</v>
      </c>
      <c r="U880" t="s">
        <v>149</v>
      </c>
      <c r="V880" t="s">
        <v>110</v>
      </c>
      <c r="W880" t="s">
        <v>693</v>
      </c>
      <c r="X880" t="s">
        <v>694</v>
      </c>
      <c r="Y880" t="s">
        <v>119</v>
      </c>
    </row>
    <row r="881" spans="1:25">
      <c r="A881">
        <v>10311</v>
      </c>
      <c r="B881">
        <v>43</v>
      </c>
      <c r="C881">
        <v>100</v>
      </c>
      <c r="D881">
        <v>10</v>
      </c>
      <c r="E881">
        <v>5278.68</v>
      </c>
      <c r="F881" t="s">
        <v>592</v>
      </c>
      <c r="G881" t="s">
        <v>93</v>
      </c>
      <c r="H881">
        <v>4</v>
      </c>
      <c r="I881">
        <v>10</v>
      </c>
      <c r="J881">
        <v>2004</v>
      </c>
      <c r="K881" t="s">
        <v>265</v>
      </c>
      <c r="L881">
        <v>132</v>
      </c>
      <c r="M881" t="s">
        <v>770</v>
      </c>
      <c r="N881" t="s">
        <v>257</v>
      </c>
      <c r="O881" t="s">
        <v>258</v>
      </c>
      <c r="P881" t="s">
        <v>259</v>
      </c>
      <c r="R881" t="s">
        <v>260</v>
      </c>
      <c r="T881">
        <v>28034</v>
      </c>
      <c r="U881" t="s">
        <v>261</v>
      </c>
      <c r="V881" t="s">
        <v>110</v>
      </c>
      <c r="W881" t="s">
        <v>262</v>
      </c>
      <c r="X881" t="s">
        <v>263</v>
      </c>
      <c r="Y881" t="s">
        <v>119</v>
      </c>
    </row>
    <row r="882" spans="1:25">
      <c r="A882">
        <v>10321</v>
      </c>
      <c r="B882">
        <v>27</v>
      </c>
      <c r="C882">
        <v>100</v>
      </c>
      <c r="D882">
        <v>7</v>
      </c>
      <c r="E882">
        <v>2851.2</v>
      </c>
      <c r="F882" s="4">
        <v>38088</v>
      </c>
      <c r="G882" t="s">
        <v>93</v>
      </c>
      <c r="H882">
        <v>4</v>
      </c>
      <c r="I882">
        <v>11</v>
      </c>
      <c r="J882">
        <v>2004</v>
      </c>
      <c r="K882" t="s">
        <v>265</v>
      </c>
      <c r="L882">
        <v>132</v>
      </c>
      <c r="M882" t="s">
        <v>770</v>
      </c>
      <c r="N882" t="s">
        <v>242</v>
      </c>
      <c r="O882">
        <v>5085552555</v>
      </c>
      <c r="P882" t="s">
        <v>243</v>
      </c>
      <c r="R882" t="s">
        <v>244</v>
      </c>
      <c r="S882" t="s">
        <v>200</v>
      </c>
      <c r="T882">
        <v>50553</v>
      </c>
      <c r="U882" t="s">
        <v>100</v>
      </c>
      <c r="V882" t="s">
        <v>101</v>
      </c>
      <c r="W882" t="s">
        <v>245</v>
      </c>
      <c r="X882" t="s">
        <v>246</v>
      </c>
      <c r="Y882" t="s">
        <v>104</v>
      </c>
    </row>
    <row r="883" spans="1:25">
      <c r="A883">
        <v>10331</v>
      </c>
      <c r="B883">
        <v>26</v>
      </c>
      <c r="C883">
        <v>64.900000000000006</v>
      </c>
      <c r="D883">
        <v>10</v>
      </c>
      <c r="E883">
        <v>1687.4</v>
      </c>
      <c r="F883" t="s">
        <v>695</v>
      </c>
      <c r="G883" t="s">
        <v>93</v>
      </c>
      <c r="H883">
        <v>4</v>
      </c>
      <c r="I883">
        <v>11</v>
      </c>
      <c r="J883">
        <v>2004</v>
      </c>
      <c r="K883" t="s">
        <v>265</v>
      </c>
      <c r="L883">
        <v>132</v>
      </c>
      <c r="M883" t="s">
        <v>770</v>
      </c>
      <c r="N883" t="s">
        <v>410</v>
      </c>
      <c r="O883">
        <v>2155559857</v>
      </c>
      <c r="P883" t="s">
        <v>411</v>
      </c>
      <c r="R883" t="s">
        <v>306</v>
      </c>
      <c r="S883" t="s">
        <v>221</v>
      </c>
      <c r="T883">
        <v>71270</v>
      </c>
      <c r="U883" t="s">
        <v>100</v>
      </c>
      <c r="V883" t="s">
        <v>101</v>
      </c>
      <c r="W883" t="s">
        <v>201</v>
      </c>
      <c r="X883" t="s">
        <v>412</v>
      </c>
      <c r="Y883" t="s">
        <v>104</v>
      </c>
    </row>
    <row r="884" spans="1:25">
      <c r="A884">
        <v>10343</v>
      </c>
      <c r="B884">
        <v>25</v>
      </c>
      <c r="C884">
        <v>52.32</v>
      </c>
      <c r="D884">
        <v>3</v>
      </c>
      <c r="E884">
        <v>1308</v>
      </c>
      <c r="F884" t="s">
        <v>224</v>
      </c>
      <c r="G884" t="s">
        <v>93</v>
      </c>
      <c r="H884">
        <v>4</v>
      </c>
      <c r="I884">
        <v>11</v>
      </c>
      <c r="J884">
        <v>2004</v>
      </c>
      <c r="K884" t="s">
        <v>265</v>
      </c>
      <c r="L884">
        <v>132</v>
      </c>
      <c r="M884" t="s">
        <v>770</v>
      </c>
      <c r="N884" t="s">
        <v>105</v>
      </c>
      <c r="O884" t="s">
        <v>106</v>
      </c>
      <c r="P884" t="s">
        <v>107</v>
      </c>
      <c r="R884" t="s">
        <v>108</v>
      </c>
      <c r="T884">
        <v>51100</v>
      </c>
      <c r="U884" t="s">
        <v>109</v>
      </c>
      <c r="V884" t="s">
        <v>110</v>
      </c>
      <c r="W884" t="s">
        <v>111</v>
      </c>
      <c r="X884" t="s">
        <v>112</v>
      </c>
      <c r="Y884" t="s">
        <v>104</v>
      </c>
    </row>
    <row r="885" spans="1:25">
      <c r="A885">
        <v>10366</v>
      </c>
      <c r="B885">
        <v>49</v>
      </c>
      <c r="C885">
        <v>100</v>
      </c>
      <c r="D885">
        <v>2</v>
      </c>
      <c r="E885">
        <v>6144.6</v>
      </c>
      <c r="F885" s="4">
        <v>38626</v>
      </c>
      <c r="G885" t="s">
        <v>93</v>
      </c>
      <c r="H885">
        <v>1</v>
      </c>
      <c r="I885">
        <v>1</v>
      </c>
      <c r="J885">
        <v>2005</v>
      </c>
      <c r="K885" t="s">
        <v>265</v>
      </c>
      <c r="L885">
        <v>132</v>
      </c>
      <c r="M885" t="s">
        <v>770</v>
      </c>
      <c r="N885" t="s">
        <v>743</v>
      </c>
      <c r="O885" t="s">
        <v>744</v>
      </c>
      <c r="P885" t="s">
        <v>745</v>
      </c>
      <c r="R885" t="s">
        <v>746</v>
      </c>
      <c r="T885" t="s">
        <v>747</v>
      </c>
      <c r="U885" t="s">
        <v>480</v>
      </c>
      <c r="V885" t="s">
        <v>110</v>
      </c>
      <c r="W885" t="s">
        <v>748</v>
      </c>
      <c r="X885" t="s">
        <v>749</v>
      </c>
      <c r="Y885" t="s">
        <v>119</v>
      </c>
    </row>
    <row r="886" spans="1:25">
      <c r="A886">
        <v>10379</v>
      </c>
      <c r="B886">
        <v>29</v>
      </c>
      <c r="C886">
        <v>100</v>
      </c>
      <c r="D886">
        <v>5</v>
      </c>
      <c r="E886">
        <v>5127.2</v>
      </c>
      <c r="F886" s="4">
        <v>38627</v>
      </c>
      <c r="G886" t="s">
        <v>93</v>
      </c>
      <c r="H886">
        <v>1</v>
      </c>
      <c r="I886">
        <v>2</v>
      </c>
      <c r="J886">
        <v>2005</v>
      </c>
      <c r="K886" t="s">
        <v>265</v>
      </c>
      <c r="L886">
        <v>132</v>
      </c>
      <c r="M886" t="s">
        <v>770</v>
      </c>
      <c r="N886" t="s">
        <v>257</v>
      </c>
      <c r="O886" t="s">
        <v>258</v>
      </c>
      <c r="P886" t="s">
        <v>259</v>
      </c>
      <c r="R886" t="s">
        <v>260</v>
      </c>
      <c r="T886">
        <v>28034</v>
      </c>
      <c r="U886" t="s">
        <v>261</v>
      </c>
      <c r="V886" t="s">
        <v>110</v>
      </c>
      <c r="W886" t="s">
        <v>262</v>
      </c>
      <c r="X886" t="s">
        <v>263</v>
      </c>
      <c r="Y886" t="s">
        <v>119</v>
      </c>
    </row>
    <row r="887" spans="1:25">
      <c r="A887">
        <v>10407</v>
      </c>
      <c r="B887">
        <v>41</v>
      </c>
      <c r="C887">
        <v>100</v>
      </c>
      <c r="D887">
        <v>12</v>
      </c>
      <c r="E887">
        <v>6386.16</v>
      </c>
      <c r="F887" t="s">
        <v>724</v>
      </c>
      <c r="G887" t="s">
        <v>518</v>
      </c>
      <c r="H887">
        <v>2</v>
      </c>
      <c r="I887">
        <v>4</v>
      </c>
      <c r="J887">
        <v>2005</v>
      </c>
      <c r="K887" t="s">
        <v>265</v>
      </c>
      <c r="L887">
        <v>132</v>
      </c>
      <c r="M887" t="s">
        <v>770</v>
      </c>
      <c r="N887" t="s">
        <v>514</v>
      </c>
      <c r="O887">
        <v>4085553659</v>
      </c>
      <c r="P887" t="s">
        <v>515</v>
      </c>
      <c r="R887" t="s">
        <v>516</v>
      </c>
      <c r="S887" t="s">
        <v>124</v>
      </c>
      <c r="T887">
        <v>94217</v>
      </c>
      <c r="U887" t="s">
        <v>100</v>
      </c>
      <c r="V887" t="s">
        <v>101</v>
      </c>
      <c r="W887" t="s">
        <v>175</v>
      </c>
      <c r="X887" t="s">
        <v>517</v>
      </c>
      <c r="Y887" t="s">
        <v>119</v>
      </c>
    </row>
    <row r="888" spans="1:25">
      <c r="A888">
        <v>10419</v>
      </c>
      <c r="B888">
        <v>55</v>
      </c>
      <c r="C888">
        <v>100</v>
      </c>
      <c r="D888">
        <v>2</v>
      </c>
      <c r="E888">
        <v>7695.6</v>
      </c>
      <c r="F888" t="s">
        <v>600</v>
      </c>
      <c r="G888" t="s">
        <v>93</v>
      </c>
      <c r="H888">
        <v>2</v>
      </c>
      <c r="I888">
        <v>5</v>
      </c>
      <c r="J888">
        <v>2005</v>
      </c>
      <c r="K888" t="s">
        <v>265</v>
      </c>
      <c r="L888">
        <v>132</v>
      </c>
      <c r="M888" t="s">
        <v>770</v>
      </c>
      <c r="N888" t="s">
        <v>225</v>
      </c>
      <c r="O888" t="s">
        <v>226</v>
      </c>
      <c r="P888" t="s">
        <v>227</v>
      </c>
      <c r="R888" t="s">
        <v>228</v>
      </c>
      <c r="T888">
        <v>5020</v>
      </c>
      <c r="U888" t="s">
        <v>229</v>
      </c>
      <c r="V888" t="s">
        <v>110</v>
      </c>
      <c r="W888" t="s">
        <v>230</v>
      </c>
      <c r="X888" t="s">
        <v>231</v>
      </c>
      <c r="Y888" t="s">
        <v>232</v>
      </c>
    </row>
    <row r="889" spans="1:25">
      <c r="A889">
        <v>10103</v>
      </c>
      <c r="B889">
        <v>27</v>
      </c>
      <c r="C889">
        <v>83.07</v>
      </c>
      <c r="D889">
        <v>12</v>
      </c>
      <c r="E889">
        <v>2242.89</v>
      </c>
      <c r="F889" t="s">
        <v>264</v>
      </c>
      <c r="G889" t="s">
        <v>93</v>
      </c>
      <c r="H889">
        <v>1</v>
      </c>
      <c r="I889">
        <v>1</v>
      </c>
      <c r="J889">
        <v>2003</v>
      </c>
      <c r="K889" t="s">
        <v>697</v>
      </c>
      <c r="L889">
        <v>101</v>
      </c>
      <c r="M889" t="s">
        <v>771</v>
      </c>
      <c r="N889" t="s">
        <v>212</v>
      </c>
      <c r="O889" t="s">
        <v>213</v>
      </c>
      <c r="P889" t="s">
        <v>214</v>
      </c>
      <c r="R889" t="s">
        <v>215</v>
      </c>
      <c r="T889">
        <v>4110</v>
      </c>
      <c r="U889" t="s">
        <v>149</v>
      </c>
      <c r="V889" t="s">
        <v>110</v>
      </c>
      <c r="W889" t="s">
        <v>216</v>
      </c>
      <c r="X889" t="s">
        <v>217</v>
      </c>
      <c r="Y889" t="s">
        <v>104</v>
      </c>
    </row>
    <row r="890" spans="1:25">
      <c r="A890">
        <v>10112</v>
      </c>
      <c r="B890">
        <v>23</v>
      </c>
      <c r="C890">
        <v>100</v>
      </c>
      <c r="D890">
        <v>2</v>
      </c>
      <c r="E890">
        <v>2539.89</v>
      </c>
      <c r="F890" t="s">
        <v>267</v>
      </c>
      <c r="G890" t="s">
        <v>93</v>
      </c>
      <c r="H890">
        <v>1</v>
      </c>
      <c r="I890">
        <v>3</v>
      </c>
      <c r="J890">
        <v>2003</v>
      </c>
      <c r="K890" t="s">
        <v>697</v>
      </c>
      <c r="L890">
        <v>101</v>
      </c>
      <c r="M890" t="s">
        <v>771</v>
      </c>
      <c r="N890" t="s">
        <v>268</v>
      </c>
      <c r="O890" t="s">
        <v>269</v>
      </c>
      <c r="P890" t="s">
        <v>270</v>
      </c>
      <c r="R890" t="s">
        <v>271</v>
      </c>
      <c r="T890" t="s">
        <v>272</v>
      </c>
      <c r="U890" t="s">
        <v>273</v>
      </c>
      <c r="V890" t="s">
        <v>110</v>
      </c>
      <c r="W890" t="s">
        <v>274</v>
      </c>
      <c r="X890" t="s">
        <v>275</v>
      </c>
      <c r="Y890" t="s">
        <v>104</v>
      </c>
    </row>
    <row r="891" spans="1:25">
      <c r="A891">
        <v>10126</v>
      </c>
      <c r="B891">
        <v>31</v>
      </c>
      <c r="C891">
        <v>90.17</v>
      </c>
      <c r="D891">
        <v>12</v>
      </c>
      <c r="E891">
        <v>2795.27</v>
      </c>
      <c r="F891" t="s">
        <v>276</v>
      </c>
      <c r="G891" t="s">
        <v>93</v>
      </c>
      <c r="H891">
        <v>2</v>
      </c>
      <c r="I891">
        <v>5</v>
      </c>
      <c r="J891">
        <v>2003</v>
      </c>
      <c r="K891" t="s">
        <v>697</v>
      </c>
      <c r="L891">
        <v>101</v>
      </c>
      <c r="M891" t="s">
        <v>771</v>
      </c>
      <c r="N891" t="s">
        <v>277</v>
      </c>
      <c r="O891" t="s">
        <v>278</v>
      </c>
      <c r="P891" t="s">
        <v>279</v>
      </c>
      <c r="R891" t="s">
        <v>260</v>
      </c>
      <c r="T891">
        <v>28023</v>
      </c>
      <c r="U891" t="s">
        <v>261</v>
      </c>
      <c r="V891" t="s">
        <v>110</v>
      </c>
      <c r="W891" t="s">
        <v>280</v>
      </c>
      <c r="X891" t="s">
        <v>281</v>
      </c>
      <c r="Y891" t="s">
        <v>104</v>
      </c>
    </row>
    <row r="892" spans="1:25">
      <c r="A892">
        <v>10139</v>
      </c>
      <c r="B892">
        <v>46</v>
      </c>
      <c r="C892">
        <v>100</v>
      </c>
      <c r="D892">
        <v>1</v>
      </c>
      <c r="E892">
        <v>5545.76</v>
      </c>
      <c r="F892" t="s">
        <v>701</v>
      </c>
      <c r="G892" t="s">
        <v>93</v>
      </c>
      <c r="H892">
        <v>3</v>
      </c>
      <c r="I892">
        <v>7</v>
      </c>
      <c r="J892">
        <v>2003</v>
      </c>
      <c r="K892" t="s">
        <v>697</v>
      </c>
      <c r="L892">
        <v>101</v>
      </c>
      <c r="M892" t="s">
        <v>771</v>
      </c>
      <c r="N892" t="s">
        <v>234</v>
      </c>
      <c r="O892" t="s">
        <v>235</v>
      </c>
      <c r="P892" t="s">
        <v>236</v>
      </c>
      <c r="Q892" t="s">
        <v>237</v>
      </c>
      <c r="R892" t="s">
        <v>238</v>
      </c>
      <c r="S892" t="s">
        <v>239</v>
      </c>
      <c r="T892">
        <v>2067</v>
      </c>
      <c r="U892" t="s">
        <v>168</v>
      </c>
      <c r="V892" t="s">
        <v>169</v>
      </c>
      <c r="W892" t="s">
        <v>240</v>
      </c>
      <c r="X892" t="s">
        <v>241</v>
      </c>
      <c r="Y892" t="s">
        <v>119</v>
      </c>
    </row>
    <row r="893" spans="1:25">
      <c r="A893">
        <v>10150</v>
      </c>
      <c r="B893">
        <v>47</v>
      </c>
      <c r="C893">
        <v>91.18</v>
      </c>
      <c r="D893">
        <v>9</v>
      </c>
      <c r="E893">
        <v>4285.46</v>
      </c>
      <c r="F893" t="s">
        <v>283</v>
      </c>
      <c r="G893" t="s">
        <v>93</v>
      </c>
      <c r="H893">
        <v>3</v>
      </c>
      <c r="I893">
        <v>9</v>
      </c>
      <c r="J893">
        <v>2003</v>
      </c>
      <c r="K893" t="s">
        <v>697</v>
      </c>
      <c r="L893">
        <v>101</v>
      </c>
      <c r="M893" t="s">
        <v>771</v>
      </c>
      <c r="N893" t="s">
        <v>284</v>
      </c>
      <c r="O893" t="s">
        <v>285</v>
      </c>
      <c r="P893" t="s">
        <v>286</v>
      </c>
      <c r="R893" t="s">
        <v>287</v>
      </c>
      <c r="T893">
        <v>79903</v>
      </c>
      <c r="U893" t="s">
        <v>287</v>
      </c>
      <c r="V893" t="s">
        <v>288</v>
      </c>
      <c r="W893" t="s">
        <v>289</v>
      </c>
      <c r="X893" t="s">
        <v>290</v>
      </c>
      <c r="Y893" t="s">
        <v>119</v>
      </c>
    </row>
    <row r="894" spans="1:25">
      <c r="A894">
        <v>10163</v>
      </c>
      <c r="B894">
        <v>31</v>
      </c>
      <c r="C894">
        <v>100</v>
      </c>
      <c r="D894">
        <v>2</v>
      </c>
      <c r="E894">
        <v>3329.09</v>
      </c>
      <c r="F894" t="s">
        <v>291</v>
      </c>
      <c r="G894" t="s">
        <v>93</v>
      </c>
      <c r="H894">
        <v>4</v>
      </c>
      <c r="I894">
        <v>10</v>
      </c>
      <c r="J894">
        <v>2003</v>
      </c>
      <c r="K894" t="s">
        <v>697</v>
      </c>
      <c r="L894">
        <v>101</v>
      </c>
      <c r="M894" t="s">
        <v>771</v>
      </c>
      <c r="N894" t="s">
        <v>292</v>
      </c>
      <c r="O894">
        <v>2125558493</v>
      </c>
      <c r="P894" t="s">
        <v>293</v>
      </c>
      <c r="Q894" t="s">
        <v>294</v>
      </c>
      <c r="R894" t="s">
        <v>98</v>
      </c>
      <c r="S894" t="s">
        <v>99</v>
      </c>
      <c r="T894">
        <v>10022</v>
      </c>
      <c r="U894" t="s">
        <v>100</v>
      </c>
      <c r="V894" t="s">
        <v>101</v>
      </c>
      <c r="W894" t="s">
        <v>201</v>
      </c>
      <c r="X894" t="s">
        <v>295</v>
      </c>
      <c r="Y894" t="s">
        <v>119</v>
      </c>
    </row>
    <row r="895" spans="1:25">
      <c r="A895">
        <v>10174</v>
      </c>
      <c r="B895">
        <v>46</v>
      </c>
      <c r="C895">
        <v>100</v>
      </c>
      <c r="D895">
        <v>5</v>
      </c>
      <c r="E895">
        <v>5592.22</v>
      </c>
      <c r="F895" s="4">
        <v>37783</v>
      </c>
      <c r="G895" t="s">
        <v>93</v>
      </c>
      <c r="H895">
        <v>4</v>
      </c>
      <c r="I895">
        <v>11</v>
      </c>
      <c r="J895">
        <v>2003</v>
      </c>
      <c r="K895" t="s">
        <v>697</v>
      </c>
      <c r="L895">
        <v>101</v>
      </c>
      <c r="M895" t="s">
        <v>771</v>
      </c>
      <c r="N895" t="s">
        <v>296</v>
      </c>
      <c r="O895" t="s">
        <v>297</v>
      </c>
      <c r="P895" t="s">
        <v>298</v>
      </c>
      <c r="R895" t="s">
        <v>299</v>
      </c>
      <c r="S895" t="s">
        <v>300</v>
      </c>
      <c r="T895">
        <v>4101</v>
      </c>
      <c r="U895" t="s">
        <v>168</v>
      </c>
      <c r="V895" t="s">
        <v>169</v>
      </c>
      <c r="W895" t="s">
        <v>301</v>
      </c>
      <c r="X895" t="s">
        <v>302</v>
      </c>
      <c r="Y895" t="s">
        <v>119</v>
      </c>
    </row>
    <row r="896" spans="1:25">
      <c r="A896">
        <v>10183</v>
      </c>
      <c r="B896">
        <v>37</v>
      </c>
      <c r="C896">
        <v>89.15</v>
      </c>
      <c r="D896">
        <v>9</v>
      </c>
      <c r="E896">
        <v>3298.55</v>
      </c>
      <c r="F896" t="s">
        <v>303</v>
      </c>
      <c r="G896" t="s">
        <v>93</v>
      </c>
      <c r="H896">
        <v>4</v>
      </c>
      <c r="I896">
        <v>11</v>
      </c>
      <c r="J896">
        <v>2003</v>
      </c>
      <c r="K896" t="s">
        <v>697</v>
      </c>
      <c r="L896">
        <v>101</v>
      </c>
      <c r="M896" t="s">
        <v>771</v>
      </c>
      <c r="N896" t="s">
        <v>304</v>
      </c>
      <c r="O896">
        <v>2155554695</v>
      </c>
      <c r="P896" t="s">
        <v>305</v>
      </c>
      <c r="R896" t="s">
        <v>306</v>
      </c>
      <c r="S896" t="s">
        <v>221</v>
      </c>
      <c r="T896">
        <v>71270</v>
      </c>
      <c r="U896" t="s">
        <v>100</v>
      </c>
      <c r="V896" t="s">
        <v>101</v>
      </c>
      <c r="W896" t="s">
        <v>307</v>
      </c>
      <c r="X896" t="s">
        <v>308</v>
      </c>
      <c r="Y896" t="s">
        <v>119</v>
      </c>
    </row>
    <row r="897" spans="1:25">
      <c r="A897">
        <v>10193</v>
      </c>
      <c r="B897">
        <v>28</v>
      </c>
      <c r="C897">
        <v>93.21</v>
      </c>
      <c r="D897">
        <v>1</v>
      </c>
      <c r="E897">
        <v>2609.88</v>
      </c>
      <c r="F897" t="s">
        <v>709</v>
      </c>
      <c r="G897" t="s">
        <v>93</v>
      </c>
      <c r="H897">
        <v>4</v>
      </c>
      <c r="I897">
        <v>11</v>
      </c>
      <c r="J897">
        <v>2003</v>
      </c>
      <c r="K897" t="s">
        <v>697</v>
      </c>
      <c r="L897">
        <v>101</v>
      </c>
      <c r="M897" t="s">
        <v>771</v>
      </c>
      <c r="N897" t="s">
        <v>710</v>
      </c>
      <c r="O897" t="s">
        <v>711</v>
      </c>
      <c r="P897" t="s">
        <v>712</v>
      </c>
      <c r="R897" t="s">
        <v>713</v>
      </c>
      <c r="S897" t="s">
        <v>167</v>
      </c>
      <c r="T897">
        <v>3150</v>
      </c>
      <c r="U897" t="s">
        <v>168</v>
      </c>
      <c r="V897" t="s">
        <v>169</v>
      </c>
      <c r="W897" t="s">
        <v>714</v>
      </c>
      <c r="X897" t="s">
        <v>715</v>
      </c>
      <c r="Y897" t="s">
        <v>104</v>
      </c>
    </row>
    <row r="898" spans="1:25">
      <c r="A898">
        <v>10206</v>
      </c>
      <c r="B898">
        <v>37</v>
      </c>
      <c r="C898">
        <v>90.17</v>
      </c>
      <c r="D898">
        <v>7</v>
      </c>
      <c r="E898">
        <v>3336.29</v>
      </c>
      <c r="F898" s="4">
        <v>37753</v>
      </c>
      <c r="G898" t="s">
        <v>93</v>
      </c>
      <c r="H898">
        <v>4</v>
      </c>
      <c r="I898">
        <v>12</v>
      </c>
      <c r="J898">
        <v>2003</v>
      </c>
      <c r="K898" t="s">
        <v>697</v>
      </c>
      <c r="L898">
        <v>101</v>
      </c>
      <c r="M898" t="s">
        <v>771</v>
      </c>
      <c r="N898" t="s">
        <v>316</v>
      </c>
      <c r="O898" t="s">
        <v>317</v>
      </c>
      <c r="P898" t="s">
        <v>318</v>
      </c>
      <c r="R898" t="s">
        <v>319</v>
      </c>
      <c r="S898" t="s">
        <v>320</v>
      </c>
      <c r="T898" t="s">
        <v>321</v>
      </c>
      <c r="U898" t="s">
        <v>322</v>
      </c>
      <c r="V898" t="s">
        <v>101</v>
      </c>
      <c r="W898" t="s">
        <v>323</v>
      </c>
      <c r="X898" t="s">
        <v>324</v>
      </c>
      <c r="Y898" t="s">
        <v>119</v>
      </c>
    </row>
    <row r="899" spans="1:25">
      <c r="A899">
        <v>10215</v>
      </c>
      <c r="B899">
        <v>49</v>
      </c>
      <c r="C899">
        <v>100</v>
      </c>
      <c r="D899">
        <v>4</v>
      </c>
      <c r="E899">
        <v>5510.05</v>
      </c>
      <c r="F899" t="s">
        <v>325</v>
      </c>
      <c r="G899" t="s">
        <v>93</v>
      </c>
      <c r="H899">
        <v>1</v>
      </c>
      <c r="I899">
        <v>1</v>
      </c>
      <c r="J899">
        <v>2004</v>
      </c>
      <c r="K899" t="s">
        <v>697</v>
      </c>
      <c r="L899">
        <v>101</v>
      </c>
      <c r="M899" t="s">
        <v>771</v>
      </c>
      <c r="N899" t="s">
        <v>326</v>
      </c>
      <c r="O899">
        <v>3105553722</v>
      </c>
      <c r="P899" t="s">
        <v>327</v>
      </c>
      <c r="R899" t="s">
        <v>328</v>
      </c>
      <c r="S899" t="s">
        <v>124</v>
      </c>
      <c r="T899">
        <v>94019</v>
      </c>
      <c r="U899" t="s">
        <v>100</v>
      </c>
      <c r="V899" t="s">
        <v>101</v>
      </c>
      <c r="W899" t="s">
        <v>6</v>
      </c>
      <c r="X899" t="s">
        <v>329</v>
      </c>
      <c r="Y899" t="s">
        <v>119</v>
      </c>
    </row>
    <row r="900" spans="1:25">
      <c r="A900">
        <v>10228</v>
      </c>
      <c r="B900">
        <v>24</v>
      </c>
      <c r="C900">
        <v>100</v>
      </c>
      <c r="D900">
        <v>3</v>
      </c>
      <c r="E900">
        <v>2504.4</v>
      </c>
      <c r="F900" s="4">
        <v>38263</v>
      </c>
      <c r="G900" t="s">
        <v>93</v>
      </c>
      <c r="H900">
        <v>1</v>
      </c>
      <c r="I900">
        <v>3</v>
      </c>
      <c r="J900">
        <v>2004</v>
      </c>
      <c r="K900" t="s">
        <v>697</v>
      </c>
      <c r="L900">
        <v>101</v>
      </c>
      <c r="M900" t="s">
        <v>771</v>
      </c>
      <c r="N900" t="s">
        <v>330</v>
      </c>
      <c r="O900">
        <v>6175555555</v>
      </c>
      <c r="P900" t="s">
        <v>331</v>
      </c>
      <c r="R900" t="s">
        <v>199</v>
      </c>
      <c r="S900" t="s">
        <v>200</v>
      </c>
      <c r="T900">
        <v>51247</v>
      </c>
      <c r="U900" t="s">
        <v>100</v>
      </c>
      <c r="V900" t="s">
        <v>101</v>
      </c>
      <c r="W900" t="s">
        <v>332</v>
      </c>
      <c r="X900" t="s">
        <v>222</v>
      </c>
      <c r="Y900" t="s">
        <v>104</v>
      </c>
    </row>
    <row r="901" spans="1:25">
      <c r="A901">
        <v>10244</v>
      </c>
      <c r="B901">
        <v>30</v>
      </c>
      <c r="C901">
        <v>100</v>
      </c>
      <c r="D901">
        <v>1</v>
      </c>
      <c r="E901">
        <v>3525.6</v>
      </c>
      <c r="F901" t="s">
        <v>716</v>
      </c>
      <c r="G901" t="s">
        <v>93</v>
      </c>
      <c r="H901">
        <v>2</v>
      </c>
      <c r="I901">
        <v>4</v>
      </c>
      <c r="J901">
        <v>2004</v>
      </c>
      <c r="K901" t="s">
        <v>697</v>
      </c>
      <c r="L901">
        <v>101</v>
      </c>
      <c r="M901" t="s">
        <v>771</v>
      </c>
      <c r="N901" t="s">
        <v>257</v>
      </c>
      <c r="O901" t="s">
        <v>258</v>
      </c>
      <c r="P901" t="s">
        <v>259</v>
      </c>
      <c r="R901" t="s">
        <v>260</v>
      </c>
      <c r="T901">
        <v>28034</v>
      </c>
      <c r="U901" t="s">
        <v>261</v>
      </c>
      <c r="V901" t="s">
        <v>110</v>
      </c>
      <c r="W901" t="s">
        <v>262</v>
      </c>
      <c r="X901" t="s">
        <v>263</v>
      </c>
      <c r="Y901" t="s">
        <v>119</v>
      </c>
    </row>
    <row r="902" spans="1:25">
      <c r="A902">
        <v>10257</v>
      </c>
      <c r="B902">
        <v>50</v>
      </c>
      <c r="C902">
        <v>88.14</v>
      </c>
      <c r="D902">
        <v>1</v>
      </c>
      <c r="E902">
        <v>4407</v>
      </c>
      <c r="F902" t="s">
        <v>772</v>
      </c>
      <c r="G902" t="s">
        <v>93</v>
      </c>
      <c r="H902">
        <v>2</v>
      </c>
      <c r="I902">
        <v>6</v>
      </c>
      <c r="J902">
        <v>2004</v>
      </c>
      <c r="K902" t="s">
        <v>697</v>
      </c>
      <c r="L902">
        <v>101</v>
      </c>
      <c r="M902" t="s">
        <v>771</v>
      </c>
      <c r="N902" t="s">
        <v>514</v>
      </c>
      <c r="O902">
        <v>4085553659</v>
      </c>
      <c r="P902" t="s">
        <v>515</v>
      </c>
      <c r="R902" t="s">
        <v>516</v>
      </c>
      <c r="S902" t="s">
        <v>124</v>
      </c>
      <c r="T902">
        <v>94217</v>
      </c>
      <c r="U902" t="s">
        <v>100</v>
      </c>
      <c r="V902" t="s">
        <v>101</v>
      </c>
      <c r="W902" t="s">
        <v>175</v>
      </c>
      <c r="X902" t="s">
        <v>517</v>
      </c>
      <c r="Y902" t="s">
        <v>119</v>
      </c>
    </row>
    <row r="903" spans="1:25">
      <c r="A903">
        <v>10270</v>
      </c>
      <c r="B903">
        <v>31</v>
      </c>
      <c r="C903">
        <v>96.24</v>
      </c>
      <c r="D903">
        <v>10</v>
      </c>
      <c r="E903">
        <v>2983.44</v>
      </c>
      <c r="F903" t="s">
        <v>346</v>
      </c>
      <c r="G903" t="s">
        <v>93</v>
      </c>
      <c r="H903">
        <v>3</v>
      </c>
      <c r="I903">
        <v>7</v>
      </c>
      <c r="J903">
        <v>2004</v>
      </c>
      <c r="K903" t="s">
        <v>697</v>
      </c>
      <c r="L903">
        <v>101</v>
      </c>
      <c r="M903" t="s">
        <v>771</v>
      </c>
      <c r="N903" t="s">
        <v>234</v>
      </c>
      <c r="O903" t="s">
        <v>235</v>
      </c>
      <c r="P903" t="s">
        <v>236</v>
      </c>
      <c r="Q903" t="s">
        <v>237</v>
      </c>
      <c r="R903" t="s">
        <v>238</v>
      </c>
      <c r="S903" t="s">
        <v>239</v>
      </c>
      <c r="T903">
        <v>2067</v>
      </c>
      <c r="U903" t="s">
        <v>168</v>
      </c>
      <c r="V903" t="s">
        <v>169</v>
      </c>
      <c r="W903" t="s">
        <v>240</v>
      </c>
      <c r="X903" t="s">
        <v>241</v>
      </c>
      <c r="Y903" t="s">
        <v>104</v>
      </c>
    </row>
    <row r="904" spans="1:25">
      <c r="A904">
        <v>10280</v>
      </c>
      <c r="B904">
        <v>46</v>
      </c>
      <c r="C904">
        <v>100</v>
      </c>
      <c r="D904">
        <v>3</v>
      </c>
      <c r="E904">
        <v>5126.24</v>
      </c>
      <c r="F904" t="s">
        <v>347</v>
      </c>
      <c r="G904" t="s">
        <v>93</v>
      </c>
      <c r="H904">
        <v>3</v>
      </c>
      <c r="I904">
        <v>8</v>
      </c>
      <c r="J904">
        <v>2004</v>
      </c>
      <c r="K904" t="s">
        <v>697</v>
      </c>
      <c r="L904">
        <v>101</v>
      </c>
      <c r="M904" t="s">
        <v>771</v>
      </c>
      <c r="N904" t="s">
        <v>348</v>
      </c>
      <c r="O904" t="s">
        <v>349</v>
      </c>
      <c r="P904" t="s">
        <v>350</v>
      </c>
      <c r="R904" t="s">
        <v>351</v>
      </c>
      <c r="T904">
        <v>10100</v>
      </c>
      <c r="U904" t="s">
        <v>352</v>
      </c>
      <c r="V904" t="s">
        <v>110</v>
      </c>
      <c r="W904" t="s">
        <v>353</v>
      </c>
      <c r="X904" t="s">
        <v>354</v>
      </c>
      <c r="Y904" t="s">
        <v>119</v>
      </c>
    </row>
    <row r="905" spans="1:25">
      <c r="A905">
        <v>10291</v>
      </c>
      <c r="B905">
        <v>47</v>
      </c>
      <c r="C905">
        <v>100</v>
      </c>
      <c r="D905">
        <v>12</v>
      </c>
      <c r="E905">
        <v>5713.79</v>
      </c>
      <c r="F905" s="4">
        <v>38208</v>
      </c>
      <c r="G905" t="s">
        <v>93</v>
      </c>
      <c r="H905">
        <v>3</v>
      </c>
      <c r="I905">
        <v>9</v>
      </c>
      <c r="J905">
        <v>2004</v>
      </c>
      <c r="K905" t="s">
        <v>697</v>
      </c>
      <c r="L905">
        <v>101</v>
      </c>
      <c r="M905" t="s">
        <v>771</v>
      </c>
      <c r="N905" t="s">
        <v>355</v>
      </c>
      <c r="O905" t="s">
        <v>356</v>
      </c>
      <c r="P905" t="s">
        <v>357</v>
      </c>
      <c r="R905" t="s">
        <v>358</v>
      </c>
      <c r="T905" t="s">
        <v>359</v>
      </c>
      <c r="U905" t="s">
        <v>273</v>
      </c>
      <c r="V905" t="s">
        <v>110</v>
      </c>
      <c r="W905" t="s">
        <v>360</v>
      </c>
      <c r="X905" t="s">
        <v>295</v>
      </c>
      <c r="Y905" t="s">
        <v>119</v>
      </c>
    </row>
    <row r="906" spans="1:25">
      <c r="A906">
        <v>10304</v>
      </c>
      <c r="B906">
        <v>46</v>
      </c>
      <c r="C906">
        <v>100</v>
      </c>
      <c r="D906">
        <v>7</v>
      </c>
      <c r="E906">
        <v>4613.8</v>
      </c>
      <c r="F906" s="4">
        <v>38301</v>
      </c>
      <c r="G906" t="s">
        <v>93</v>
      </c>
      <c r="H906">
        <v>4</v>
      </c>
      <c r="I906">
        <v>10</v>
      </c>
      <c r="J906">
        <v>2004</v>
      </c>
      <c r="K906" t="s">
        <v>697</v>
      </c>
      <c r="L906">
        <v>101</v>
      </c>
      <c r="M906" t="s">
        <v>771</v>
      </c>
      <c r="N906" t="s">
        <v>361</v>
      </c>
      <c r="O906" t="s">
        <v>362</v>
      </c>
      <c r="P906" t="s">
        <v>363</v>
      </c>
      <c r="R906" t="s">
        <v>364</v>
      </c>
      <c r="T906">
        <v>78000</v>
      </c>
      <c r="U906" t="s">
        <v>109</v>
      </c>
      <c r="V906" t="s">
        <v>110</v>
      </c>
      <c r="W906" t="s">
        <v>365</v>
      </c>
      <c r="X906" t="s">
        <v>118</v>
      </c>
      <c r="Y906" t="s">
        <v>119</v>
      </c>
    </row>
    <row r="907" spans="1:25">
      <c r="A907">
        <v>10312</v>
      </c>
      <c r="B907">
        <v>37</v>
      </c>
      <c r="C907">
        <v>100</v>
      </c>
      <c r="D907">
        <v>4</v>
      </c>
      <c r="E907">
        <v>3711.1</v>
      </c>
      <c r="F907" t="s">
        <v>366</v>
      </c>
      <c r="G907" t="s">
        <v>93</v>
      </c>
      <c r="H907">
        <v>4</v>
      </c>
      <c r="I907">
        <v>10</v>
      </c>
      <c r="J907">
        <v>2004</v>
      </c>
      <c r="K907" t="s">
        <v>697</v>
      </c>
      <c r="L907">
        <v>101</v>
      </c>
      <c r="M907" t="s">
        <v>771</v>
      </c>
      <c r="N907" t="s">
        <v>367</v>
      </c>
      <c r="O907">
        <v>4155551450</v>
      </c>
      <c r="P907" t="s">
        <v>368</v>
      </c>
      <c r="R907" t="s">
        <v>369</v>
      </c>
      <c r="S907" t="s">
        <v>124</v>
      </c>
      <c r="T907">
        <v>97562</v>
      </c>
      <c r="U907" t="s">
        <v>100</v>
      </c>
      <c r="V907" t="s">
        <v>101</v>
      </c>
      <c r="W907" t="s">
        <v>370</v>
      </c>
      <c r="X907" t="s">
        <v>371</v>
      </c>
      <c r="Y907" t="s">
        <v>119</v>
      </c>
    </row>
    <row r="908" spans="1:25">
      <c r="A908">
        <v>10322</v>
      </c>
      <c r="B908">
        <v>33</v>
      </c>
      <c r="C908">
        <v>100</v>
      </c>
      <c r="D908">
        <v>12</v>
      </c>
      <c r="E908">
        <v>3524.73</v>
      </c>
      <c r="F908" s="4">
        <v>38088</v>
      </c>
      <c r="G908" t="s">
        <v>93</v>
      </c>
      <c r="H908">
        <v>4</v>
      </c>
      <c r="I908">
        <v>11</v>
      </c>
      <c r="J908">
        <v>2004</v>
      </c>
      <c r="K908" t="s">
        <v>697</v>
      </c>
      <c r="L908">
        <v>101</v>
      </c>
      <c r="M908" t="s">
        <v>771</v>
      </c>
      <c r="N908" t="s">
        <v>372</v>
      </c>
      <c r="O908">
        <v>6035558647</v>
      </c>
      <c r="P908" t="s">
        <v>373</v>
      </c>
      <c r="R908" t="s">
        <v>374</v>
      </c>
      <c r="S908" t="s">
        <v>375</v>
      </c>
      <c r="T908">
        <v>62005</v>
      </c>
      <c r="U908" t="s">
        <v>100</v>
      </c>
      <c r="V908" t="s">
        <v>101</v>
      </c>
      <c r="W908" t="s">
        <v>125</v>
      </c>
      <c r="X908" t="s">
        <v>371</v>
      </c>
      <c r="Y908" t="s">
        <v>119</v>
      </c>
    </row>
    <row r="909" spans="1:25">
      <c r="A909">
        <v>10333</v>
      </c>
      <c r="B909">
        <v>31</v>
      </c>
      <c r="C909">
        <v>90.17</v>
      </c>
      <c r="D909">
        <v>5</v>
      </c>
      <c r="E909">
        <v>2795.27</v>
      </c>
      <c r="F909" t="s">
        <v>376</v>
      </c>
      <c r="G909" t="s">
        <v>93</v>
      </c>
      <c r="H909">
        <v>4</v>
      </c>
      <c r="I909">
        <v>11</v>
      </c>
      <c r="J909">
        <v>2004</v>
      </c>
      <c r="K909" t="s">
        <v>697</v>
      </c>
      <c r="L909">
        <v>101</v>
      </c>
      <c r="M909" t="s">
        <v>771</v>
      </c>
      <c r="N909" t="s">
        <v>152</v>
      </c>
      <c r="O909">
        <v>6505555787</v>
      </c>
      <c r="P909" t="s">
        <v>153</v>
      </c>
      <c r="R909" t="s">
        <v>129</v>
      </c>
      <c r="S909" t="s">
        <v>124</v>
      </c>
      <c r="U909" t="s">
        <v>100</v>
      </c>
      <c r="V909" t="s">
        <v>101</v>
      </c>
      <c r="W909" t="s">
        <v>154</v>
      </c>
      <c r="X909" t="s">
        <v>126</v>
      </c>
      <c r="Y909" t="s">
        <v>104</v>
      </c>
    </row>
    <row r="910" spans="1:25">
      <c r="A910">
        <v>10347</v>
      </c>
      <c r="B910">
        <v>48</v>
      </c>
      <c r="C910">
        <v>100</v>
      </c>
      <c r="D910">
        <v>9</v>
      </c>
      <c r="E910">
        <v>4814.3999999999996</v>
      </c>
      <c r="F910" t="s">
        <v>377</v>
      </c>
      <c r="G910" t="s">
        <v>93</v>
      </c>
      <c r="H910">
        <v>4</v>
      </c>
      <c r="I910">
        <v>11</v>
      </c>
      <c r="J910">
        <v>2004</v>
      </c>
      <c r="K910" t="s">
        <v>697</v>
      </c>
      <c r="L910">
        <v>101</v>
      </c>
      <c r="M910" t="s">
        <v>771</v>
      </c>
      <c r="N910" t="s">
        <v>162</v>
      </c>
      <c r="O910" t="s">
        <v>163</v>
      </c>
      <c r="P910" t="s">
        <v>164</v>
      </c>
      <c r="Q910" t="s">
        <v>165</v>
      </c>
      <c r="R910" t="s">
        <v>166</v>
      </c>
      <c r="S910" t="s">
        <v>167</v>
      </c>
      <c r="T910">
        <v>3004</v>
      </c>
      <c r="U910" t="s">
        <v>168</v>
      </c>
      <c r="V910" t="s">
        <v>169</v>
      </c>
      <c r="W910" t="s">
        <v>170</v>
      </c>
      <c r="X910" t="s">
        <v>171</v>
      </c>
      <c r="Y910" t="s">
        <v>119</v>
      </c>
    </row>
    <row r="911" spans="1:25">
      <c r="A911">
        <v>10357</v>
      </c>
      <c r="B911">
        <v>41</v>
      </c>
      <c r="C911">
        <v>87.13</v>
      </c>
      <c r="D911">
        <v>6</v>
      </c>
      <c r="E911">
        <v>3572.33</v>
      </c>
      <c r="F911" s="4">
        <v>38272</v>
      </c>
      <c r="G911" t="s">
        <v>93</v>
      </c>
      <c r="H911">
        <v>4</v>
      </c>
      <c r="I911">
        <v>12</v>
      </c>
      <c r="J911">
        <v>2004</v>
      </c>
      <c r="K911" t="s">
        <v>697</v>
      </c>
      <c r="L911">
        <v>101</v>
      </c>
      <c r="M911" t="s">
        <v>771</v>
      </c>
      <c r="N911" t="s">
        <v>367</v>
      </c>
      <c r="O911">
        <v>4155551450</v>
      </c>
      <c r="P911" t="s">
        <v>368</v>
      </c>
      <c r="R911" t="s">
        <v>369</v>
      </c>
      <c r="S911" t="s">
        <v>124</v>
      </c>
      <c r="T911">
        <v>97562</v>
      </c>
      <c r="U911" t="s">
        <v>100</v>
      </c>
      <c r="V911" t="s">
        <v>101</v>
      </c>
      <c r="W911" t="s">
        <v>370</v>
      </c>
      <c r="X911" t="s">
        <v>371</v>
      </c>
      <c r="Y911" t="s">
        <v>119</v>
      </c>
    </row>
    <row r="912" spans="1:25">
      <c r="A912">
        <v>10369</v>
      </c>
      <c r="B912">
        <v>42</v>
      </c>
      <c r="C912">
        <v>100</v>
      </c>
      <c r="D912">
        <v>1</v>
      </c>
      <c r="E912">
        <v>4581.3599999999997</v>
      </c>
      <c r="F912" t="s">
        <v>378</v>
      </c>
      <c r="G912" t="s">
        <v>93</v>
      </c>
      <c r="H912">
        <v>1</v>
      </c>
      <c r="I912">
        <v>1</v>
      </c>
      <c r="J912">
        <v>2005</v>
      </c>
      <c r="K912" t="s">
        <v>697</v>
      </c>
      <c r="L912">
        <v>101</v>
      </c>
      <c r="M912" t="s">
        <v>771</v>
      </c>
      <c r="N912" t="s">
        <v>379</v>
      </c>
      <c r="O912">
        <v>6175558555</v>
      </c>
      <c r="P912" t="s">
        <v>380</v>
      </c>
      <c r="R912" t="s">
        <v>381</v>
      </c>
      <c r="S912" t="s">
        <v>200</v>
      </c>
      <c r="T912">
        <v>58339</v>
      </c>
      <c r="U912" t="s">
        <v>100</v>
      </c>
      <c r="V912" t="s">
        <v>101</v>
      </c>
      <c r="W912" t="s">
        <v>370</v>
      </c>
      <c r="X912" t="s">
        <v>382</v>
      </c>
      <c r="Y912" t="s">
        <v>119</v>
      </c>
    </row>
    <row r="913" spans="1:25">
      <c r="A913">
        <v>10381</v>
      </c>
      <c r="B913">
        <v>41</v>
      </c>
      <c r="C913">
        <v>100</v>
      </c>
      <c r="D913">
        <v>8</v>
      </c>
      <c r="E913">
        <v>4319.76</v>
      </c>
      <c r="F913" t="s">
        <v>383</v>
      </c>
      <c r="G913" t="s">
        <v>93</v>
      </c>
      <c r="H913">
        <v>1</v>
      </c>
      <c r="I913">
        <v>2</v>
      </c>
      <c r="J913">
        <v>2005</v>
      </c>
      <c r="K913" t="s">
        <v>697</v>
      </c>
      <c r="L913">
        <v>101</v>
      </c>
      <c r="M913" t="s">
        <v>771</v>
      </c>
      <c r="N913" t="s">
        <v>127</v>
      </c>
      <c r="O913">
        <v>6505551386</v>
      </c>
      <c r="P913" t="s">
        <v>128</v>
      </c>
      <c r="R913" t="s">
        <v>129</v>
      </c>
      <c r="S913" t="s">
        <v>124</v>
      </c>
      <c r="U913" t="s">
        <v>100</v>
      </c>
      <c r="V913" t="s">
        <v>101</v>
      </c>
      <c r="W913" t="s">
        <v>130</v>
      </c>
      <c r="X913" t="s">
        <v>126</v>
      </c>
      <c r="Y913" t="s">
        <v>119</v>
      </c>
    </row>
    <row r="914" spans="1:25">
      <c r="A914">
        <v>10391</v>
      </c>
      <c r="B914">
        <v>32</v>
      </c>
      <c r="C914">
        <v>45.25</v>
      </c>
      <c r="D914">
        <v>6</v>
      </c>
      <c r="E914">
        <v>1448</v>
      </c>
      <c r="F914" s="4">
        <v>38598</v>
      </c>
      <c r="G914" t="s">
        <v>93</v>
      </c>
      <c r="H914">
        <v>1</v>
      </c>
      <c r="I914">
        <v>3</v>
      </c>
      <c r="J914">
        <v>2005</v>
      </c>
      <c r="K914" t="s">
        <v>697</v>
      </c>
      <c r="L914">
        <v>101</v>
      </c>
      <c r="M914" t="s">
        <v>771</v>
      </c>
      <c r="N914" t="s">
        <v>384</v>
      </c>
      <c r="O914" t="s">
        <v>385</v>
      </c>
      <c r="P914" t="s">
        <v>386</v>
      </c>
      <c r="Q914" t="s">
        <v>387</v>
      </c>
      <c r="R914" t="s">
        <v>388</v>
      </c>
      <c r="S914" t="s">
        <v>239</v>
      </c>
      <c r="T914">
        <v>2060</v>
      </c>
      <c r="U914" t="s">
        <v>168</v>
      </c>
      <c r="V914" t="s">
        <v>169</v>
      </c>
      <c r="W914" t="s">
        <v>389</v>
      </c>
      <c r="X914" t="s">
        <v>390</v>
      </c>
      <c r="Y914" t="s">
        <v>104</v>
      </c>
    </row>
    <row r="915" spans="1:25">
      <c r="A915">
        <v>10423</v>
      </c>
      <c r="B915">
        <v>10</v>
      </c>
      <c r="C915">
        <v>88.14</v>
      </c>
      <c r="D915">
        <v>1</v>
      </c>
      <c r="E915">
        <v>881.4</v>
      </c>
      <c r="F915" t="s">
        <v>718</v>
      </c>
      <c r="G915" t="s">
        <v>400</v>
      </c>
      <c r="H915">
        <v>2</v>
      </c>
      <c r="I915">
        <v>5</v>
      </c>
      <c r="J915">
        <v>2005</v>
      </c>
      <c r="K915" t="s">
        <v>697</v>
      </c>
      <c r="L915">
        <v>101</v>
      </c>
      <c r="M915" t="s">
        <v>771</v>
      </c>
      <c r="N915" t="s">
        <v>475</v>
      </c>
      <c r="O915" t="s">
        <v>476</v>
      </c>
      <c r="P915" t="s">
        <v>477</v>
      </c>
      <c r="R915" t="s">
        <v>478</v>
      </c>
      <c r="T915" t="s">
        <v>479</v>
      </c>
      <c r="U915" t="s">
        <v>480</v>
      </c>
      <c r="V915" t="s">
        <v>110</v>
      </c>
      <c r="W915" t="s">
        <v>481</v>
      </c>
      <c r="X915" t="s">
        <v>482</v>
      </c>
      <c r="Y915" t="s">
        <v>104</v>
      </c>
    </row>
    <row r="916" spans="1:25">
      <c r="A916">
        <v>10103</v>
      </c>
      <c r="B916">
        <v>35</v>
      </c>
      <c r="C916">
        <v>57.46</v>
      </c>
      <c r="D916">
        <v>14</v>
      </c>
      <c r="E916">
        <v>2011.1</v>
      </c>
      <c r="F916" t="s">
        <v>264</v>
      </c>
      <c r="G916" t="s">
        <v>93</v>
      </c>
      <c r="H916">
        <v>1</v>
      </c>
      <c r="I916">
        <v>1</v>
      </c>
      <c r="J916">
        <v>2003</v>
      </c>
      <c r="K916" t="s">
        <v>697</v>
      </c>
      <c r="L916">
        <v>62</v>
      </c>
      <c r="M916" t="s">
        <v>773</v>
      </c>
      <c r="N916" t="s">
        <v>212</v>
      </c>
      <c r="O916" t="s">
        <v>213</v>
      </c>
      <c r="P916" t="s">
        <v>214</v>
      </c>
      <c r="R916" t="s">
        <v>215</v>
      </c>
      <c r="T916">
        <v>4110</v>
      </c>
      <c r="U916" t="s">
        <v>149</v>
      </c>
      <c r="V916" t="s">
        <v>110</v>
      </c>
      <c r="W916" t="s">
        <v>216</v>
      </c>
      <c r="X916" t="s">
        <v>217</v>
      </c>
      <c r="Y916" t="s">
        <v>104</v>
      </c>
    </row>
    <row r="917" spans="1:25">
      <c r="A917">
        <v>10111</v>
      </c>
      <c r="B917">
        <v>28</v>
      </c>
      <c r="C917">
        <v>64.33</v>
      </c>
      <c r="D917">
        <v>2</v>
      </c>
      <c r="E917">
        <v>1801.24</v>
      </c>
      <c r="F917" t="s">
        <v>699</v>
      </c>
      <c r="G917" t="s">
        <v>93</v>
      </c>
      <c r="H917">
        <v>1</v>
      </c>
      <c r="I917">
        <v>3</v>
      </c>
      <c r="J917">
        <v>2003</v>
      </c>
      <c r="K917" t="s">
        <v>697</v>
      </c>
      <c r="L917">
        <v>62</v>
      </c>
      <c r="M917" t="s">
        <v>773</v>
      </c>
      <c r="N917" t="s">
        <v>152</v>
      </c>
      <c r="O917">
        <v>6505555787</v>
      </c>
      <c r="P917" t="s">
        <v>153</v>
      </c>
      <c r="R917" t="s">
        <v>129</v>
      </c>
      <c r="S917" t="s">
        <v>124</v>
      </c>
      <c r="U917" t="s">
        <v>100</v>
      </c>
      <c r="V917" t="s">
        <v>101</v>
      </c>
      <c r="W917" t="s">
        <v>154</v>
      </c>
      <c r="X917" t="s">
        <v>126</v>
      </c>
      <c r="Y917" t="s">
        <v>104</v>
      </c>
    </row>
    <row r="918" spans="1:25">
      <c r="A918">
        <v>10126</v>
      </c>
      <c r="B918">
        <v>46</v>
      </c>
      <c r="C918">
        <v>73.7</v>
      </c>
      <c r="D918">
        <v>14</v>
      </c>
      <c r="E918">
        <v>3390.2</v>
      </c>
      <c r="F918" t="s">
        <v>276</v>
      </c>
      <c r="G918" t="s">
        <v>93</v>
      </c>
      <c r="H918">
        <v>2</v>
      </c>
      <c r="I918">
        <v>5</v>
      </c>
      <c r="J918">
        <v>2003</v>
      </c>
      <c r="K918" t="s">
        <v>697</v>
      </c>
      <c r="L918">
        <v>62</v>
      </c>
      <c r="M918" t="s">
        <v>773</v>
      </c>
      <c r="N918" t="s">
        <v>277</v>
      </c>
      <c r="O918" t="s">
        <v>278</v>
      </c>
      <c r="P918" t="s">
        <v>279</v>
      </c>
      <c r="R918" t="s">
        <v>260</v>
      </c>
      <c r="T918">
        <v>28023</v>
      </c>
      <c r="U918" t="s">
        <v>261</v>
      </c>
      <c r="V918" t="s">
        <v>110</v>
      </c>
      <c r="W918" t="s">
        <v>280</v>
      </c>
      <c r="X918" t="s">
        <v>281</v>
      </c>
      <c r="Y918" t="s">
        <v>119</v>
      </c>
    </row>
    <row r="919" spans="1:25">
      <c r="A919">
        <v>10139</v>
      </c>
      <c r="B919">
        <v>20</v>
      </c>
      <c r="C919">
        <v>71.2</v>
      </c>
      <c r="D919">
        <v>3</v>
      </c>
      <c r="E919">
        <v>1424</v>
      </c>
      <c r="F919" t="s">
        <v>701</v>
      </c>
      <c r="G919" t="s">
        <v>93</v>
      </c>
      <c r="H919">
        <v>3</v>
      </c>
      <c r="I919">
        <v>7</v>
      </c>
      <c r="J919">
        <v>2003</v>
      </c>
      <c r="K919" t="s">
        <v>697</v>
      </c>
      <c r="L919">
        <v>62</v>
      </c>
      <c r="M919" t="s">
        <v>773</v>
      </c>
      <c r="N919" t="s">
        <v>234</v>
      </c>
      <c r="O919" t="s">
        <v>235</v>
      </c>
      <c r="P919" t="s">
        <v>236</v>
      </c>
      <c r="Q919" t="s">
        <v>237</v>
      </c>
      <c r="R919" t="s">
        <v>238</v>
      </c>
      <c r="S919" t="s">
        <v>239</v>
      </c>
      <c r="T919">
        <v>2067</v>
      </c>
      <c r="U919" t="s">
        <v>168</v>
      </c>
      <c r="V919" t="s">
        <v>169</v>
      </c>
      <c r="W919" t="s">
        <v>240</v>
      </c>
      <c r="X919" t="s">
        <v>241</v>
      </c>
      <c r="Y919" t="s">
        <v>104</v>
      </c>
    </row>
    <row r="920" spans="1:25">
      <c r="A920">
        <v>10150</v>
      </c>
      <c r="B920">
        <v>30</v>
      </c>
      <c r="C920">
        <v>49.97</v>
      </c>
      <c r="D920">
        <v>11</v>
      </c>
      <c r="E920">
        <v>1499.1</v>
      </c>
      <c r="F920" t="s">
        <v>283</v>
      </c>
      <c r="G920" t="s">
        <v>93</v>
      </c>
      <c r="H920">
        <v>3</v>
      </c>
      <c r="I920">
        <v>9</v>
      </c>
      <c r="J920">
        <v>2003</v>
      </c>
      <c r="K920" t="s">
        <v>697</v>
      </c>
      <c r="L920">
        <v>62</v>
      </c>
      <c r="M920" t="s">
        <v>773</v>
      </c>
      <c r="N920" t="s">
        <v>284</v>
      </c>
      <c r="O920" t="s">
        <v>285</v>
      </c>
      <c r="P920" t="s">
        <v>286</v>
      </c>
      <c r="R920" t="s">
        <v>287</v>
      </c>
      <c r="T920">
        <v>79903</v>
      </c>
      <c r="U920" t="s">
        <v>287</v>
      </c>
      <c r="V920" t="s">
        <v>288</v>
      </c>
      <c r="W920" t="s">
        <v>289</v>
      </c>
      <c r="X920" t="s">
        <v>290</v>
      </c>
      <c r="Y920" t="s">
        <v>104</v>
      </c>
    </row>
    <row r="921" spans="1:25">
      <c r="A921">
        <v>10163</v>
      </c>
      <c r="B921">
        <v>48</v>
      </c>
      <c r="C921">
        <v>69.959999999999994</v>
      </c>
      <c r="D921">
        <v>4</v>
      </c>
      <c r="E921">
        <v>3358.08</v>
      </c>
      <c r="F921" t="s">
        <v>291</v>
      </c>
      <c r="G921" t="s">
        <v>93</v>
      </c>
      <c r="H921">
        <v>4</v>
      </c>
      <c r="I921">
        <v>10</v>
      </c>
      <c r="J921">
        <v>2003</v>
      </c>
      <c r="K921" t="s">
        <v>697</v>
      </c>
      <c r="L921">
        <v>62</v>
      </c>
      <c r="M921" t="s">
        <v>773</v>
      </c>
      <c r="N921" t="s">
        <v>292</v>
      </c>
      <c r="O921">
        <v>2125558493</v>
      </c>
      <c r="P921" t="s">
        <v>293</v>
      </c>
      <c r="Q921" t="s">
        <v>294</v>
      </c>
      <c r="R921" t="s">
        <v>98</v>
      </c>
      <c r="S921" t="s">
        <v>99</v>
      </c>
      <c r="T921">
        <v>10022</v>
      </c>
      <c r="U921" t="s">
        <v>100</v>
      </c>
      <c r="V921" t="s">
        <v>101</v>
      </c>
      <c r="W921" t="s">
        <v>201</v>
      </c>
      <c r="X921" t="s">
        <v>295</v>
      </c>
      <c r="Y921" t="s">
        <v>119</v>
      </c>
    </row>
    <row r="922" spans="1:25">
      <c r="A922">
        <v>10173</v>
      </c>
      <c r="B922">
        <v>28</v>
      </c>
      <c r="C922">
        <v>53.72</v>
      </c>
      <c r="D922">
        <v>2</v>
      </c>
      <c r="E922">
        <v>1504.16</v>
      </c>
      <c r="F922" s="4">
        <v>37752</v>
      </c>
      <c r="G922" t="s">
        <v>93</v>
      </c>
      <c r="H922">
        <v>4</v>
      </c>
      <c r="I922">
        <v>11</v>
      </c>
      <c r="J922">
        <v>2003</v>
      </c>
      <c r="K922" t="s">
        <v>697</v>
      </c>
      <c r="L922">
        <v>62</v>
      </c>
      <c r="M922" t="s">
        <v>773</v>
      </c>
      <c r="N922" t="s">
        <v>703</v>
      </c>
      <c r="O922" t="s">
        <v>704</v>
      </c>
      <c r="P922" t="s">
        <v>705</v>
      </c>
      <c r="R922" t="s">
        <v>706</v>
      </c>
      <c r="T922">
        <v>24100</v>
      </c>
      <c r="U922" t="s">
        <v>352</v>
      </c>
      <c r="V922" t="s">
        <v>110</v>
      </c>
      <c r="W922" t="s">
        <v>707</v>
      </c>
      <c r="X922" t="s">
        <v>708</v>
      </c>
      <c r="Y922" t="s">
        <v>104</v>
      </c>
    </row>
    <row r="923" spans="1:25">
      <c r="A923">
        <v>10183</v>
      </c>
      <c r="B923">
        <v>39</v>
      </c>
      <c r="C923">
        <v>68.08</v>
      </c>
      <c r="D923">
        <v>11</v>
      </c>
      <c r="E923">
        <v>2655.12</v>
      </c>
      <c r="F923" t="s">
        <v>303</v>
      </c>
      <c r="G923" t="s">
        <v>93</v>
      </c>
      <c r="H923">
        <v>4</v>
      </c>
      <c r="I923">
        <v>11</v>
      </c>
      <c r="J923">
        <v>2003</v>
      </c>
      <c r="K923" t="s">
        <v>697</v>
      </c>
      <c r="L923">
        <v>62</v>
      </c>
      <c r="M923" t="s">
        <v>773</v>
      </c>
      <c r="N923" t="s">
        <v>304</v>
      </c>
      <c r="O923">
        <v>2155554695</v>
      </c>
      <c r="P923" t="s">
        <v>305</v>
      </c>
      <c r="R923" t="s">
        <v>306</v>
      </c>
      <c r="S923" t="s">
        <v>221</v>
      </c>
      <c r="T923">
        <v>71270</v>
      </c>
      <c r="U923" t="s">
        <v>100</v>
      </c>
      <c r="V923" t="s">
        <v>101</v>
      </c>
      <c r="W923" t="s">
        <v>307</v>
      </c>
      <c r="X923" t="s">
        <v>308</v>
      </c>
      <c r="Y923" t="s">
        <v>104</v>
      </c>
    </row>
    <row r="924" spans="1:25">
      <c r="A924">
        <v>10193</v>
      </c>
      <c r="B924">
        <v>24</v>
      </c>
      <c r="C924">
        <v>51.84</v>
      </c>
      <c r="D924">
        <v>3</v>
      </c>
      <c r="E924">
        <v>1244.1600000000001</v>
      </c>
      <c r="F924" t="s">
        <v>709</v>
      </c>
      <c r="G924" t="s">
        <v>93</v>
      </c>
      <c r="H924">
        <v>4</v>
      </c>
      <c r="I924">
        <v>11</v>
      </c>
      <c r="J924">
        <v>2003</v>
      </c>
      <c r="K924" t="s">
        <v>697</v>
      </c>
      <c r="L924">
        <v>62</v>
      </c>
      <c r="M924" t="s">
        <v>773</v>
      </c>
      <c r="N924" t="s">
        <v>710</v>
      </c>
      <c r="O924" t="s">
        <v>711</v>
      </c>
      <c r="P924" t="s">
        <v>712</v>
      </c>
      <c r="R924" t="s">
        <v>713</v>
      </c>
      <c r="S924" t="s">
        <v>167</v>
      </c>
      <c r="T924">
        <v>3150</v>
      </c>
      <c r="U924" t="s">
        <v>168</v>
      </c>
      <c r="V924" t="s">
        <v>169</v>
      </c>
      <c r="W924" t="s">
        <v>714</v>
      </c>
      <c r="X924" t="s">
        <v>715</v>
      </c>
      <c r="Y924" t="s">
        <v>104</v>
      </c>
    </row>
    <row r="925" spans="1:25">
      <c r="A925">
        <v>10206</v>
      </c>
      <c r="B925">
        <v>28</v>
      </c>
      <c r="C925">
        <v>67.459999999999994</v>
      </c>
      <c r="D925">
        <v>9</v>
      </c>
      <c r="E925">
        <v>1888.88</v>
      </c>
      <c r="F925" s="4">
        <v>37753</v>
      </c>
      <c r="G925" t="s">
        <v>93</v>
      </c>
      <c r="H925">
        <v>4</v>
      </c>
      <c r="I925">
        <v>12</v>
      </c>
      <c r="J925">
        <v>2003</v>
      </c>
      <c r="K925" t="s">
        <v>697</v>
      </c>
      <c r="L925">
        <v>62</v>
      </c>
      <c r="M925" t="s">
        <v>773</v>
      </c>
      <c r="N925" t="s">
        <v>316</v>
      </c>
      <c r="O925" t="s">
        <v>317</v>
      </c>
      <c r="P925" t="s">
        <v>318</v>
      </c>
      <c r="R925" t="s">
        <v>319</v>
      </c>
      <c r="S925" t="s">
        <v>320</v>
      </c>
      <c r="T925" t="s">
        <v>321</v>
      </c>
      <c r="U925" t="s">
        <v>322</v>
      </c>
      <c r="V925" t="s">
        <v>101</v>
      </c>
      <c r="W925" t="s">
        <v>323</v>
      </c>
      <c r="X925" t="s">
        <v>324</v>
      </c>
      <c r="Y925" t="s">
        <v>104</v>
      </c>
    </row>
    <row r="926" spans="1:25">
      <c r="A926">
        <v>10215</v>
      </c>
      <c r="B926">
        <v>31</v>
      </c>
      <c r="C926">
        <v>58.71</v>
      </c>
      <c r="D926">
        <v>6</v>
      </c>
      <c r="E926">
        <v>1820.01</v>
      </c>
      <c r="F926" t="s">
        <v>325</v>
      </c>
      <c r="G926" t="s">
        <v>93</v>
      </c>
      <c r="H926">
        <v>1</v>
      </c>
      <c r="I926">
        <v>1</v>
      </c>
      <c r="J926">
        <v>2004</v>
      </c>
      <c r="K926" t="s">
        <v>697</v>
      </c>
      <c r="L926">
        <v>62</v>
      </c>
      <c r="M926" t="s">
        <v>773</v>
      </c>
      <c r="N926" t="s">
        <v>326</v>
      </c>
      <c r="O926">
        <v>3105553722</v>
      </c>
      <c r="P926" t="s">
        <v>327</v>
      </c>
      <c r="R926" t="s">
        <v>328</v>
      </c>
      <c r="S926" t="s">
        <v>124</v>
      </c>
      <c r="T926">
        <v>94019</v>
      </c>
      <c r="U926" t="s">
        <v>100</v>
      </c>
      <c r="V926" t="s">
        <v>101</v>
      </c>
      <c r="W926" t="s">
        <v>6</v>
      </c>
      <c r="X926" t="s">
        <v>329</v>
      </c>
      <c r="Y926" t="s">
        <v>104</v>
      </c>
    </row>
    <row r="927" spans="1:25">
      <c r="A927">
        <v>10228</v>
      </c>
      <c r="B927">
        <v>45</v>
      </c>
      <c r="C927">
        <v>63.71</v>
      </c>
      <c r="D927">
        <v>5</v>
      </c>
      <c r="E927">
        <v>2866.95</v>
      </c>
      <c r="F927" s="4">
        <v>38263</v>
      </c>
      <c r="G927" t="s">
        <v>93</v>
      </c>
      <c r="H927">
        <v>1</v>
      </c>
      <c r="I927">
        <v>3</v>
      </c>
      <c r="J927">
        <v>2004</v>
      </c>
      <c r="K927" t="s">
        <v>697</v>
      </c>
      <c r="L927">
        <v>62</v>
      </c>
      <c r="M927" t="s">
        <v>773</v>
      </c>
      <c r="N927" t="s">
        <v>330</v>
      </c>
      <c r="O927">
        <v>6175555555</v>
      </c>
      <c r="P927" t="s">
        <v>331</v>
      </c>
      <c r="R927" t="s">
        <v>199</v>
      </c>
      <c r="S927" t="s">
        <v>200</v>
      </c>
      <c r="T927">
        <v>51247</v>
      </c>
      <c r="U927" t="s">
        <v>100</v>
      </c>
      <c r="V927" t="s">
        <v>101</v>
      </c>
      <c r="W927" t="s">
        <v>332</v>
      </c>
      <c r="X927" t="s">
        <v>222</v>
      </c>
      <c r="Y927" t="s">
        <v>104</v>
      </c>
    </row>
    <row r="928" spans="1:25">
      <c r="A928">
        <v>10244</v>
      </c>
      <c r="B928">
        <v>24</v>
      </c>
      <c r="C928">
        <v>58.09</v>
      </c>
      <c r="D928">
        <v>3</v>
      </c>
      <c r="E928">
        <v>1394.16</v>
      </c>
      <c r="F928" t="s">
        <v>716</v>
      </c>
      <c r="G928" t="s">
        <v>93</v>
      </c>
      <c r="H928">
        <v>2</v>
      </c>
      <c r="I928">
        <v>4</v>
      </c>
      <c r="J928">
        <v>2004</v>
      </c>
      <c r="K928" t="s">
        <v>697</v>
      </c>
      <c r="L928">
        <v>62</v>
      </c>
      <c r="M928" t="s">
        <v>773</v>
      </c>
      <c r="N928" t="s">
        <v>257</v>
      </c>
      <c r="O928" t="s">
        <v>258</v>
      </c>
      <c r="P928" t="s">
        <v>259</v>
      </c>
      <c r="R928" t="s">
        <v>260</v>
      </c>
      <c r="T928">
        <v>28034</v>
      </c>
      <c r="U928" t="s">
        <v>261</v>
      </c>
      <c r="V928" t="s">
        <v>110</v>
      </c>
      <c r="W928" t="s">
        <v>262</v>
      </c>
      <c r="X928" t="s">
        <v>263</v>
      </c>
      <c r="Y928" t="s">
        <v>104</v>
      </c>
    </row>
    <row r="929" spans="1:25">
      <c r="A929">
        <v>10257</v>
      </c>
      <c r="B929">
        <v>49</v>
      </c>
      <c r="C929">
        <v>53.72</v>
      </c>
      <c r="D929">
        <v>3</v>
      </c>
      <c r="E929">
        <v>2632.28</v>
      </c>
      <c r="F929" t="s">
        <v>772</v>
      </c>
      <c r="G929" t="s">
        <v>93</v>
      </c>
      <c r="H929">
        <v>2</v>
      </c>
      <c r="I929">
        <v>6</v>
      </c>
      <c r="J929">
        <v>2004</v>
      </c>
      <c r="K929" t="s">
        <v>697</v>
      </c>
      <c r="L929">
        <v>62</v>
      </c>
      <c r="M929" t="s">
        <v>773</v>
      </c>
      <c r="N929" t="s">
        <v>514</v>
      </c>
      <c r="O929">
        <v>4085553659</v>
      </c>
      <c r="P929" t="s">
        <v>515</v>
      </c>
      <c r="R929" t="s">
        <v>516</v>
      </c>
      <c r="S929" t="s">
        <v>124</v>
      </c>
      <c r="T929">
        <v>94217</v>
      </c>
      <c r="U929" t="s">
        <v>100</v>
      </c>
      <c r="V929" t="s">
        <v>101</v>
      </c>
      <c r="W929" t="s">
        <v>175</v>
      </c>
      <c r="X929" t="s">
        <v>517</v>
      </c>
      <c r="Y929" t="s">
        <v>104</v>
      </c>
    </row>
    <row r="930" spans="1:25">
      <c r="A930">
        <v>10269</v>
      </c>
      <c r="B930">
        <v>32</v>
      </c>
      <c r="C930">
        <v>63.08</v>
      </c>
      <c r="D930">
        <v>1</v>
      </c>
      <c r="E930">
        <v>2018.56</v>
      </c>
      <c r="F930" t="s">
        <v>774</v>
      </c>
      <c r="G930" t="s">
        <v>93</v>
      </c>
      <c r="H930">
        <v>3</v>
      </c>
      <c r="I930">
        <v>7</v>
      </c>
      <c r="J930">
        <v>2004</v>
      </c>
      <c r="K930" t="s">
        <v>697</v>
      </c>
      <c r="L930">
        <v>62</v>
      </c>
      <c r="M930" t="s">
        <v>773</v>
      </c>
      <c r="N930" t="s">
        <v>225</v>
      </c>
      <c r="O930" t="s">
        <v>226</v>
      </c>
      <c r="P930" t="s">
        <v>227</v>
      </c>
      <c r="R930" t="s">
        <v>228</v>
      </c>
      <c r="T930">
        <v>5020</v>
      </c>
      <c r="U930" t="s">
        <v>229</v>
      </c>
      <c r="V930" t="s">
        <v>110</v>
      </c>
      <c r="W930" t="s">
        <v>230</v>
      </c>
      <c r="X930" t="s">
        <v>231</v>
      </c>
      <c r="Y930" t="s">
        <v>104</v>
      </c>
    </row>
    <row r="931" spans="1:25">
      <c r="A931">
        <v>10280</v>
      </c>
      <c r="B931">
        <v>43</v>
      </c>
      <c r="C931">
        <v>68.709999999999994</v>
      </c>
      <c r="D931">
        <v>5</v>
      </c>
      <c r="E931">
        <v>2954.53</v>
      </c>
      <c r="F931" t="s">
        <v>347</v>
      </c>
      <c r="G931" t="s">
        <v>93</v>
      </c>
      <c r="H931">
        <v>3</v>
      </c>
      <c r="I931">
        <v>8</v>
      </c>
      <c r="J931">
        <v>2004</v>
      </c>
      <c r="K931" t="s">
        <v>697</v>
      </c>
      <c r="L931">
        <v>62</v>
      </c>
      <c r="M931" t="s">
        <v>773</v>
      </c>
      <c r="N931" t="s">
        <v>348</v>
      </c>
      <c r="O931" t="s">
        <v>349</v>
      </c>
      <c r="P931" t="s">
        <v>350</v>
      </c>
      <c r="R931" t="s">
        <v>351</v>
      </c>
      <c r="T931">
        <v>10100</v>
      </c>
      <c r="U931" t="s">
        <v>352</v>
      </c>
      <c r="V931" t="s">
        <v>110</v>
      </c>
      <c r="W931" t="s">
        <v>353</v>
      </c>
      <c r="X931" t="s">
        <v>354</v>
      </c>
      <c r="Y931" t="s">
        <v>104</v>
      </c>
    </row>
    <row r="932" spans="1:25">
      <c r="A932">
        <v>10291</v>
      </c>
      <c r="B932">
        <v>37</v>
      </c>
      <c r="C932">
        <v>50.59</v>
      </c>
      <c r="D932">
        <v>14</v>
      </c>
      <c r="E932">
        <v>1871.83</v>
      </c>
      <c r="F932" s="4">
        <v>38208</v>
      </c>
      <c r="G932" t="s">
        <v>93</v>
      </c>
      <c r="H932">
        <v>3</v>
      </c>
      <c r="I932">
        <v>9</v>
      </c>
      <c r="J932">
        <v>2004</v>
      </c>
      <c r="K932" t="s">
        <v>697</v>
      </c>
      <c r="L932">
        <v>62</v>
      </c>
      <c r="M932" t="s">
        <v>773</v>
      </c>
      <c r="N932" t="s">
        <v>355</v>
      </c>
      <c r="O932" t="s">
        <v>356</v>
      </c>
      <c r="P932" t="s">
        <v>357</v>
      </c>
      <c r="R932" t="s">
        <v>358</v>
      </c>
      <c r="T932" t="s">
        <v>359</v>
      </c>
      <c r="U932" t="s">
        <v>273</v>
      </c>
      <c r="V932" t="s">
        <v>110</v>
      </c>
      <c r="W932" t="s">
        <v>360</v>
      </c>
      <c r="X932" t="s">
        <v>295</v>
      </c>
      <c r="Y932" t="s">
        <v>104</v>
      </c>
    </row>
    <row r="933" spans="1:25">
      <c r="A933">
        <v>10304</v>
      </c>
      <c r="B933">
        <v>24</v>
      </c>
      <c r="C933">
        <v>64.959999999999994</v>
      </c>
      <c r="D933">
        <v>9</v>
      </c>
      <c r="E933">
        <v>1559.04</v>
      </c>
      <c r="F933" s="4">
        <v>38301</v>
      </c>
      <c r="G933" t="s">
        <v>93</v>
      </c>
      <c r="H933">
        <v>4</v>
      </c>
      <c r="I933">
        <v>10</v>
      </c>
      <c r="J933">
        <v>2004</v>
      </c>
      <c r="K933" t="s">
        <v>697</v>
      </c>
      <c r="L933">
        <v>62</v>
      </c>
      <c r="M933" t="s">
        <v>773</v>
      </c>
      <c r="N933" t="s">
        <v>361</v>
      </c>
      <c r="O933" t="s">
        <v>362</v>
      </c>
      <c r="P933" t="s">
        <v>363</v>
      </c>
      <c r="R933" t="s">
        <v>364</v>
      </c>
      <c r="T933">
        <v>78000</v>
      </c>
      <c r="U933" t="s">
        <v>109</v>
      </c>
      <c r="V933" t="s">
        <v>110</v>
      </c>
      <c r="W933" t="s">
        <v>365</v>
      </c>
      <c r="X933" t="s">
        <v>118</v>
      </c>
      <c r="Y933" t="s">
        <v>104</v>
      </c>
    </row>
    <row r="934" spans="1:25">
      <c r="A934">
        <v>10312</v>
      </c>
      <c r="B934">
        <v>35</v>
      </c>
      <c r="C934">
        <v>53.72</v>
      </c>
      <c r="D934">
        <v>6</v>
      </c>
      <c r="E934">
        <v>1880.2</v>
      </c>
      <c r="F934" t="s">
        <v>366</v>
      </c>
      <c r="G934" t="s">
        <v>93</v>
      </c>
      <c r="H934">
        <v>4</v>
      </c>
      <c r="I934">
        <v>10</v>
      </c>
      <c r="J934">
        <v>2004</v>
      </c>
      <c r="K934" t="s">
        <v>697</v>
      </c>
      <c r="L934">
        <v>62</v>
      </c>
      <c r="M934" t="s">
        <v>773</v>
      </c>
      <c r="N934" t="s">
        <v>367</v>
      </c>
      <c r="O934">
        <v>4155551450</v>
      </c>
      <c r="P934" t="s">
        <v>368</v>
      </c>
      <c r="R934" t="s">
        <v>369</v>
      </c>
      <c r="S934" t="s">
        <v>124</v>
      </c>
      <c r="T934">
        <v>97562</v>
      </c>
      <c r="U934" t="s">
        <v>100</v>
      </c>
      <c r="V934" t="s">
        <v>101</v>
      </c>
      <c r="W934" t="s">
        <v>370</v>
      </c>
      <c r="X934" t="s">
        <v>371</v>
      </c>
      <c r="Y934" t="s">
        <v>104</v>
      </c>
    </row>
    <row r="935" spans="1:25">
      <c r="A935">
        <v>10322</v>
      </c>
      <c r="B935">
        <v>41</v>
      </c>
      <c r="C935">
        <v>29.87</v>
      </c>
      <c r="D935">
        <v>13</v>
      </c>
      <c r="E935">
        <v>1224.67</v>
      </c>
      <c r="F935" s="4">
        <v>38088</v>
      </c>
      <c r="G935" t="s">
        <v>93</v>
      </c>
      <c r="H935">
        <v>4</v>
      </c>
      <c r="I935">
        <v>11</v>
      </c>
      <c r="J935">
        <v>2004</v>
      </c>
      <c r="K935" t="s">
        <v>697</v>
      </c>
      <c r="L935">
        <v>62</v>
      </c>
      <c r="M935" t="s">
        <v>773</v>
      </c>
      <c r="N935" t="s">
        <v>372</v>
      </c>
      <c r="O935">
        <v>6035558647</v>
      </c>
      <c r="P935" t="s">
        <v>373</v>
      </c>
      <c r="R935" t="s">
        <v>374</v>
      </c>
      <c r="S935" t="s">
        <v>375</v>
      </c>
      <c r="T935">
        <v>62005</v>
      </c>
      <c r="U935" t="s">
        <v>100</v>
      </c>
      <c r="V935" t="s">
        <v>101</v>
      </c>
      <c r="W935" t="s">
        <v>125</v>
      </c>
      <c r="X935" t="s">
        <v>371</v>
      </c>
      <c r="Y935" t="s">
        <v>104</v>
      </c>
    </row>
    <row r="936" spans="1:25">
      <c r="A936">
        <v>10332</v>
      </c>
      <c r="B936">
        <v>26</v>
      </c>
      <c r="C936">
        <v>100</v>
      </c>
      <c r="D936">
        <v>17</v>
      </c>
      <c r="E936">
        <v>2979.08</v>
      </c>
      <c r="F936" t="s">
        <v>695</v>
      </c>
      <c r="G936" t="s">
        <v>93</v>
      </c>
      <c r="H936">
        <v>4</v>
      </c>
      <c r="I936">
        <v>11</v>
      </c>
      <c r="J936">
        <v>2004</v>
      </c>
      <c r="K936" t="s">
        <v>697</v>
      </c>
      <c r="L936">
        <v>62</v>
      </c>
      <c r="M936" t="s">
        <v>773</v>
      </c>
      <c r="N936" t="s">
        <v>624</v>
      </c>
      <c r="O936" t="s">
        <v>625</v>
      </c>
      <c r="P936" t="s">
        <v>626</v>
      </c>
      <c r="R936" t="s">
        <v>627</v>
      </c>
      <c r="T936" t="s">
        <v>628</v>
      </c>
      <c r="U936" t="s">
        <v>252</v>
      </c>
      <c r="V936" t="s">
        <v>110</v>
      </c>
      <c r="W936" t="s">
        <v>629</v>
      </c>
      <c r="X936" t="s">
        <v>167</v>
      </c>
      <c r="Y936" t="s">
        <v>104</v>
      </c>
    </row>
    <row r="937" spans="1:25">
      <c r="A937">
        <v>10347</v>
      </c>
      <c r="B937">
        <v>34</v>
      </c>
      <c r="C937">
        <v>64.959999999999994</v>
      </c>
      <c r="D937">
        <v>10</v>
      </c>
      <c r="E937">
        <v>2208.64</v>
      </c>
      <c r="F937" t="s">
        <v>377</v>
      </c>
      <c r="G937" t="s">
        <v>93</v>
      </c>
      <c r="H937">
        <v>4</v>
      </c>
      <c r="I937">
        <v>11</v>
      </c>
      <c r="J937">
        <v>2004</v>
      </c>
      <c r="K937" t="s">
        <v>697</v>
      </c>
      <c r="L937">
        <v>62</v>
      </c>
      <c r="M937" t="s">
        <v>773</v>
      </c>
      <c r="N937" t="s">
        <v>162</v>
      </c>
      <c r="O937" t="s">
        <v>163</v>
      </c>
      <c r="P937" t="s">
        <v>164</v>
      </c>
      <c r="Q937" t="s">
        <v>165</v>
      </c>
      <c r="R937" t="s">
        <v>166</v>
      </c>
      <c r="S937" t="s">
        <v>167</v>
      </c>
      <c r="T937">
        <v>3004</v>
      </c>
      <c r="U937" t="s">
        <v>168</v>
      </c>
      <c r="V937" t="s">
        <v>169</v>
      </c>
      <c r="W937" t="s">
        <v>170</v>
      </c>
      <c r="X937" t="s">
        <v>171</v>
      </c>
      <c r="Y937" t="s">
        <v>104</v>
      </c>
    </row>
    <row r="938" spans="1:25">
      <c r="A938">
        <v>10357</v>
      </c>
      <c r="B938">
        <v>49</v>
      </c>
      <c r="C938">
        <v>70.58</v>
      </c>
      <c r="D938">
        <v>5</v>
      </c>
      <c r="E938">
        <v>3458.42</v>
      </c>
      <c r="F938" s="4">
        <v>38272</v>
      </c>
      <c r="G938" t="s">
        <v>93</v>
      </c>
      <c r="H938">
        <v>4</v>
      </c>
      <c r="I938">
        <v>12</v>
      </c>
      <c r="J938">
        <v>2004</v>
      </c>
      <c r="K938" t="s">
        <v>697</v>
      </c>
      <c r="L938">
        <v>62</v>
      </c>
      <c r="M938" t="s">
        <v>773</v>
      </c>
      <c r="N938" t="s">
        <v>367</v>
      </c>
      <c r="O938">
        <v>4155551450</v>
      </c>
      <c r="P938" t="s">
        <v>368</v>
      </c>
      <c r="R938" t="s">
        <v>369</v>
      </c>
      <c r="S938" t="s">
        <v>124</v>
      </c>
      <c r="T938">
        <v>97562</v>
      </c>
      <c r="U938" t="s">
        <v>100</v>
      </c>
      <c r="V938" t="s">
        <v>101</v>
      </c>
      <c r="W938" t="s">
        <v>370</v>
      </c>
      <c r="X938" t="s">
        <v>371</v>
      </c>
      <c r="Y938" t="s">
        <v>119</v>
      </c>
    </row>
    <row r="939" spans="1:25">
      <c r="A939">
        <v>10369</v>
      </c>
      <c r="B939">
        <v>28</v>
      </c>
      <c r="C939">
        <v>44.21</v>
      </c>
      <c r="D939">
        <v>6</v>
      </c>
      <c r="E939">
        <v>1237.8800000000001</v>
      </c>
      <c r="F939" t="s">
        <v>378</v>
      </c>
      <c r="G939" t="s">
        <v>93</v>
      </c>
      <c r="H939">
        <v>1</v>
      </c>
      <c r="I939">
        <v>1</v>
      </c>
      <c r="J939">
        <v>2005</v>
      </c>
      <c r="K939" t="s">
        <v>697</v>
      </c>
      <c r="L939">
        <v>62</v>
      </c>
      <c r="M939" t="s">
        <v>773</v>
      </c>
      <c r="N939" t="s">
        <v>379</v>
      </c>
      <c r="O939">
        <v>6175558555</v>
      </c>
      <c r="P939" t="s">
        <v>380</v>
      </c>
      <c r="R939" t="s">
        <v>381</v>
      </c>
      <c r="S939" t="s">
        <v>200</v>
      </c>
      <c r="T939">
        <v>58339</v>
      </c>
      <c r="U939" t="s">
        <v>100</v>
      </c>
      <c r="V939" t="s">
        <v>101</v>
      </c>
      <c r="W939" t="s">
        <v>370</v>
      </c>
      <c r="X939" t="s">
        <v>382</v>
      </c>
      <c r="Y939" t="s">
        <v>104</v>
      </c>
    </row>
    <row r="940" spans="1:25">
      <c r="A940">
        <v>10381</v>
      </c>
      <c r="B940">
        <v>40</v>
      </c>
      <c r="C940">
        <v>68.08</v>
      </c>
      <c r="D940">
        <v>4</v>
      </c>
      <c r="E940">
        <v>2723.2</v>
      </c>
      <c r="F940" t="s">
        <v>383</v>
      </c>
      <c r="G940" t="s">
        <v>93</v>
      </c>
      <c r="H940">
        <v>1</v>
      </c>
      <c r="I940">
        <v>2</v>
      </c>
      <c r="J940">
        <v>2005</v>
      </c>
      <c r="K940" t="s">
        <v>697</v>
      </c>
      <c r="L940">
        <v>62</v>
      </c>
      <c r="M940" t="s">
        <v>773</v>
      </c>
      <c r="N940" t="s">
        <v>127</v>
      </c>
      <c r="O940">
        <v>6505551386</v>
      </c>
      <c r="P940" t="s">
        <v>128</v>
      </c>
      <c r="R940" t="s">
        <v>129</v>
      </c>
      <c r="S940" t="s">
        <v>124</v>
      </c>
      <c r="U940" t="s">
        <v>100</v>
      </c>
      <c r="V940" t="s">
        <v>101</v>
      </c>
      <c r="W940" t="s">
        <v>130</v>
      </c>
      <c r="X940" t="s">
        <v>126</v>
      </c>
      <c r="Y940" t="s">
        <v>104</v>
      </c>
    </row>
    <row r="941" spans="1:25">
      <c r="A941">
        <v>10392</v>
      </c>
      <c r="B941">
        <v>37</v>
      </c>
      <c r="C941">
        <v>59.96</v>
      </c>
      <c r="D941">
        <v>3</v>
      </c>
      <c r="E941">
        <v>2218.52</v>
      </c>
      <c r="F941" s="4">
        <v>38628</v>
      </c>
      <c r="G941" t="s">
        <v>93</v>
      </c>
      <c r="H941">
        <v>1</v>
      </c>
      <c r="I941">
        <v>3</v>
      </c>
      <c r="J941">
        <v>2005</v>
      </c>
      <c r="K941" t="s">
        <v>697</v>
      </c>
      <c r="L941">
        <v>62</v>
      </c>
      <c r="M941" t="s">
        <v>773</v>
      </c>
      <c r="N941" t="s">
        <v>527</v>
      </c>
      <c r="O941" t="s">
        <v>528</v>
      </c>
      <c r="P941" t="s">
        <v>529</v>
      </c>
      <c r="R941" t="s">
        <v>530</v>
      </c>
      <c r="T941">
        <v>8010</v>
      </c>
      <c r="U941" t="s">
        <v>229</v>
      </c>
      <c r="V941" t="s">
        <v>110</v>
      </c>
      <c r="W941" t="s">
        <v>531</v>
      </c>
      <c r="X941" t="s">
        <v>532</v>
      </c>
      <c r="Y941" t="s">
        <v>104</v>
      </c>
    </row>
    <row r="942" spans="1:25">
      <c r="A942">
        <v>10423</v>
      </c>
      <c r="B942">
        <v>31</v>
      </c>
      <c r="C942">
        <v>53.72</v>
      </c>
      <c r="D942">
        <v>3</v>
      </c>
      <c r="E942">
        <v>1665.32</v>
      </c>
      <c r="F942" t="s">
        <v>718</v>
      </c>
      <c r="G942" t="s">
        <v>400</v>
      </c>
      <c r="H942">
        <v>2</v>
      </c>
      <c r="I942">
        <v>5</v>
      </c>
      <c r="J942">
        <v>2005</v>
      </c>
      <c r="K942" t="s">
        <v>697</v>
      </c>
      <c r="L942">
        <v>62</v>
      </c>
      <c r="M942" t="s">
        <v>773</v>
      </c>
      <c r="N942" t="s">
        <v>475</v>
      </c>
      <c r="O942" t="s">
        <v>476</v>
      </c>
      <c r="P942" t="s">
        <v>477</v>
      </c>
      <c r="R942" t="s">
        <v>478</v>
      </c>
      <c r="T942" t="s">
        <v>479</v>
      </c>
      <c r="U942" t="s">
        <v>480</v>
      </c>
      <c r="V942" t="s">
        <v>110</v>
      </c>
      <c r="W942" t="s">
        <v>481</v>
      </c>
      <c r="X942" t="s">
        <v>482</v>
      </c>
      <c r="Y942" t="s">
        <v>104</v>
      </c>
    </row>
    <row r="943" spans="1:25">
      <c r="A943">
        <v>10106</v>
      </c>
      <c r="B943">
        <v>41</v>
      </c>
      <c r="C943">
        <v>83.44</v>
      </c>
      <c r="D943">
        <v>18</v>
      </c>
      <c r="E943">
        <v>3421.04</v>
      </c>
      <c r="F943" t="s">
        <v>725</v>
      </c>
      <c r="G943" t="s">
        <v>93</v>
      </c>
      <c r="H943">
        <v>1</v>
      </c>
      <c r="I943">
        <v>2</v>
      </c>
      <c r="J943">
        <v>2003</v>
      </c>
      <c r="K943" t="s">
        <v>775</v>
      </c>
      <c r="L943">
        <v>86</v>
      </c>
      <c r="M943" t="s">
        <v>776</v>
      </c>
      <c r="N943" t="s">
        <v>703</v>
      </c>
      <c r="O943" t="s">
        <v>704</v>
      </c>
      <c r="P943" t="s">
        <v>705</v>
      </c>
      <c r="R943" t="s">
        <v>706</v>
      </c>
      <c r="T943">
        <v>24100</v>
      </c>
      <c r="U943" t="s">
        <v>352</v>
      </c>
      <c r="V943" t="s">
        <v>110</v>
      </c>
      <c r="W943" t="s">
        <v>707</v>
      </c>
      <c r="X943" t="s">
        <v>708</v>
      </c>
      <c r="Y943" t="s">
        <v>119</v>
      </c>
    </row>
    <row r="944" spans="1:25">
      <c r="A944">
        <v>10119</v>
      </c>
      <c r="B944">
        <v>21</v>
      </c>
      <c r="C944">
        <v>89.46</v>
      </c>
      <c r="D944">
        <v>9</v>
      </c>
      <c r="E944">
        <v>1878.66</v>
      </c>
      <c r="F944" t="s">
        <v>432</v>
      </c>
      <c r="G944" t="s">
        <v>93</v>
      </c>
      <c r="H944">
        <v>2</v>
      </c>
      <c r="I944">
        <v>4</v>
      </c>
      <c r="J944">
        <v>2003</v>
      </c>
      <c r="K944" t="s">
        <v>775</v>
      </c>
      <c r="L944">
        <v>86</v>
      </c>
      <c r="M944" t="s">
        <v>776</v>
      </c>
      <c r="N944" t="s">
        <v>225</v>
      </c>
      <c r="O944" t="s">
        <v>226</v>
      </c>
      <c r="P944" t="s">
        <v>227</v>
      </c>
      <c r="R944" t="s">
        <v>228</v>
      </c>
      <c r="T944">
        <v>5020</v>
      </c>
      <c r="U944" t="s">
        <v>229</v>
      </c>
      <c r="V944" t="s">
        <v>110</v>
      </c>
      <c r="W944" t="s">
        <v>230</v>
      </c>
      <c r="X944" t="s">
        <v>231</v>
      </c>
      <c r="Y944" t="s">
        <v>104</v>
      </c>
    </row>
    <row r="945" spans="1:25">
      <c r="A945">
        <v>10130</v>
      </c>
      <c r="B945">
        <v>40</v>
      </c>
      <c r="C945">
        <v>96.34</v>
      </c>
      <c r="D945">
        <v>2</v>
      </c>
      <c r="E945">
        <v>3853.6</v>
      </c>
      <c r="F945" t="s">
        <v>728</v>
      </c>
      <c r="G945" t="s">
        <v>93</v>
      </c>
      <c r="H945">
        <v>2</v>
      </c>
      <c r="I945">
        <v>6</v>
      </c>
      <c r="J945">
        <v>2003</v>
      </c>
      <c r="K945" t="s">
        <v>775</v>
      </c>
      <c r="L945">
        <v>86</v>
      </c>
      <c r="M945" t="s">
        <v>776</v>
      </c>
      <c r="N945" t="s">
        <v>777</v>
      </c>
      <c r="O945">
        <v>6175558428</v>
      </c>
      <c r="P945" t="s">
        <v>778</v>
      </c>
      <c r="R945" t="s">
        <v>381</v>
      </c>
      <c r="S945" t="s">
        <v>200</v>
      </c>
      <c r="T945">
        <v>58339</v>
      </c>
      <c r="U945" t="s">
        <v>100</v>
      </c>
      <c r="V945" t="s">
        <v>101</v>
      </c>
      <c r="W945" t="s">
        <v>671</v>
      </c>
      <c r="X945" t="s">
        <v>336</v>
      </c>
      <c r="Y945" t="s">
        <v>119</v>
      </c>
    </row>
    <row r="946" spans="1:25">
      <c r="A946">
        <v>10143</v>
      </c>
      <c r="B946">
        <v>46</v>
      </c>
      <c r="C946">
        <v>74.84</v>
      </c>
      <c r="D946">
        <v>13</v>
      </c>
      <c r="E946">
        <v>3442.64</v>
      </c>
      <c r="F946" s="4">
        <v>37902</v>
      </c>
      <c r="G946" t="s">
        <v>93</v>
      </c>
      <c r="H946">
        <v>3</v>
      </c>
      <c r="I946">
        <v>8</v>
      </c>
      <c r="J946">
        <v>2003</v>
      </c>
      <c r="K946" t="s">
        <v>775</v>
      </c>
      <c r="L946">
        <v>86</v>
      </c>
      <c r="M946" t="s">
        <v>776</v>
      </c>
      <c r="N946" t="s">
        <v>439</v>
      </c>
      <c r="O946">
        <v>5085559555</v>
      </c>
      <c r="P946" t="s">
        <v>440</v>
      </c>
      <c r="R946" t="s">
        <v>244</v>
      </c>
      <c r="S946" t="s">
        <v>200</v>
      </c>
      <c r="T946">
        <v>50553</v>
      </c>
      <c r="U946" t="s">
        <v>100</v>
      </c>
      <c r="V946" t="s">
        <v>101</v>
      </c>
      <c r="W946" t="s">
        <v>441</v>
      </c>
      <c r="X946" t="s">
        <v>442</v>
      </c>
      <c r="Y946" t="s">
        <v>119</v>
      </c>
    </row>
    <row r="947" spans="1:25">
      <c r="A947">
        <v>10155</v>
      </c>
      <c r="B947">
        <v>44</v>
      </c>
      <c r="C947">
        <v>79.14</v>
      </c>
      <c r="D947">
        <v>11</v>
      </c>
      <c r="E947">
        <v>3482.16</v>
      </c>
      <c r="F947" s="4">
        <v>37782</v>
      </c>
      <c r="G947" t="s">
        <v>93</v>
      </c>
      <c r="H947">
        <v>4</v>
      </c>
      <c r="I947">
        <v>10</v>
      </c>
      <c r="J947">
        <v>2003</v>
      </c>
      <c r="K947" t="s">
        <v>775</v>
      </c>
      <c r="L947">
        <v>86</v>
      </c>
      <c r="M947" t="s">
        <v>776</v>
      </c>
      <c r="N947" t="s">
        <v>204</v>
      </c>
      <c r="O947" t="s">
        <v>205</v>
      </c>
      <c r="P947" t="s">
        <v>206</v>
      </c>
      <c r="R947" t="s">
        <v>207</v>
      </c>
      <c r="T947">
        <v>21240</v>
      </c>
      <c r="U947" t="s">
        <v>208</v>
      </c>
      <c r="V947" t="s">
        <v>110</v>
      </c>
      <c r="W947" t="s">
        <v>209</v>
      </c>
      <c r="X947" t="s">
        <v>210</v>
      </c>
      <c r="Y947" t="s">
        <v>119</v>
      </c>
    </row>
    <row r="948" spans="1:25">
      <c r="A948">
        <v>10167</v>
      </c>
      <c r="B948">
        <v>46</v>
      </c>
      <c r="C948">
        <v>73.12</v>
      </c>
      <c r="D948">
        <v>7</v>
      </c>
      <c r="E948">
        <v>3363.52</v>
      </c>
      <c r="F948" t="s">
        <v>443</v>
      </c>
      <c r="G948" t="s">
        <v>444</v>
      </c>
      <c r="H948">
        <v>4</v>
      </c>
      <c r="I948">
        <v>10</v>
      </c>
      <c r="J948">
        <v>2003</v>
      </c>
      <c r="K948" t="s">
        <v>775</v>
      </c>
      <c r="L948">
        <v>86</v>
      </c>
      <c r="M948" t="s">
        <v>776</v>
      </c>
      <c r="N948" t="s">
        <v>355</v>
      </c>
      <c r="O948" t="s">
        <v>356</v>
      </c>
      <c r="P948" t="s">
        <v>357</v>
      </c>
      <c r="R948" t="s">
        <v>358</v>
      </c>
      <c r="T948" t="s">
        <v>359</v>
      </c>
      <c r="U948" t="s">
        <v>273</v>
      </c>
      <c r="V948" t="s">
        <v>110</v>
      </c>
      <c r="W948" t="s">
        <v>360</v>
      </c>
      <c r="X948" t="s">
        <v>295</v>
      </c>
      <c r="Y948" t="s">
        <v>119</v>
      </c>
    </row>
    <row r="949" spans="1:25">
      <c r="A949">
        <v>10178</v>
      </c>
      <c r="B949">
        <v>41</v>
      </c>
      <c r="C949">
        <v>81.72</v>
      </c>
      <c r="D949">
        <v>10</v>
      </c>
      <c r="E949">
        <v>3350.52</v>
      </c>
      <c r="F949" s="4">
        <v>37844</v>
      </c>
      <c r="G949" t="s">
        <v>93</v>
      </c>
      <c r="H949">
        <v>4</v>
      </c>
      <c r="I949">
        <v>11</v>
      </c>
      <c r="J949">
        <v>2003</v>
      </c>
      <c r="K949" t="s">
        <v>775</v>
      </c>
      <c r="L949">
        <v>86</v>
      </c>
      <c r="M949" t="s">
        <v>776</v>
      </c>
      <c r="N949" t="s">
        <v>445</v>
      </c>
      <c r="O949" t="s">
        <v>446</v>
      </c>
      <c r="P949" t="s">
        <v>447</v>
      </c>
      <c r="R949" t="s">
        <v>448</v>
      </c>
      <c r="T949">
        <v>31000</v>
      </c>
      <c r="U949" t="s">
        <v>109</v>
      </c>
      <c r="V949" t="s">
        <v>110</v>
      </c>
      <c r="W949" t="s">
        <v>449</v>
      </c>
      <c r="X949" t="s">
        <v>450</v>
      </c>
      <c r="Y949" t="s">
        <v>119</v>
      </c>
    </row>
    <row r="950" spans="1:25">
      <c r="A950">
        <v>10186</v>
      </c>
      <c r="B950">
        <v>32</v>
      </c>
      <c r="C950">
        <v>89.46</v>
      </c>
      <c r="D950">
        <v>7</v>
      </c>
      <c r="E950">
        <v>2862.72</v>
      </c>
      <c r="F950" t="s">
        <v>451</v>
      </c>
      <c r="G950" t="s">
        <v>93</v>
      </c>
      <c r="H950">
        <v>4</v>
      </c>
      <c r="I950">
        <v>11</v>
      </c>
      <c r="J950">
        <v>2003</v>
      </c>
      <c r="K950" t="s">
        <v>775</v>
      </c>
      <c r="L950">
        <v>86</v>
      </c>
      <c r="M950" t="s">
        <v>776</v>
      </c>
      <c r="N950" t="s">
        <v>452</v>
      </c>
      <c r="O950" t="s">
        <v>453</v>
      </c>
      <c r="P950" t="s">
        <v>454</v>
      </c>
      <c r="R950" t="s">
        <v>436</v>
      </c>
      <c r="T950" t="s">
        <v>455</v>
      </c>
      <c r="U950" t="s">
        <v>252</v>
      </c>
      <c r="V950" t="s">
        <v>110</v>
      </c>
      <c r="W950" t="s">
        <v>456</v>
      </c>
      <c r="X950" t="s">
        <v>457</v>
      </c>
      <c r="Y950" t="s">
        <v>104</v>
      </c>
    </row>
    <row r="951" spans="1:25">
      <c r="A951">
        <v>10197</v>
      </c>
      <c r="B951">
        <v>46</v>
      </c>
      <c r="C951">
        <v>87.74</v>
      </c>
      <c r="D951">
        <v>4</v>
      </c>
      <c r="E951">
        <v>4036.04</v>
      </c>
      <c r="F951" t="s">
        <v>458</v>
      </c>
      <c r="G951" t="s">
        <v>93</v>
      </c>
      <c r="H951">
        <v>4</v>
      </c>
      <c r="I951">
        <v>11</v>
      </c>
      <c r="J951">
        <v>2003</v>
      </c>
      <c r="K951" t="s">
        <v>775</v>
      </c>
      <c r="L951">
        <v>86</v>
      </c>
      <c r="M951" t="s">
        <v>776</v>
      </c>
      <c r="N951" t="s">
        <v>459</v>
      </c>
      <c r="O951" t="s">
        <v>460</v>
      </c>
      <c r="P951" t="s">
        <v>461</v>
      </c>
      <c r="R951" t="s">
        <v>462</v>
      </c>
      <c r="T951">
        <v>8022</v>
      </c>
      <c r="U951" t="s">
        <v>261</v>
      </c>
      <c r="V951" t="s">
        <v>110</v>
      </c>
      <c r="W951" t="s">
        <v>463</v>
      </c>
      <c r="X951" t="s">
        <v>464</v>
      </c>
      <c r="Y951" t="s">
        <v>119</v>
      </c>
    </row>
    <row r="952" spans="1:25">
      <c r="A952">
        <v>10209</v>
      </c>
      <c r="B952">
        <v>28</v>
      </c>
      <c r="C952">
        <v>100</v>
      </c>
      <c r="D952">
        <v>6</v>
      </c>
      <c r="E952">
        <v>2817.92</v>
      </c>
      <c r="F952" s="4">
        <v>38231</v>
      </c>
      <c r="G952" t="s">
        <v>93</v>
      </c>
      <c r="H952">
        <v>1</v>
      </c>
      <c r="I952">
        <v>1</v>
      </c>
      <c r="J952">
        <v>2004</v>
      </c>
      <c r="K952" t="s">
        <v>775</v>
      </c>
      <c r="L952">
        <v>86</v>
      </c>
      <c r="M952" t="s">
        <v>776</v>
      </c>
      <c r="N952" t="s">
        <v>465</v>
      </c>
      <c r="O952">
        <v>2155554369</v>
      </c>
      <c r="P952" t="s">
        <v>466</v>
      </c>
      <c r="R952" t="s">
        <v>467</v>
      </c>
      <c r="S952" t="s">
        <v>124</v>
      </c>
      <c r="U952" t="s">
        <v>100</v>
      </c>
      <c r="V952" t="s">
        <v>101</v>
      </c>
      <c r="W952" t="s">
        <v>468</v>
      </c>
      <c r="X952" t="s">
        <v>176</v>
      </c>
      <c r="Y952" t="s">
        <v>104</v>
      </c>
    </row>
    <row r="953" spans="1:25">
      <c r="A953">
        <v>10222</v>
      </c>
      <c r="B953">
        <v>49</v>
      </c>
      <c r="C953">
        <v>94.62</v>
      </c>
      <c r="D953">
        <v>10</v>
      </c>
      <c r="E953">
        <v>4636.38</v>
      </c>
      <c r="F953" t="s">
        <v>469</v>
      </c>
      <c r="G953" t="s">
        <v>93</v>
      </c>
      <c r="H953">
        <v>1</v>
      </c>
      <c r="I953">
        <v>2</v>
      </c>
      <c r="J953">
        <v>2004</v>
      </c>
      <c r="K953" t="s">
        <v>775</v>
      </c>
      <c r="L953">
        <v>86</v>
      </c>
      <c r="M953" t="s">
        <v>776</v>
      </c>
      <c r="N953" t="s">
        <v>470</v>
      </c>
      <c r="O953">
        <v>7605558146</v>
      </c>
      <c r="P953" t="s">
        <v>471</v>
      </c>
      <c r="R953" t="s">
        <v>472</v>
      </c>
      <c r="S953" t="s">
        <v>124</v>
      </c>
      <c r="T953">
        <v>91217</v>
      </c>
      <c r="U953" t="s">
        <v>100</v>
      </c>
      <c r="V953" t="s">
        <v>101</v>
      </c>
      <c r="W953" t="s">
        <v>6</v>
      </c>
      <c r="X953" t="s">
        <v>371</v>
      </c>
      <c r="Y953" t="s">
        <v>119</v>
      </c>
    </row>
    <row r="954" spans="1:25">
      <c r="A954">
        <v>10248</v>
      </c>
      <c r="B954">
        <v>21</v>
      </c>
      <c r="C954">
        <v>73.98</v>
      </c>
      <c r="D954">
        <v>1</v>
      </c>
      <c r="E954">
        <v>1553.58</v>
      </c>
      <c r="F954" s="4">
        <v>38173</v>
      </c>
      <c r="G954" t="s">
        <v>444</v>
      </c>
      <c r="H954">
        <v>2</v>
      </c>
      <c r="I954">
        <v>5</v>
      </c>
      <c r="J954">
        <v>2004</v>
      </c>
      <c r="K954" t="s">
        <v>775</v>
      </c>
      <c r="L954">
        <v>86</v>
      </c>
      <c r="M954" t="s">
        <v>776</v>
      </c>
      <c r="N954" t="s">
        <v>96</v>
      </c>
      <c r="O954">
        <v>2125557818</v>
      </c>
      <c r="P954" t="s">
        <v>97</v>
      </c>
      <c r="R954" t="s">
        <v>98</v>
      </c>
      <c r="S954" t="s">
        <v>99</v>
      </c>
      <c r="T954">
        <v>10022</v>
      </c>
      <c r="U954" t="s">
        <v>100</v>
      </c>
      <c r="V954" t="s">
        <v>101</v>
      </c>
      <c r="W954" t="s">
        <v>102</v>
      </c>
      <c r="X954" t="s">
        <v>103</v>
      </c>
      <c r="Y954" t="s">
        <v>104</v>
      </c>
    </row>
    <row r="955" spans="1:25">
      <c r="A955">
        <v>10262</v>
      </c>
      <c r="B955">
        <v>32</v>
      </c>
      <c r="C955">
        <v>84.3</v>
      </c>
      <c r="D955">
        <v>15</v>
      </c>
      <c r="E955">
        <v>2697.6</v>
      </c>
      <c r="F955" t="s">
        <v>734</v>
      </c>
      <c r="G955" t="s">
        <v>444</v>
      </c>
      <c r="H955">
        <v>2</v>
      </c>
      <c r="I955">
        <v>6</v>
      </c>
      <c r="J955">
        <v>2004</v>
      </c>
      <c r="K955" t="s">
        <v>775</v>
      </c>
      <c r="L955">
        <v>86</v>
      </c>
      <c r="M955" t="s">
        <v>776</v>
      </c>
      <c r="N955" t="s">
        <v>257</v>
      </c>
      <c r="O955" t="s">
        <v>258</v>
      </c>
      <c r="P955" t="s">
        <v>259</v>
      </c>
      <c r="R955" t="s">
        <v>260</v>
      </c>
      <c r="T955">
        <v>28034</v>
      </c>
      <c r="U955" t="s">
        <v>261</v>
      </c>
      <c r="V955" t="s">
        <v>110</v>
      </c>
      <c r="W955" t="s">
        <v>262</v>
      </c>
      <c r="X955" t="s">
        <v>263</v>
      </c>
      <c r="Y955" t="s">
        <v>104</v>
      </c>
    </row>
    <row r="956" spans="1:25">
      <c r="A956">
        <v>10273</v>
      </c>
      <c r="B956">
        <v>34</v>
      </c>
      <c r="C956">
        <v>98.06</v>
      </c>
      <c r="D956">
        <v>2</v>
      </c>
      <c r="E956">
        <v>3334.04</v>
      </c>
      <c r="F956" t="s">
        <v>474</v>
      </c>
      <c r="G956" t="s">
        <v>93</v>
      </c>
      <c r="H956">
        <v>3</v>
      </c>
      <c r="I956">
        <v>7</v>
      </c>
      <c r="J956">
        <v>2004</v>
      </c>
      <c r="K956" t="s">
        <v>775</v>
      </c>
      <c r="L956">
        <v>86</v>
      </c>
      <c r="M956" t="s">
        <v>776</v>
      </c>
      <c r="N956" t="s">
        <v>475</v>
      </c>
      <c r="O956" t="s">
        <v>476</v>
      </c>
      <c r="P956" t="s">
        <v>477</v>
      </c>
      <c r="R956" t="s">
        <v>478</v>
      </c>
      <c r="T956" t="s">
        <v>479</v>
      </c>
      <c r="U956" t="s">
        <v>480</v>
      </c>
      <c r="V956" t="s">
        <v>110</v>
      </c>
      <c r="W956" t="s">
        <v>481</v>
      </c>
      <c r="X956" t="s">
        <v>482</v>
      </c>
      <c r="Y956" t="s">
        <v>119</v>
      </c>
    </row>
    <row r="957" spans="1:25">
      <c r="A957">
        <v>10283</v>
      </c>
      <c r="B957">
        <v>21</v>
      </c>
      <c r="C957">
        <v>98.06</v>
      </c>
      <c r="D957">
        <v>4</v>
      </c>
      <c r="E957">
        <v>2059.2600000000002</v>
      </c>
      <c r="F957" t="s">
        <v>483</v>
      </c>
      <c r="G957" t="s">
        <v>93</v>
      </c>
      <c r="H957">
        <v>3</v>
      </c>
      <c r="I957">
        <v>8</v>
      </c>
      <c r="J957">
        <v>2004</v>
      </c>
      <c r="K957" t="s">
        <v>775</v>
      </c>
      <c r="L957">
        <v>86</v>
      </c>
      <c r="M957" t="s">
        <v>776</v>
      </c>
      <c r="N957" t="s">
        <v>484</v>
      </c>
      <c r="O957" t="s">
        <v>485</v>
      </c>
      <c r="P957" t="s">
        <v>486</v>
      </c>
      <c r="R957" t="s">
        <v>487</v>
      </c>
      <c r="S957" t="s">
        <v>320</v>
      </c>
      <c r="T957" t="s">
        <v>488</v>
      </c>
      <c r="U957" t="s">
        <v>322</v>
      </c>
      <c r="V957" t="s">
        <v>101</v>
      </c>
      <c r="W957" t="s">
        <v>489</v>
      </c>
      <c r="X957" t="s">
        <v>254</v>
      </c>
      <c r="Y957" t="s">
        <v>104</v>
      </c>
    </row>
    <row r="958" spans="1:25">
      <c r="A958">
        <v>10296</v>
      </c>
      <c r="B958">
        <v>21</v>
      </c>
      <c r="C958">
        <v>96.34</v>
      </c>
      <c r="D958">
        <v>13</v>
      </c>
      <c r="E958">
        <v>2023.14</v>
      </c>
      <c r="F958" t="s">
        <v>736</v>
      </c>
      <c r="G958" t="s">
        <v>93</v>
      </c>
      <c r="H958">
        <v>3</v>
      </c>
      <c r="I958">
        <v>9</v>
      </c>
      <c r="J958">
        <v>2004</v>
      </c>
      <c r="K958" t="s">
        <v>775</v>
      </c>
      <c r="L958">
        <v>86</v>
      </c>
      <c r="M958" t="s">
        <v>776</v>
      </c>
      <c r="N958" t="s">
        <v>737</v>
      </c>
      <c r="O958" t="s">
        <v>738</v>
      </c>
      <c r="P958" t="s">
        <v>739</v>
      </c>
      <c r="R958" t="s">
        <v>740</v>
      </c>
      <c r="T958">
        <v>80686</v>
      </c>
      <c r="U958" t="s">
        <v>566</v>
      </c>
      <c r="V958" t="s">
        <v>110</v>
      </c>
      <c r="W958" t="s">
        <v>741</v>
      </c>
      <c r="X958" t="s">
        <v>176</v>
      </c>
      <c r="Y958" t="s">
        <v>104</v>
      </c>
    </row>
    <row r="959" spans="1:25">
      <c r="A959">
        <v>10307</v>
      </c>
      <c r="B959">
        <v>31</v>
      </c>
      <c r="C959">
        <v>83.44</v>
      </c>
      <c r="D959">
        <v>7</v>
      </c>
      <c r="E959">
        <v>2586.64</v>
      </c>
      <c r="F959" t="s">
        <v>494</v>
      </c>
      <c r="G959" t="s">
        <v>93</v>
      </c>
      <c r="H959">
        <v>4</v>
      </c>
      <c r="I959">
        <v>10</v>
      </c>
      <c r="J959">
        <v>2004</v>
      </c>
      <c r="K959" t="s">
        <v>775</v>
      </c>
      <c r="L959">
        <v>86</v>
      </c>
      <c r="M959" t="s">
        <v>776</v>
      </c>
      <c r="N959" t="s">
        <v>304</v>
      </c>
      <c r="O959">
        <v>2155554695</v>
      </c>
      <c r="P959" t="s">
        <v>305</v>
      </c>
      <c r="R959" t="s">
        <v>306</v>
      </c>
      <c r="S959" t="s">
        <v>221</v>
      </c>
      <c r="T959">
        <v>71270</v>
      </c>
      <c r="U959" t="s">
        <v>100</v>
      </c>
      <c r="V959" t="s">
        <v>101</v>
      </c>
      <c r="W959" t="s">
        <v>307</v>
      </c>
      <c r="X959" t="s">
        <v>308</v>
      </c>
      <c r="Y959" t="s">
        <v>104</v>
      </c>
    </row>
    <row r="960" spans="1:25">
      <c r="A960">
        <v>10316</v>
      </c>
      <c r="B960">
        <v>21</v>
      </c>
      <c r="C960">
        <v>94.62</v>
      </c>
      <c r="D960">
        <v>15</v>
      </c>
      <c r="E960">
        <v>1987.02</v>
      </c>
      <c r="F960" s="4">
        <v>37997</v>
      </c>
      <c r="G960" t="s">
        <v>93</v>
      </c>
      <c r="H960">
        <v>4</v>
      </c>
      <c r="I960">
        <v>11</v>
      </c>
      <c r="J960">
        <v>2004</v>
      </c>
      <c r="K960" t="s">
        <v>775</v>
      </c>
      <c r="L960">
        <v>86</v>
      </c>
      <c r="M960" t="s">
        <v>776</v>
      </c>
      <c r="N960" t="s">
        <v>495</v>
      </c>
      <c r="O960" t="s">
        <v>496</v>
      </c>
      <c r="P960" t="s">
        <v>497</v>
      </c>
      <c r="R960" t="s">
        <v>498</v>
      </c>
      <c r="S960" t="s">
        <v>499</v>
      </c>
      <c r="T960" t="s">
        <v>500</v>
      </c>
      <c r="U960" t="s">
        <v>252</v>
      </c>
      <c r="V960" t="s">
        <v>110</v>
      </c>
      <c r="W960" t="s">
        <v>501</v>
      </c>
      <c r="X960" t="s">
        <v>502</v>
      </c>
      <c r="Y960" t="s">
        <v>104</v>
      </c>
    </row>
    <row r="961" spans="1:25">
      <c r="A961">
        <v>10327</v>
      </c>
      <c r="B961">
        <v>25</v>
      </c>
      <c r="C961">
        <v>45.86</v>
      </c>
      <c r="D961">
        <v>5</v>
      </c>
      <c r="E961">
        <v>1146.5</v>
      </c>
      <c r="F961" s="4">
        <v>38271</v>
      </c>
      <c r="G961" t="s">
        <v>526</v>
      </c>
      <c r="H961">
        <v>4</v>
      </c>
      <c r="I961">
        <v>11</v>
      </c>
      <c r="J961">
        <v>2004</v>
      </c>
      <c r="K961" t="s">
        <v>775</v>
      </c>
      <c r="L961">
        <v>86</v>
      </c>
      <c r="M961" t="s">
        <v>776</v>
      </c>
      <c r="N961" t="s">
        <v>425</v>
      </c>
      <c r="O961" t="s">
        <v>426</v>
      </c>
      <c r="P961" t="s">
        <v>427</v>
      </c>
      <c r="R961" t="s">
        <v>428</v>
      </c>
      <c r="T961">
        <v>1734</v>
      </c>
      <c r="U961" t="s">
        <v>429</v>
      </c>
      <c r="V961" t="s">
        <v>110</v>
      </c>
      <c r="W961" t="s">
        <v>430</v>
      </c>
      <c r="X961" t="s">
        <v>431</v>
      </c>
      <c r="Y961" t="s">
        <v>104</v>
      </c>
    </row>
    <row r="962" spans="1:25">
      <c r="A962">
        <v>10338</v>
      </c>
      <c r="B962">
        <v>28</v>
      </c>
      <c r="C962">
        <v>82.58</v>
      </c>
      <c r="D962">
        <v>3</v>
      </c>
      <c r="E962">
        <v>2312.2399999999998</v>
      </c>
      <c r="F962" t="s">
        <v>742</v>
      </c>
      <c r="G962" t="s">
        <v>93</v>
      </c>
      <c r="H962">
        <v>4</v>
      </c>
      <c r="I962">
        <v>11</v>
      </c>
      <c r="J962">
        <v>2004</v>
      </c>
      <c r="K962" t="s">
        <v>775</v>
      </c>
      <c r="L962">
        <v>86</v>
      </c>
      <c r="M962" t="s">
        <v>776</v>
      </c>
      <c r="N962" t="s">
        <v>743</v>
      </c>
      <c r="O962" t="s">
        <v>744</v>
      </c>
      <c r="P962" t="s">
        <v>745</v>
      </c>
      <c r="R962" t="s">
        <v>746</v>
      </c>
      <c r="T962" t="s">
        <v>747</v>
      </c>
      <c r="U962" t="s">
        <v>480</v>
      </c>
      <c r="V962" t="s">
        <v>110</v>
      </c>
      <c r="W962" t="s">
        <v>748</v>
      </c>
      <c r="X962" t="s">
        <v>749</v>
      </c>
      <c r="Y962" t="s">
        <v>104</v>
      </c>
    </row>
    <row r="963" spans="1:25">
      <c r="A963">
        <v>10350</v>
      </c>
      <c r="B963">
        <v>43</v>
      </c>
      <c r="C963">
        <v>64.97</v>
      </c>
      <c r="D963">
        <v>6</v>
      </c>
      <c r="E963">
        <v>2793.71</v>
      </c>
      <c r="F963" s="4">
        <v>38029</v>
      </c>
      <c r="G963" t="s">
        <v>93</v>
      </c>
      <c r="H963">
        <v>4</v>
      </c>
      <c r="I963">
        <v>12</v>
      </c>
      <c r="J963">
        <v>2004</v>
      </c>
      <c r="K963" t="s">
        <v>775</v>
      </c>
      <c r="L963">
        <v>86</v>
      </c>
      <c r="M963" t="s">
        <v>776</v>
      </c>
      <c r="N963" t="s">
        <v>257</v>
      </c>
      <c r="O963" t="s">
        <v>258</v>
      </c>
      <c r="P963" t="s">
        <v>259</v>
      </c>
      <c r="R963" t="s">
        <v>260</v>
      </c>
      <c r="T963">
        <v>28034</v>
      </c>
      <c r="U963" t="s">
        <v>261</v>
      </c>
      <c r="V963" t="s">
        <v>110</v>
      </c>
      <c r="W963" t="s">
        <v>262</v>
      </c>
      <c r="X963" t="s">
        <v>263</v>
      </c>
      <c r="Y963" t="s">
        <v>104</v>
      </c>
    </row>
    <row r="964" spans="1:25">
      <c r="A964">
        <v>10373</v>
      </c>
      <c r="B964">
        <v>22</v>
      </c>
      <c r="C964">
        <v>86.74</v>
      </c>
      <c r="D964">
        <v>5</v>
      </c>
      <c r="E964">
        <v>1908.28</v>
      </c>
      <c r="F964" t="s">
        <v>505</v>
      </c>
      <c r="G964" t="s">
        <v>93</v>
      </c>
      <c r="H964">
        <v>1</v>
      </c>
      <c r="I964">
        <v>1</v>
      </c>
      <c r="J964">
        <v>2005</v>
      </c>
      <c r="K964" t="s">
        <v>775</v>
      </c>
      <c r="L964">
        <v>86</v>
      </c>
      <c r="M964" t="s">
        <v>776</v>
      </c>
      <c r="N964" t="s">
        <v>506</v>
      </c>
      <c r="O964" t="s">
        <v>507</v>
      </c>
      <c r="P964" t="s">
        <v>508</v>
      </c>
      <c r="R964" t="s">
        <v>509</v>
      </c>
      <c r="T964">
        <v>90110</v>
      </c>
      <c r="U964" t="s">
        <v>208</v>
      </c>
      <c r="V964" t="s">
        <v>110</v>
      </c>
      <c r="W964" t="s">
        <v>510</v>
      </c>
      <c r="X964" t="s">
        <v>511</v>
      </c>
      <c r="Y964" t="s">
        <v>104</v>
      </c>
    </row>
    <row r="965" spans="1:25">
      <c r="A965">
        <v>10386</v>
      </c>
      <c r="B965">
        <v>37</v>
      </c>
      <c r="C965">
        <v>93.01</v>
      </c>
      <c r="D965">
        <v>5</v>
      </c>
      <c r="E965">
        <v>3441.37</v>
      </c>
      <c r="F965" s="4">
        <v>38355</v>
      </c>
      <c r="G965" t="s">
        <v>526</v>
      </c>
      <c r="H965">
        <v>1</v>
      </c>
      <c r="I965">
        <v>3</v>
      </c>
      <c r="J965">
        <v>2005</v>
      </c>
      <c r="K965" t="s">
        <v>775</v>
      </c>
      <c r="L965">
        <v>86</v>
      </c>
      <c r="M965" t="s">
        <v>776</v>
      </c>
      <c r="N965" t="s">
        <v>257</v>
      </c>
      <c r="O965" t="s">
        <v>258</v>
      </c>
      <c r="P965" t="s">
        <v>259</v>
      </c>
      <c r="R965" t="s">
        <v>260</v>
      </c>
      <c r="T965">
        <v>28034</v>
      </c>
      <c r="U965" t="s">
        <v>261</v>
      </c>
      <c r="V965" t="s">
        <v>110</v>
      </c>
      <c r="W965" t="s">
        <v>262</v>
      </c>
      <c r="X965" t="s">
        <v>263</v>
      </c>
      <c r="Y965" t="s">
        <v>119</v>
      </c>
    </row>
    <row r="966" spans="1:25">
      <c r="A966">
        <v>10398</v>
      </c>
      <c r="B966">
        <v>28</v>
      </c>
      <c r="C966">
        <v>72.260000000000005</v>
      </c>
      <c r="D966">
        <v>18</v>
      </c>
      <c r="E966">
        <v>2023.28</v>
      </c>
      <c r="F966" t="s">
        <v>750</v>
      </c>
      <c r="G966" t="s">
        <v>93</v>
      </c>
      <c r="H966">
        <v>1</v>
      </c>
      <c r="I966">
        <v>3</v>
      </c>
      <c r="J966">
        <v>2005</v>
      </c>
      <c r="K966" t="s">
        <v>775</v>
      </c>
      <c r="L966">
        <v>86</v>
      </c>
      <c r="M966" t="s">
        <v>776</v>
      </c>
      <c r="N966" t="s">
        <v>105</v>
      </c>
      <c r="O966" t="s">
        <v>106</v>
      </c>
      <c r="P966" t="s">
        <v>107</v>
      </c>
      <c r="R966" t="s">
        <v>108</v>
      </c>
      <c r="T966">
        <v>51100</v>
      </c>
      <c r="U966" t="s">
        <v>109</v>
      </c>
      <c r="V966" t="s">
        <v>110</v>
      </c>
      <c r="W966" t="s">
        <v>111</v>
      </c>
      <c r="X966" t="s">
        <v>112</v>
      </c>
      <c r="Y966" t="s">
        <v>104</v>
      </c>
    </row>
    <row r="967" spans="1:25">
      <c r="A967">
        <v>10400</v>
      </c>
      <c r="B967">
        <v>30</v>
      </c>
      <c r="C967">
        <v>74.84</v>
      </c>
      <c r="D967">
        <v>7</v>
      </c>
      <c r="E967">
        <v>2245.1999999999998</v>
      </c>
      <c r="F967" s="4">
        <v>38356</v>
      </c>
      <c r="G967" t="s">
        <v>93</v>
      </c>
      <c r="H967">
        <v>2</v>
      </c>
      <c r="I967">
        <v>4</v>
      </c>
      <c r="J967">
        <v>2005</v>
      </c>
      <c r="K967" t="s">
        <v>775</v>
      </c>
      <c r="L967">
        <v>86</v>
      </c>
      <c r="M967" t="s">
        <v>776</v>
      </c>
      <c r="N967" t="s">
        <v>514</v>
      </c>
      <c r="O967">
        <v>4085553659</v>
      </c>
      <c r="P967" t="s">
        <v>515</v>
      </c>
      <c r="R967" t="s">
        <v>516</v>
      </c>
      <c r="S967" t="s">
        <v>124</v>
      </c>
      <c r="T967">
        <v>94217</v>
      </c>
      <c r="U967" t="s">
        <v>100</v>
      </c>
      <c r="V967" t="s">
        <v>101</v>
      </c>
      <c r="W967" t="s">
        <v>175</v>
      </c>
      <c r="X967" t="s">
        <v>517</v>
      </c>
      <c r="Y967" t="s">
        <v>104</v>
      </c>
    </row>
    <row r="968" spans="1:25">
      <c r="A968">
        <v>10414</v>
      </c>
      <c r="B968">
        <v>44</v>
      </c>
      <c r="C968">
        <v>73.98</v>
      </c>
      <c r="D968">
        <v>1</v>
      </c>
      <c r="E968">
        <v>3255.12</v>
      </c>
      <c r="F968" s="4">
        <v>38508</v>
      </c>
      <c r="G968" t="s">
        <v>518</v>
      </c>
      <c r="H968">
        <v>2</v>
      </c>
      <c r="I968">
        <v>5</v>
      </c>
      <c r="J968">
        <v>2005</v>
      </c>
      <c r="K968" t="s">
        <v>775</v>
      </c>
      <c r="L968">
        <v>86</v>
      </c>
      <c r="M968" t="s">
        <v>776</v>
      </c>
      <c r="N968" t="s">
        <v>490</v>
      </c>
      <c r="O968">
        <v>6175559555</v>
      </c>
      <c r="P968" t="s">
        <v>491</v>
      </c>
      <c r="R968" t="s">
        <v>492</v>
      </c>
      <c r="S968" t="s">
        <v>200</v>
      </c>
      <c r="T968">
        <v>51003</v>
      </c>
      <c r="U968" t="s">
        <v>100</v>
      </c>
      <c r="V968" t="s">
        <v>101</v>
      </c>
      <c r="W968" t="s">
        <v>493</v>
      </c>
      <c r="X968" t="s">
        <v>136</v>
      </c>
      <c r="Y968" t="s">
        <v>119</v>
      </c>
    </row>
    <row r="969" spans="1:25">
      <c r="A969">
        <v>10103</v>
      </c>
      <c r="B969">
        <v>25</v>
      </c>
      <c r="C969">
        <v>100</v>
      </c>
      <c r="D969">
        <v>13</v>
      </c>
      <c r="E969">
        <v>2539.5</v>
      </c>
      <c r="F969" t="s">
        <v>264</v>
      </c>
      <c r="G969" t="s">
        <v>93</v>
      </c>
      <c r="H969">
        <v>1</v>
      </c>
      <c r="I969">
        <v>1</v>
      </c>
      <c r="J969">
        <v>2003</v>
      </c>
      <c r="K969" t="s">
        <v>697</v>
      </c>
      <c r="L969">
        <v>104</v>
      </c>
      <c r="M969" t="s">
        <v>779</v>
      </c>
      <c r="N969" t="s">
        <v>212</v>
      </c>
      <c r="O969" t="s">
        <v>213</v>
      </c>
      <c r="P969" t="s">
        <v>214</v>
      </c>
      <c r="R969" t="s">
        <v>215</v>
      </c>
      <c r="T969">
        <v>4110</v>
      </c>
      <c r="U969" t="s">
        <v>149</v>
      </c>
      <c r="V969" t="s">
        <v>110</v>
      </c>
      <c r="W969" t="s">
        <v>216</v>
      </c>
      <c r="X969" t="s">
        <v>217</v>
      </c>
      <c r="Y969" t="s">
        <v>104</v>
      </c>
    </row>
    <row r="970" spans="1:25">
      <c r="A970">
        <v>10111</v>
      </c>
      <c r="B970">
        <v>43</v>
      </c>
      <c r="C970">
        <v>100</v>
      </c>
      <c r="D970">
        <v>1</v>
      </c>
      <c r="E970">
        <v>4818.1499999999996</v>
      </c>
      <c r="F970" t="s">
        <v>699</v>
      </c>
      <c r="G970" t="s">
        <v>93</v>
      </c>
      <c r="H970">
        <v>1</v>
      </c>
      <c r="I970">
        <v>3</v>
      </c>
      <c r="J970">
        <v>2003</v>
      </c>
      <c r="K970" t="s">
        <v>697</v>
      </c>
      <c r="L970">
        <v>104</v>
      </c>
      <c r="M970" t="s">
        <v>779</v>
      </c>
      <c r="N970" t="s">
        <v>152</v>
      </c>
      <c r="O970">
        <v>6505555787</v>
      </c>
      <c r="P970" t="s">
        <v>153</v>
      </c>
      <c r="R970" t="s">
        <v>129</v>
      </c>
      <c r="S970" t="s">
        <v>124</v>
      </c>
      <c r="U970" t="s">
        <v>100</v>
      </c>
      <c r="V970" t="s">
        <v>101</v>
      </c>
      <c r="W970" t="s">
        <v>154</v>
      </c>
      <c r="X970" t="s">
        <v>126</v>
      </c>
      <c r="Y970" t="s">
        <v>119</v>
      </c>
    </row>
    <row r="971" spans="1:25">
      <c r="A971">
        <v>10126</v>
      </c>
      <c r="B971">
        <v>30</v>
      </c>
      <c r="C971">
        <v>97.39</v>
      </c>
      <c r="D971">
        <v>13</v>
      </c>
      <c r="E971">
        <v>2921.7</v>
      </c>
      <c r="F971" t="s">
        <v>276</v>
      </c>
      <c r="G971" t="s">
        <v>93</v>
      </c>
      <c r="H971">
        <v>2</v>
      </c>
      <c r="I971">
        <v>5</v>
      </c>
      <c r="J971">
        <v>2003</v>
      </c>
      <c r="K971" t="s">
        <v>697</v>
      </c>
      <c r="L971">
        <v>104</v>
      </c>
      <c r="M971" t="s">
        <v>779</v>
      </c>
      <c r="N971" t="s">
        <v>277</v>
      </c>
      <c r="O971" t="s">
        <v>278</v>
      </c>
      <c r="P971" t="s">
        <v>279</v>
      </c>
      <c r="R971" t="s">
        <v>260</v>
      </c>
      <c r="T971">
        <v>28023</v>
      </c>
      <c r="U971" t="s">
        <v>261</v>
      </c>
      <c r="V971" t="s">
        <v>110</v>
      </c>
      <c r="W971" t="s">
        <v>280</v>
      </c>
      <c r="X971" t="s">
        <v>281</v>
      </c>
      <c r="Y971" t="s">
        <v>104</v>
      </c>
    </row>
    <row r="972" spans="1:25">
      <c r="A972">
        <v>10139</v>
      </c>
      <c r="B972">
        <v>20</v>
      </c>
      <c r="C972">
        <v>90.06</v>
      </c>
      <c r="D972">
        <v>2</v>
      </c>
      <c r="E972">
        <v>1801.2</v>
      </c>
      <c r="F972" t="s">
        <v>701</v>
      </c>
      <c r="G972" t="s">
        <v>93</v>
      </c>
      <c r="H972">
        <v>3</v>
      </c>
      <c r="I972">
        <v>7</v>
      </c>
      <c r="J972">
        <v>2003</v>
      </c>
      <c r="K972" t="s">
        <v>697</v>
      </c>
      <c r="L972">
        <v>104</v>
      </c>
      <c r="M972" t="s">
        <v>779</v>
      </c>
      <c r="N972" t="s">
        <v>234</v>
      </c>
      <c r="O972" t="s">
        <v>235</v>
      </c>
      <c r="P972" t="s">
        <v>236</v>
      </c>
      <c r="Q972" t="s">
        <v>237</v>
      </c>
      <c r="R972" t="s">
        <v>238</v>
      </c>
      <c r="S972" t="s">
        <v>239</v>
      </c>
      <c r="T972">
        <v>2067</v>
      </c>
      <c r="U972" t="s">
        <v>168</v>
      </c>
      <c r="V972" t="s">
        <v>169</v>
      </c>
      <c r="W972" t="s">
        <v>240</v>
      </c>
      <c r="X972" t="s">
        <v>241</v>
      </c>
      <c r="Y972" t="s">
        <v>104</v>
      </c>
    </row>
    <row r="973" spans="1:25">
      <c r="A973">
        <v>10150</v>
      </c>
      <c r="B973">
        <v>26</v>
      </c>
      <c r="C973">
        <v>100</v>
      </c>
      <c r="D973">
        <v>10</v>
      </c>
      <c r="E973">
        <v>2804.36</v>
      </c>
      <c r="F973" t="s">
        <v>283</v>
      </c>
      <c r="G973" t="s">
        <v>93</v>
      </c>
      <c r="H973">
        <v>3</v>
      </c>
      <c r="I973">
        <v>9</v>
      </c>
      <c r="J973">
        <v>2003</v>
      </c>
      <c r="K973" t="s">
        <v>697</v>
      </c>
      <c r="L973">
        <v>104</v>
      </c>
      <c r="M973" t="s">
        <v>779</v>
      </c>
      <c r="N973" t="s">
        <v>284</v>
      </c>
      <c r="O973" t="s">
        <v>285</v>
      </c>
      <c r="P973" t="s">
        <v>286</v>
      </c>
      <c r="R973" t="s">
        <v>287</v>
      </c>
      <c r="T973">
        <v>79903</v>
      </c>
      <c r="U973" t="s">
        <v>287</v>
      </c>
      <c r="V973" t="s">
        <v>288</v>
      </c>
      <c r="W973" t="s">
        <v>289</v>
      </c>
      <c r="X973" t="s">
        <v>290</v>
      </c>
      <c r="Y973" t="s">
        <v>104</v>
      </c>
    </row>
    <row r="974" spans="1:25">
      <c r="A974">
        <v>10163</v>
      </c>
      <c r="B974">
        <v>40</v>
      </c>
      <c r="C974">
        <v>100</v>
      </c>
      <c r="D974">
        <v>3</v>
      </c>
      <c r="E974">
        <v>4900.8</v>
      </c>
      <c r="F974" t="s">
        <v>291</v>
      </c>
      <c r="G974" t="s">
        <v>93</v>
      </c>
      <c r="H974">
        <v>4</v>
      </c>
      <c r="I974">
        <v>10</v>
      </c>
      <c r="J974">
        <v>2003</v>
      </c>
      <c r="K974" t="s">
        <v>697</v>
      </c>
      <c r="L974">
        <v>104</v>
      </c>
      <c r="M974" t="s">
        <v>779</v>
      </c>
      <c r="N974" t="s">
        <v>292</v>
      </c>
      <c r="O974">
        <v>2125558493</v>
      </c>
      <c r="P974" t="s">
        <v>293</v>
      </c>
      <c r="Q974" t="s">
        <v>294</v>
      </c>
      <c r="R974" t="s">
        <v>98</v>
      </c>
      <c r="S974" t="s">
        <v>99</v>
      </c>
      <c r="T974">
        <v>10022</v>
      </c>
      <c r="U974" t="s">
        <v>100</v>
      </c>
      <c r="V974" t="s">
        <v>101</v>
      </c>
      <c r="W974" t="s">
        <v>201</v>
      </c>
      <c r="X974" t="s">
        <v>295</v>
      </c>
      <c r="Y974" t="s">
        <v>119</v>
      </c>
    </row>
    <row r="975" spans="1:25">
      <c r="A975">
        <v>10173</v>
      </c>
      <c r="B975">
        <v>31</v>
      </c>
      <c r="C975">
        <v>89.01</v>
      </c>
      <c r="D975">
        <v>1</v>
      </c>
      <c r="E975">
        <v>2759.31</v>
      </c>
      <c r="F975" s="4">
        <v>37752</v>
      </c>
      <c r="G975" t="s">
        <v>93</v>
      </c>
      <c r="H975">
        <v>4</v>
      </c>
      <c r="I975">
        <v>11</v>
      </c>
      <c r="J975">
        <v>2003</v>
      </c>
      <c r="K975" t="s">
        <v>697</v>
      </c>
      <c r="L975">
        <v>104</v>
      </c>
      <c r="M975" t="s">
        <v>779</v>
      </c>
      <c r="N975" t="s">
        <v>703</v>
      </c>
      <c r="O975" t="s">
        <v>704</v>
      </c>
      <c r="P975" t="s">
        <v>705</v>
      </c>
      <c r="R975" t="s">
        <v>706</v>
      </c>
      <c r="T975">
        <v>24100</v>
      </c>
      <c r="U975" t="s">
        <v>352</v>
      </c>
      <c r="V975" t="s">
        <v>110</v>
      </c>
      <c r="W975" t="s">
        <v>707</v>
      </c>
      <c r="X975" t="s">
        <v>708</v>
      </c>
      <c r="Y975" t="s">
        <v>104</v>
      </c>
    </row>
    <row r="976" spans="1:25">
      <c r="A976">
        <v>10183</v>
      </c>
      <c r="B976">
        <v>22</v>
      </c>
      <c r="C976">
        <v>100</v>
      </c>
      <c r="D976">
        <v>10</v>
      </c>
      <c r="E976">
        <v>2488.1999999999998</v>
      </c>
      <c r="F976" t="s">
        <v>303</v>
      </c>
      <c r="G976" t="s">
        <v>93</v>
      </c>
      <c r="H976">
        <v>4</v>
      </c>
      <c r="I976">
        <v>11</v>
      </c>
      <c r="J976">
        <v>2003</v>
      </c>
      <c r="K976" t="s">
        <v>697</v>
      </c>
      <c r="L976">
        <v>104</v>
      </c>
      <c r="M976" t="s">
        <v>779</v>
      </c>
      <c r="N976" t="s">
        <v>304</v>
      </c>
      <c r="O976">
        <v>2155554695</v>
      </c>
      <c r="P976" t="s">
        <v>305</v>
      </c>
      <c r="R976" t="s">
        <v>306</v>
      </c>
      <c r="S976" t="s">
        <v>221</v>
      </c>
      <c r="T976">
        <v>71270</v>
      </c>
      <c r="U976" t="s">
        <v>100</v>
      </c>
      <c r="V976" t="s">
        <v>101</v>
      </c>
      <c r="W976" t="s">
        <v>307</v>
      </c>
      <c r="X976" t="s">
        <v>308</v>
      </c>
      <c r="Y976" t="s">
        <v>104</v>
      </c>
    </row>
    <row r="977" spans="1:25">
      <c r="A977">
        <v>10193</v>
      </c>
      <c r="B977">
        <v>23</v>
      </c>
      <c r="C977">
        <v>100</v>
      </c>
      <c r="D977">
        <v>2</v>
      </c>
      <c r="E977">
        <v>2769.89</v>
      </c>
      <c r="F977" t="s">
        <v>709</v>
      </c>
      <c r="G977" t="s">
        <v>93</v>
      </c>
      <c r="H977">
        <v>4</v>
      </c>
      <c r="I977">
        <v>11</v>
      </c>
      <c r="J977">
        <v>2003</v>
      </c>
      <c r="K977" t="s">
        <v>697</v>
      </c>
      <c r="L977">
        <v>104</v>
      </c>
      <c r="M977" t="s">
        <v>779</v>
      </c>
      <c r="N977" t="s">
        <v>710</v>
      </c>
      <c r="O977" t="s">
        <v>711</v>
      </c>
      <c r="P977" t="s">
        <v>712</v>
      </c>
      <c r="R977" t="s">
        <v>713</v>
      </c>
      <c r="S977" t="s">
        <v>167</v>
      </c>
      <c r="T977">
        <v>3150</v>
      </c>
      <c r="U977" t="s">
        <v>168</v>
      </c>
      <c r="V977" t="s">
        <v>169</v>
      </c>
      <c r="W977" t="s">
        <v>714</v>
      </c>
      <c r="X977" t="s">
        <v>715</v>
      </c>
      <c r="Y977" t="s">
        <v>104</v>
      </c>
    </row>
    <row r="978" spans="1:25">
      <c r="A978">
        <v>10206</v>
      </c>
      <c r="B978">
        <v>30</v>
      </c>
      <c r="C978">
        <v>100</v>
      </c>
      <c r="D978">
        <v>8</v>
      </c>
      <c r="E978">
        <v>3581.4</v>
      </c>
      <c r="F978" s="4">
        <v>37753</v>
      </c>
      <c r="G978" t="s">
        <v>93</v>
      </c>
      <c r="H978">
        <v>4</v>
      </c>
      <c r="I978">
        <v>12</v>
      </c>
      <c r="J978">
        <v>2003</v>
      </c>
      <c r="K978" t="s">
        <v>697</v>
      </c>
      <c r="L978">
        <v>104</v>
      </c>
      <c r="M978" t="s">
        <v>779</v>
      </c>
      <c r="N978" t="s">
        <v>316</v>
      </c>
      <c r="O978" t="s">
        <v>317</v>
      </c>
      <c r="P978" t="s">
        <v>318</v>
      </c>
      <c r="R978" t="s">
        <v>319</v>
      </c>
      <c r="S978" t="s">
        <v>320</v>
      </c>
      <c r="T978" t="s">
        <v>321</v>
      </c>
      <c r="U978" t="s">
        <v>322</v>
      </c>
      <c r="V978" t="s">
        <v>101</v>
      </c>
      <c r="W978" t="s">
        <v>323</v>
      </c>
      <c r="X978" t="s">
        <v>324</v>
      </c>
      <c r="Y978" t="s">
        <v>119</v>
      </c>
    </row>
    <row r="979" spans="1:25">
      <c r="A979">
        <v>10215</v>
      </c>
      <c r="B979">
        <v>49</v>
      </c>
      <c r="C979">
        <v>100</v>
      </c>
      <c r="D979">
        <v>5</v>
      </c>
      <c r="E979">
        <v>5285.14</v>
      </c>
      <c r="F979" t="s">
        <v>325</v>
      </c>
      <c r="G979" t="s">
        <v>93</v>
      </c>
      <c r="H979">
        <v>1</v>
      </c>
      <c r="I979">
        <v>1</v>
      </c>
      <c r="J979">
        <v>2004</v>
      </c>
      <c r="K979" t="s">
        <v>697</v>
      </c>
      <c r="L979">
        <v>104</v>
      </c>
      <c r="M979" t="s">
        <v>779</v>
      </c>
      <c r="N979" t="s">
        <v>326</v>
      </c>
      <c r="O979">
        <v>3105553722</v>
      </c>
      <c r="P979" t="s">
        <v>327</v>
      </c>
      <c r="R979" t="s">
        <v>328</v>
      </c>
      <c r="S979" t="s">
        <v>124</v>
      </c>
      <c r="T979">
        <v>94019</v>
      </c>
      <c r="U979" t="s">
        <v>100</v>
      </c>
      <c r="V979" t="s">
        <v>101</v>
      </c>
      <c r="W979" t="s">
        <v>6</v>
      </c>
      <c r="X979" t="s">
        <v>329</v>
      </c>
      <c r="Y979" t="s">
        <v>119</v>
      </c>
    </row>
    <row r="980" spans="1:25">
      <c r="A980">
        <v>10228</v>
      </c>
      <c r="B980">
        <v>31</v>
      </c>
      <c r="C980">
        <v>100</v>
      </c>
      <c r="D980">
        <v>4</v>
      </c>
      <c r="E980">
        <v>3181.53</v>
      </c>
      <c r="F980" s="4">
        <v>38263</v>
      </c>
      <c r="G980" t="s">
        <v>93</v>
      </c>
      <c r="H980">
        <v>1</v>
      </c>
      <c r="I980">
        <v>3</v>
      </c>
      <c r="J980">
        <v>2004</v>
      </c>
      <c r="K980" t="s">
        <v>697</v>
      </c>
      <c r="L980">
        <v>104</v>
      </c>
      <c r="M980" t="s">
        <v>779</v>
      </c>
      <c r="N980" t="s">
        <v>330</v>
      </c>
      <c r="O980">
        <v>6175555555</v>
      </c>
      <c r="P980" t="s">
        <v>331</v>
      </c>
      <c r="R980" t="s">
        <v>199</v>
      </c>
      <c r="S980" t="s">
        <v>200</v>
      </c>
      <c r="T980">
        <v>51247</v>
      </c>
      <c r="U980" t="s">
        <v>100</v>
      </c>
      <c r="V980" t="s">
        <v>101</v>
      </c>
      <c r="W980" t="s">
        <v>332</v>
      </c>
      <c r="X980" t="s">
        <v>222</v>
      </c>
      <c r="Y980" t="s">
        <v>119</v>
      </c>
    </row>
    <row r="981" spans="1:25">
      <c r="A981">
        <v>10244</v>
      </c>
      <c r="B981">
        <v>29</v>
      </c>
      <c r="C981">
        <v>100</v>
      </c>
      <c r="D981">
        <v>2</v>
      </c>
      <c r="E981">
        <v>3340.51</v>
      </c>
      <c r="F981" t="s">
        <v>716</v>
      </c>
      <c r="G981" t="s">
        <v>93</v>
      </c>
      <c r="H981">
        <v>2</v>
      </c>
      <c r="I981">
        <v>4</v>
      </c>
      <c r="J981">
        <v>2004</v>
      </c>
      <c r="K981" t="s">
        <v>697</v>
      </c>
      <c r="L981">
        <v>104</v>
      </c>
      <c r="M981" t="s">
        <v>779</v>
      </c>
      <c r="N981" t="s">
        <v>257</v>
      </c>
      <c r="O981" t="s">
        <v>258</v>
      </c>
      <c r="P981" t="s">
        <v>259</v>
      </c>
      <c r="R981" t="s">
        <v>260</v>
      </c>
      <c r="T981">
        <v>28034</v>
      </c>
      <c r="U981" t="s">
        <v>261</v>
      </c>
      <c r="V981" t="s">
        <v>110</v>
      </c>
      <c r="W981" t="s">
        <v>262</v>
      </c>
      <c r="X981" t="s">
        <v>263</v>
      </c>
      <c r="Y981" t="s">
        <v>119</v>
      </c>
    </row>
    <row r="982" spans="1:25">
      <c r="A982">
        <v>10257</v>
      </c>
      <c r="B982">
        <v>37</v>
      </c>
      <c r="C982">
        <v>84.82</v>
      </c>
      <c r="D982">
        <v>2</v>
      </c>
      <c r="E982">
        <v>3138.34</v>
      </c>
      <c r="F982" t="s">
        <v>772</v>
      </c>
      <c r="G982" t="s">
        <v>93</v>
      </c>
      <c r="H982">
        <v>2</v>
      </c>
      <c r="I982">
        <v>6</v>
      </c>
      <c r="J982">
        <v>2004</v>
      </c>
      <c r="K982" t="s">
        <v>697</v>
      </c>
      <c r="L982">
        <v>104</v>
      </c>
      <c r="M982" t="s">
        <v>779</v>
      </c>
      <c r="N982" t="s">
        <v>514</v>
      </c>
      <c r="O982">
        <v>4085553659</v>
      </c>
      <c r="P982" t="s">
        <v>515</v>
      </c>
      <c r="R982" t="s">
        <v>516</v>
      </c>
      <c r="S982" t="s">
        <v>124</v>
      </c>
      <c r="T982">
        <v>94217</v>
      </c>
      <c r="U982" t="s">
        <v>100</v>
      </c>
      <c r="V982" t="s">
        <v>101</v>
      </c>
      <c r="W982" t="s">
        <v>175</v>
      </c>
      <c r="X982" t="s">
        <v>517</v>
      </c>
      <c r="Y982" t="s">
        <v>119</v>
      </c>
    </row>
    <row r="983" spans="1:25">
      <c r="A983">
        <v>10270</v>
      </c>
      <c r="B983">
        <v>38</v>
      </c>
      <c r="C983">
        <v>100</v>
      </c>
      <c r="D983">
        <v>11</v>
      </c>
      <c r="E983">
        <v>4775.08</v>
      </c>
      <c r="F983" t="s">
        <v>346</v>
      </c>
      <c r="G983" t="s">
        <v>93</v>
      </c>
      <c r="H983">
        <v>3</v>
      </c>
      <c r="I983">
        <v>7</v>
      </c>
      <c r="J983">
        <v>2004</v>
      </c>
      <c r="K983" t="s">
        <v>697</v>
      </c>
      <c r="L983">
        <v>104</v>
      </c>
      <c r="M983" t="s">
        <v>779</v>
      </c>
      <c r="N983" t="s">
        <v>234</v>
      </c>
      <c r="O983" t="s">
        <v>235</v>
      </c>
      <c r="P983" t="s">
        <v>236</v>
      </c>
      <c r="Q983" t="s">
        <v>237</v>
      </c>
      <c r="R983" t="s">
        <v>238</v>
      </c>
      <c r="S983" t="s">
        <v>239</v>
      </c>
      <c r="T983">
        <v>2067</v>
      </c>
      <c r="U983" t="s">
        <v>168</v>
      </c>
      <c r="V983" t="s">
        <v>169</v>
      </c>
      <c r="W983" t="s">
        <v>240</v>
      </c>
      <c r="X983" t="s">
        <v>241</v>
      </c>
      <c r="Y983" t="s">
        <v>119</v>
      </c>
    </row>
    <row r="984" spans="1:25">
      <c r="A984">
        <v>10280</v>
      </c>
      <c r="B984">
        <v>29</v>
      </c>
      <c r="C984">
        <v>100</v>
      </c>
      <c r="D984">
        <v>4</v>
      </c>
      <c r="E984">
        <v>3006.43</v>
      </c>
      <c r="F984" t="s">
        <v>347</v>
      </c>
      <c r="G984" t="s">
        <v>93</v>
      </c>
      <c r="H984">
        <v>3</v>
      </c>
      <c r="I984">
        <v>8</v>
      </c>
      <c r="J984">
        <v>2004</v>
      </c>
      <c r="K984" t="s">
        <v>697</v>
      </c>
      <c r="L984">
        <v>104</v>
      </c>
      <c r="M984" t="s">
        <v>779</v>
      </c>
      <c r="N984" t="s">
        <v>348</v>
      </c>
      <c r="O984" t="s">
        <v>349</v>
      </c>
      <c r="P984" t="s">
        <v>350</v>
      </c>
      <c r="R984" t="s">
        <v>351</v>
      </c>
      <c r="T984">
        <v>10100</v>
      </c>
      <c r="U984" t="s">
        <v>352</v>
      </c>
      <c r="V984" t="s">
        <v>110</v>
      </c>
      <c r="W984" t="s">
        <v>353</v>
      </c>
      <c r="X984" t="s">
        <v>354</v>
      </c>
      <c r="Y984" t="s">
        <v>119</v>
      </c>
    </row>
    <row r="985" spans="1:25">
      <c r="A985">
        <v>10291</v>
      </c>
      <c r="B985">
        <v>23</v>
      </c>
      <c r="C985">
        <v>100</v>
      </c>
      <c r="D985">
        <v>13</v>
      </c>
      <c r="E985">
        <v>2866.26</v>
      </c>
      <c r="F985" s="4">
        <v>38208</v>
      </c>
      <c r="G985" t="s">
        <v>93</v>
      </c>
      <c r="H985">
        <v>3</v>
      </c>
      <c r="I985">
        <v>9</v>
      </c>
      <c r="J985">
        <v>2004</v>
      </c>
      <c r="K985" t="s">
        <v>697</v>
      </c>
      <c r="L985">
        <v>104</v>
      </c>
      <c r="M985" t="s">
        <v>779</v>
      </c>
      <c r="N985" t="s">
        <v>355</v>
      </c>
      <c r="O985" t="s">
        <v>356</v>
      </c>
      <c r="P985" t="s">
        <v>357</v>
      </c>
      <c r="R985" t="s">
        <v>358</v>
      </c>
      <c r="T985" t="s">
        <v>359</v>
      </c>
      <c r="U985" t="s">
        <v>273</v>
      </c>
      <c r="V985" t="s">
        <v>110</v>
      </c>
      <c r="W985" t="s">
        <v>360</v>
      </c>
      <c r="X985" t="s">
        <v>295</v>
      </c>
      <c r="Y985" t="s">
        <v>104</v>
      </c>
    </row>
    <row r="986" spans="1:25">
      <c r="A986">
        <v>10304</v>
      </c>
      <c r="B986">
        <v>26</v>
      </c>
      <c r="C986">
        <v>85.87</v>
      </c>
      <c r="D986">
        <v>8</v>
      </c>
      <c r="E986">
        <v>2232.62</v>
      </c>
      <c r="F986" s="4">
        <v>38301</v>
      </c>
      <c r="G986" t="s">
        <v>93</v>
      </c>
      <c r="H986">
        <v>4</v>
      </c>
      <c r="I986">
        <v>10</v>
      </c>
      <c r="J986">
        <v>2004</v>
      </c>
      <c r="K986" t="s">
        <v>697</v>
      </c>
      <c r="L986">
        <v>104</v>
      </c>
      <c r="M986" t="s">
        <v>779</v>
      </c>
      <c r="N986" t="s">
        <v>361</v>
      </c>
      <c r="O986" t="s">
        <v>362</v>
      </c>
      <c r="P986" t="s">
        <v>363</v>
      </c>
      <c r="R986" t="s">
        <v>364</v>
      </c>
      <c r="T986">
        <v>78000</v>
      </c>
      <c r="U986" t="s">
        <v>109</v>
      </c>
      <c r="V986" t="s">
        <v>110</v>
      </c>
      <c r="W986" t="s">
        <v>365</v>
      </c>
      <c r="X986" t="s">
        <v>118</v>
      </c>
      <c r="Y986" t="s">
        <v>104</v>
      </c>
    </row>
    <row r="987" spans="1:25">
      <c r="A987">
        <v>10312</v>
      </c>
      <c r="B987">
        <v>38</v>
      </c>
      <c r="C987">
        <v>100</v>
      </c>
      <c r="D987">
        <v>5</v>
      </c>
      <c r="E987">
        <v>4457.0200000000004</v>
      </c>
      <c r="F987" t="s">
        <v>366</v>
      </c>
      <c r="G987" t="s">
        <v>93</v>
      </c>
      <c r="H987">
        <v>4</v>
      </c>
      <c r="I987">
        <v>10</v>
      </c>
      <c r="J987">
        <v>2004</v>
      </c>
      <c r="K987" t="s">
        <v>697</v>
      </c>
      <c r="L987">
        <v>104</v>
      </c>
      <c r="M987" t="s">
        <v>779</v>
      </c>
      <c r="N987" t="s">
        <v>367</v>
      </c>
      <c r="O987">
        <v>4155551450</v>
      </c>
      <c r="P987" t="s">
        <v>368</v>
      </c>
      <c r="R987" t="s">
        <v>369</v>
      </c>
      <c r="S987" t="s">
        <v>124</v>
      </c>
      <c r="T987">
        <v>97562</v>
      </c>
      <c r="U987" t="s">
        <v>100</v>
      </c>
      <c r="V987" t="s">
        <v>101</v>
      </c>
      <c r="W987" t="s">
        <v>370</v>
      </c>
      <c r="X987" t="s">
        <v>371</v>
      </c>
      <c r="Y987" t="s">
        <v>119</v>
      </c>
    </row>
    <row r="988" spans="1:25">
      <c r="A988">
        <v>10322</v>
      </c>
      <c r="B988">
        <v>48</v>
      </c>
      <c r="C988">
        <v>47.04</v>
      </c>
      <c r="D988">
        <v>7</v>
      </c>
      <c r="E988">
        <v>2257.92</v>
      </c>
      <c r="F988" s="4">
        <v>38088</v>
      </c>
      <c r="G988" t="s">
        <v>93</v>
      </c>
      <c r="H988">
        <v>4</v>
      </c>
      <c r="I988">
        <v>11</v>
      </c>
      <c r="J988">
        <v>2004</v>
      </c>
      <c r="K988" t="s">
        <v>697</v>
      </c>
      <c r="L988">
        <v>104</v>
      </c>
      <c r="M988" t="s">
        <v>779</v>
      </c>
      <c r="N988" t="s">
        <v>372</v>
      </c>
      <c r="O988">
        <v>6035558647</v>
      </c>
      <c r="P988" t="s">
        <v>373</v>
      </c>
      <c r="R988" t="s">
        <v>374</v>
      </c>
      <c r="S988" t="s">
        <v>375</v>
      </c>
      <c r="T988">
        <v>62005</v>
      </c>
      <c r="U988" t="s">
        <v>100</v>
      </c>
      <c r="V988" t="s">
        <v>101</v>
      </c>
      <c r="W988" t="s">
        <v>125</v>
      </c>
      <c r="X988" t="s">
        <v>371</v>
      </c>
      <c r="Y988" t="s">
        <v>104</v>
      </c>
    </row>
    <row r="989" spans="1:25">
      <c r="A989">
        <v>10332</v>
      </c>
      <c r="B989">
        <v>40</v>
      </c>
      <c r="C989">
        <v>39.799999999999997</v>
      </c>
      <c r="D989">
        <v>18</v>
      </c>
      <c r="E989">
        <v>1592</v>
      </c>
      <c r="F989" t="s">
        <v>695</v>
      </c>
      <c r="G989" t="s">
        <v>93</v>
      </c>
      <c r="H989">
        <v>4</v>
      </c>
      <c r="I989">
        <v>11</v>
      </c>
      <c r="J989">
        <v>2004</v>
      </c>
      <c r="K989" t="s">
        <v>697</v>
      </c>
      <c r="L989">
        <v>104</v>
      </c>
      <c r="M989" t="s">
        <v>779</v>
      </c>
      <c r="N989" t="s">
        <v>624</v>
      </c>
      <c r="O989" t="s">
        <v>625</v>
      </c>
      <c r="P989" t="s">
        <v>626</v>
      </c>
      <c r="R989" t="s">
        <v>627</v>
      </c>
      <c r="T989" t="s">
        <v>628</v>
      </c>
      <c r="U989" t="s">
        <v>252</v>
      </c>
      <c r="V989" t="s">
        <v>110</v>
      </c>
      <c r="W989" t="s">
        <v>629</v>
      </c>
      <c r="X989" t="s">
        <v>167</v>
      </c>
      <c r="Y989" t="s">
        <v>104</v>
      </c>
    </row>
    <row r="990" spans="1:25">
      <c r="A990">
        <v>10347</v>
      </c>
      <c r="B990">
        <v>45</v>
      </c>
      <c r="C990">
        <v>100</v>
      </c>
      <c r="D990">
        <v>11</v>
      </c>
      <c r="E990">
        <v>4948.2</v>
      </c>
      <c r="F990" t="s">
        <v>377</v>
      </c>
      <c r="G990" t="s">
        <v>93</v>
      </c>
      <c r="H990">
        <v>4</v>
      </c>
      <c r="I990">
        <v>11</v>
      </c>
      <c r="J990">
        <v>2004</v>
      </c>
      <c r="K990" t="s">
        <v>697</v>
      </c>
      <c r="L990">
        <v>104</v>
      </c>
      <c r="M990" t="s">
        <v>779</v>
      </c>
      <c r="N990" t="s">
        <v>162</v>
      </c>
      <c r="O990" t="s">
        <v>163</v>
      </c>
      <c r="P990" t="s">
        <v>164</v>
      </c>
      <c r="Q990" t="s">
        <v>165</v>
      </c>
      <c r="R990" t="s">
        <v>166</v>
      </c>
      <c r="S990" t="s">
        <v>167</v>
      </c>
      <c r="T990">
        <v>3004</v>
      </c>
      <c r="U990" t="s">
        <v>168</v>
      </c>
      <c r="V990" t="s">
        <v>169</v>
      </c>
      <c r="W990" t="s">
        <v>170</v>
      </c>
      <c r="X990" t="s">
        <v>171</v>
      </c>
      <c r="Y990" t="s">
        <v>119</v>
      </c>
    </row>
    <row r="991" spans="1:25">
      <c r="A991">
        <v>10357</v>
      </c>
      <c r="B991">
        <v>44</v>
      </c>
      <c r="C991">
        <v>100</v>
      </c>
      <c r="D991">
        <v>4</v>
      </c>
      <c r="E991">
        <v>5160.76</v>
      </c>
      <c r="F991" s="4">
        <v>38272</v>
      </c>
      <c r="G991" t="s">
        <v>93</v>
      </c>
      <c r="H991">
        <v>4</v>
      </c>
      <c r="I991">
        <v>12</v>
      </c>
      <c r="J991">
        <v>2004</v>
      </c>
      <c r="K991" t="s">
        <v>697</v>
      </c>
      <c r="L991">
        <v>104</v>
      </c>
      <c r="M991" t="s">
        <v>779</v>
      </c>
      <c r="N991" t="s">
        <v>367</v>
      </c>
      <c r="O991">
        <v>4155551450</v>
      </c>
      <c r="P991" t="s">
        <v>368</v>
      </c>
      <c r="R991" t="s">
        <v>369</v>
      </c>
      <c r="S991" t="s">
        <v>124</v>
      </c>
      <c r="T991">
        <v>97562</v>
      </c>
      <c r="U991" t="s">
        <v>100</v>
      </c>
      <c r="V991" t="s">
        <v>101</v>
      </c>
      <c r="W991" t="s">
        <v>370</v>
      </c>
      <c r="X991" t="s">
        <v>371</v>
      </c>
      <c r="Y991" t="s">
        <v>119</v>
      </c>
    </row>
    <row r="992" spans="1:25">
      <c r="A992">
        <v>10369</v>
      </c>
      <c r="B992">
        <v>21</v>
      </c>
      <c r="C992">
        <v>94.22</v>
      </c>
      <c r="D992">
        <v>5</v>
      </c>
      <c r="E992">
        <v>1978.62</v>
      </c>
      <c r="F992" t="s">
        <v>378</v>
      </c>
      <c r="G992" t="s">
        <v>93</v>
      </c>
      <c r="H992">
        <v>1</v>
      </c>
      <c r="I992">
        <v>1</v>
      </c>
      <c r="J992">
        <v>2005</v>
      </c>
      <c r="K992" t="s">
        <v>697</v>
      </c>
      <c r="L992">
        <v>104</v>
      </c>
      <c r="M992" t="s">
        <v>779</v>
      </c>
      <c r="N992" t="s">
        <v>379</v>
      </c>
      <c r="O992">
        <v>6175558555</v>
      </c>
      <c r="P992" t="s">
        <v>380</v>
      </c>
      <c r="R992" t="s">
        <v>381</v>
      </c>
      <c r="S992" t="s">
        <v>200</v>
      </c>
      <c r="T992">
        <v>58339</v>
      </c>
      <c r="U992" t="s">
        <v>100</v>
      </c>
      <c r="V992" t="s">
        <v>101</v>
      </c>
      <c r="W992" t="s">
        <v>370</v>
      </c>
      <c r="X992" t="s">
        <v>382</v>
      </c>
      <c r="Y992" t="s">
        <v>104</v>
      </c>
    </row>
    <row r="993" spans="1:25">
      <c r="A993">
        <v>10381</v>
      </c>
      <c r="B993">
        <v>35</v>
      </c>
      <c r="C993">
        <v>100</v>
      </c>
      <c r="D993">
        <v>5</v>
      </c>
      <c r="E993">
        <v>4288.2</v>
      </c>
      <c r="F993" t="s">
        <v>383</v>
      </c>
      <c r="G993" t="s">
        <v>93</v>
      </c>
      <c r="H993">
        <v>1</v>
      </c>
      <c r="I993">
        <v>2</v>
      </c>
      <c r="J993">
        <v>2005</v>
      </c>
      <c r="K993" t="s">
        <v>697</v>
      </c>
      <c r="L993">
        <v>104</v>
      </c>
      <c r="M993" t="s">
        <v>779</v>
      </c>
      <c r="N993" t="s">
        <v>127</v>
      </c>
      <c r="O993">
        <v>6505551386</v>
      </c>
      <c r="P993" t="s">
        <v>128</v>
      </c>
      <c r="R993" t="s">
        <v>129</v>
      </c>
      <c r="S993" t="s">
        <v>124</v>
      </c>
      <c r="U993" t="s">
        <v>100</v>
      </c>
      <c r="V993" t="s">
        <v>101</v>
      </c>
      <c r="W993" t="s">
        <v>130</v>
      </c>
      <c r="X993" t="s">
        <v>126</v>
      </c>
      <c r="Y993" t="s">
        <v>119</v>
      </c>
    </row>
    <row r="994" spans="1:25">
      <c r="A994">
        <v>10392</v>
      </c>
      <c r="B994">
        <v>29</v>
      </c>
      <c r="C994">
        <v>86.92</v>
      </c>
      <c r="D994">
        <v>2</v>
      </c>
      <c r="E994">
        <v>2520.6799999999998</v>
      </c>
      <c r="F994" s="4">
        <v>38628</v>
      </c>
      <c r="G994" t="s">
        <v>93</v>
      </c>
      <c r="H994">
        <v>1</v>
      </c>
      <c r="I994">
        <v>3</v>
      </c>
      <c r="J994">
        <v>2005</v>
      </c>
      <c r="K994" t="s">
        <v>697</v>
      </c>
      <c r="L994">
        <v>104</v>
      </c>
      <c r="M994" t="s">
        <v>779</v>
      </c>
      <c r="N994" t="s">
        <v>527</v>
      </c>
      <c r="O994" t="s">
        <v>528</v>
      </c>
      <c r="P994" t="s">
        <v>529</v>
      </c>
      <c r="R994" t="s">
        <v>530</v>
      </c>
      <c r="T994">
        <v>8010</v>
      </c>
      <c r="U994" t="s">
        <v>229</v>
      </c>
      <c r="V994" t="s">
        <v>110</v>
      </c>
      <c r="W994" t="s">
        <v>531</v>
      </c>
      <c r="X994" t="s">
        <v>532</v>
      </c>
      <c r="Y994" t="s">
        <v>104</v>
      </c>
    </row>
    <row r="995" spans="1:25">
      <c r="A995">
        <v>10423</v>
      </c>
      <c r="B995">
        <v>21</v>
      </c>
      <c r="C995">
        <v>84.82</v>
      </c>
      <c r="D995">
        <v>2</v>
      </c>
      <c r="E995">
        <v>1781.22</v>
      </c>
      <c r="F995" t="s">
        <v>718</v>
      </c>
      <c r="G995" t="s">
        <v>400</v>
      </c>
      <c r="H995">
        <v>2</v>
      </c>
      <c r="I995">
        <v>5</v>
      </c>
      <c r="J995">
        <v>2005</v>
      </c>
      <c r="K995" t="s">
        <v>697</v>
      </c>
      <c r="L995">
        <v>104</v>
      </c>
      <c r="M995" t="s">
        <v>779</v>
      </c>
      <c r="N995" t="s">
        <v>475</v>
      </c>
      <c r="O995" t="s">
        <v>476</v>
      </c>
      <c r="P995" t="s">
        <v>477</v>
      </c>
      <c r="R995" t="s">
        <v>478</v>
      </c>
      <c r="T995" t="s">
        <v>479</v>
      </c>
      <c r="U995" t="s">
        <v>480</v>
      </c>
      <c r="V995" t="s">
        <v>110</v>
      </c>
      <c r="W995" t="s">
        <v>481</v>
      </c>
      <c r="X995" t="s">
        <v>482</v>
      </c>
      <c r="Y995" t="s">
        <v>104</v>
      </c>
    </row>
    <row r="996" spans="1:25">
      <c r="A996">
        <v>10105</v>
      </c>
      <c r="B996">
        <v>22</v>
      </c>
      <c r="C996">
        <v>100</v>
      </c>
      <c r="D996">
        <v>11</v>
      </c>
      <c r="E996">
        <v>3065.04</v>
      </c>
      <c r="F996" s="4">
        <v>37927</v>
      </c>
      <c r="G996" t="s">
        <v>93</v>
      </c>
      <c r="H996">
        <v>1</v>
      </c>
      <c r="I996">
        <v>2</v>
      </c>
      <c r="J996">
        <v>2003</v>
      </c>
      <c r="K996" t="s">
        <v>697</v>
      </c>
      <c r="L996">
        <v>136</v>
      </c>
      <c r="M996" t="s">
        <v>780</v>
      </c>
      <c r="N996" t="s">
        <v>425</v>
      </c>
      <c r="O996" t="s">
        <v>426</v>
      </c>
      <c r="P996" t="s">
        <v>427</v>
      </c>
      <c r="R996" t="s">
        <v>428</v>
      </c>
      <c r="T996">
        <v>1734</v>
      </c>
      <c r="U996" t="s">
        <v>429</v>
      </c>
      <c r="V996" t="s">
        <v>110</v>
      </c>
      <c r="W996" t="s">
        <v>430</v>
      </c>
      <c r="X996" t="s">
        <v>431</v>
      </c>
      <c r="Y996" t="s">
        <v>119</v>
      </c>
    </row>
    <row r="997" spans="1:25">
      <c r="A997">
        <v>10117</v>
      </c>
      <c r="B997">
        <v>26</v>
      </c>
      <c r="C997">
        <v>100</v>
      </c>
      <c r="D997">
        <v>5</v>
      </c>
      <c r="E997">
        <v>3551.34</v>
      </c>
      <c r="F997" t="s">
        <v>602</v>
      </c>
      <c r="G997" t="s">
        <v>93</v>
      </c>
      <c r="H997">
        <v>2</v>
      </c>
      <c r="I997">
        <v>4</v>
      </c>
      <c r="J997">
        <v>2003</v>
      </c>
      <c r="K997" t="s">
        <v>697</v>
      </c>
      <c r="L997">
        <v>136</v>
      </c>
      <c r="M997" t="s">
        <v>780</v>
      </c>
      <c r="N997" t="s">
        <v>284</v>
      </c>
      <c r="O997" t="s">
        <v>285</v>
      </c>
      <c r="P997" t="s">
        <v>286</v>
      </c>
      <c r="R997" t="s">
        <v>287</v>
      </c>
      <c r="T997">
        <v>79903</v>
      </c>
      <c r="U997" t="s">
        <v>287</v>
      </c>
      <c r="V997" t="s">
        <v>288</v>
      </c>
      <c r="W997" t="s">
        <v>289</v>
      </c>
      <c r="X997" t="s">
        <v>290</v>
      </c>
      <c r="Y997" t="s">
        <v>119</v>
      </c>
    </row>
    <row r="998" spans="1:25">
      <c r="A998">
        <v>10128</v>
      </c>
      <c r="B998">
        <v>41</v>
      </c>
      <c r="C998">
        <v>100</v>
      </c>
      <c r="D998">
        <v>2</v>
      </c>
      <c r="E998">
        <v>5544.02</v>
      </c>
      <c r="F998" s="4">
        <v>37778</v>
      </c>
      <c r="G998" t="s">
        <v>93</v>
      </c>
      <c r="H998">
        <v>2</v>
      </c>
      <c r="I998">
        <v>6</v>
      </c>
      <c r="J998">
        <v>2003</v>
      </c>
      <c r="K998" t="s">
        <v>697</v>
      </c>
      <c r="L998">
        <v>136</v>
      </c>
      <c r="M998" t="s">
        <v>780</v>
      </c>
      <c r="N998" t="s">
        <v>257</v>
      </c>
      <c r="O998" t="s">
        <v>258</v>
      </c>
      <c r="P998" t="s">
        <v>259</v>
      </c>
      <c r="R998" t="s">
        <v>260</v>
      </c>
      <c r="T998">
        <v>28034</v>
      </c>
      <c r="U998" t="s">
        <v>261</v>
      </c>
      <c r="V998" t="s">
        <v>110</v>
      </c>
      <c r="W998" t="s">
        <v>262</v>
      </c>
      <c r="X998" t="s">
        <v>263</v>
      </c>
      <c r="Y998" t="s">
        <v>119</v>
      </c>
    </row>
    <row r="999" spans="1:25">
      <c r="A999">
        <v>10142</v>
      </c>
      <c r="B999">
        <v>47</v>
      </c>
      <c r="C999">
        <v>100</v>
      </c>
      <c r="D999">
        <v>8</v>
      </c>
      <c r="E999">
        <v>6034.33</v>
      </c>
      <c r="F999" s="4">
        <v>37841</v>
      </c>
      <c r="G999" t="s">
        <v>93</v>
      </c>
      <c r="H999">
        <v>3</v>
      </c>
      <c r="I999">
        <v>8</v>
      </c>
      <c r="J999">
        <v>2003</v>
      </c>
      <c r="K999" t="s">
        <v>697</v>
      </c>
      <c r="L999">
        <v>136</v>
      </c>
      <c r="M999" t="s">
        <v>780</v>
      </c>
      <c r="N999" t="s">
        <v>367</v>
      </c>
      <c r="O999">
        <v>4155551450</v>
      </c>
      <c r="P999" t="s">
        <v>368</v>
      </c>
      <c r="R999" t="s">
        <v>369</v>
      </c>
      <c r="S999" t="s">
        <v>124</v>
      </c>
      <c r="T999">
        <v>97562</v>
      </c>
      <c r="U999" t="s">
        <v>100</v>
      </c>
      <c r="V999" t="s">
        <v>101</v>
      </c>
      <c r="W999" t="s">
        <v>370</v>
      </c>
      <c r="X999" t="s">
        <v>371</v>
      </c>
      <c r="Y999" t="s">
        <v>119</v>
      </c>
    </row>
    <row r="1000" spans="1:25">
      <c r="A1000">
        <v>10153</v>
      </c>
      <c r="B1000">
        <v>31</v>
      </c>
      <c r="C1000">
        <v>100</v>
      </c>
      <c r="D1000">
        <v>7</v>
      </c>
      <c r="E1000">
        <v>3641.57</v>
      </c>
      <c r="F1000" t="s">
        <v>607</v>
      </c>
      <c r="G1000" t="s">
        <v>93</v>
      </c>
      <c r="H1000">
        <v>3</v>
      </c>
      <c r="I1000">
        <v>9</v>
      </c>
      <c r="J1000">
        <v>2003</v>
      </c>
      <c r="K1000" t="s">
        <v>697</v>
      </c>
      <c r="L1000">
        <v>136</v>
      </c>
      <c r="M1000" t="s">
        <v>780</v>
      </c>
      <c r="N1000" t="s">
        <v>257</v>
      </c>
      <c r="O1000" t="s">
        <v>258</v>
      </c>
      <c r="P1000" t="s">
        <v>259</v>
      </c>
      <c r="R1000" t="s">
        <v>260</v>
      </c>
      <c r="T1000">
        <v>28034</v>
      </c>
      <c r="U1000" t="s">
        <v>261</v>
      </c>
      <c r="V1000" t="s">
        <v>110</v>
      </c>
      <c r="W1000" t="s">
        <v>262</v>
      </c>
      <c r="X1000" t="s">
        <v>263</v>
      </c>
      <c r="Y1000" t="s">
        <v>119</v>
      </c>
    </row>
    <row r="1001" spans="1:25">
      <c r="A1001">
        <v>10166</v>
      </c>
      <c r="B1001">
        <v>43</v>
      </c>
      <c r="C1001">
        <v>100</v>
      </c>
      <c r="D1001">
        <v>2</v>
      </c>
      <c r="E1001">
        <v>6930.74</v>
      </c>
      <c r="F1001" t="s">
        <v>525</v>
      </c>
      <c r="G1001" t="s">
        <v>93</v>
      </c>
      <c r="H1001">
        <v>4</v>
      </c>
      <c r="I1001">
        <v>10</v>
      </c>
      <c r="J1001">
        <v>2003</v>
      </c>
      <c r="K1001" t="s">
        <v>697</v>
      </c>
      <c r="L1001">
        <v>136</v>
      </c>
      <c r="M1001" t="s">
        <v>780</v>
      </c>
      <c r="N1001" t="s">
        <v>242</v>
      </c>
      <c r="O1001">
        <v>5085552555</v>
      </c>
      <c r="P1001" t="s">
        <v>243</v>
      </c>
      <c r="R1001" t="s">
        <v>244</v>
      </c>
      <c r="S1001" t="s">
        <v>200</v>
      </c>
      <c r="T1001">
        <v>50553</v>
      </c>
      <c r="U1001" t="s">
        <v>100</v>
      </c>
      <c r="V1001" t="s">
        <v>101</v>
      </c>
      <c r="W1001" t="s">
        <v>245</v>
      </c>
      <c r="X1001" t="s">
        <v>246</v>
      </c>
      <c r="Y1001" t="s">
        <v>119</v>
      </c>
    </row>
    <row r="1002" spans="1:25">
      <c r="A1002">
        <v>10177</v>
      </c>
      <c r="B1002">
        <v>23</v>
      </c>
      <c r="C1002">
        <v>100</v>
      </c>
      <c r="D1002">
        <v>9</v>
      </c>
      <c r="E1002">
        <v>3675.63</v>
      </c>
      <c r="F1002" s="4">
        <v>37813</v>
      </c>
      <c r="G1002" t="s">
        <v>93</v>
      </c>
      <c r="H1002">
        <v>4</v>
      </c>
      <c r="I1002">
        <v>11</v>
      </c>
      <c r="J1002">
        <v>2003</v>
      </c>
      <c r="K1002" t="s">
        <v>697</v>
      </c>
      <c r="L1002">
        <v>136</v>
      </c>
      <c r="M1002" t="s">
        <v>780</v>
      </c>
      <c r="N1002" t="s">
        <v>618</v>
      </c>
      <c r="O1002" t="s">
        <v>619</v>
      </c>
      <c r="P1002" t="s">
        <v>620</v>
      </c>
      <c r="R1002" t="s">
        <v>260</v>
      </c>
      <c r="T1002">
        <v>28023</v>
      </c>
      <c r="U1002" t="s">
        <v>261</v>
      </c>
      <c r="V1002" t="s">
        <v>110</v>
      </c>
      <c r="W1002" t="s">
        <v>621</v>
      </c>
      <c r="X1002" t="s">
        <v>622</v>
      </c>
      <c r="Y1002" t="s">
        <v>119</v>
      </c>
    </row>
    <row r="1003" spans="1:25">
      <c r="A1003">
        <v>10185</v>
      </c>
      <c r="B1003">
        <v>28</v>
      </c>
      <c r="C1003">
        <v>100</v>
      </c>
      <c r="D1003">
        <v>9</v>
      </c>
      <c r="E1003">
        <v>3442.04</v>
      </c>
      <c r="F1003" t="s">
        <v>451</v>
      </c>
      <c r="G1003" t="s">
        <v>93</v>
      </c>
      <c r="H1003">
        <v>4</v>
      </c>
      <c r="I1003">
        <v>11</v>
      </c>
      <c r="J1003">
        <v>2003</v>
      </c>
      <c r="K1003" t="s">
        <v>697</v>
      </c>
      <c r="L1003">
        <v>136</v>
      </c>
      <c r="M1003" t="s">
        <v>780</v>
      </c>
      <c r="N1003" t="s">
        <v>439</v>
      </c>
      <c r="O1003">
        <v>5085559555</v>
      </c>
      <c r="P1003" t="s">
        <v>440</v>
      </c>
      <c r="R1003" t="s">
        <v>244</v>
      </c>
      <c r="S1003" t="s">
        <v>200</v>
      </c>
      <c r="T1003">
        <v>50553</v>
      </c>
      <c r="U1003" t="s">
        <v>100</v>
      </c>
      <c r="V1003" t="s">
        <v>101</v>
      </c>
      <c r="W1003" t="s">
        <v>441</v>
      </c>
      <c r="X1003" t="s">
        <v>442</v>
      </c>
      <c r="Y1003" t="s">
        <v>119</v>
      </c>
    </row>
    <row r="1004" spans="1:25">
      <c r="A1004">
        <v>10196</v>
      </c>
      <c r="B1004">
        <v>49</v>
      </c>
      <c r="C1004">
        <v>100</v>
      </c>
      <c r="D1004">
        <v>1</v>
      </c>
      <c r="E1004">
        <v>6893.81</v>
      </c>
      <c r="F1004" t="s">
        <v>458</v>
      </c>
      <c r="G1004" t="s">
        <v>93</v>
      </c>
      <c r="H1004">
        <v>4</v>
      </c>
      <c r="I1004">
        <v>11</v>
      </c>
      <c r="J1004">
        <v>2003</v>
      </c>
      <c r="K1004" t="s">
        <v>697</v>
      </c>
      <c r="L1004">
        <v>136</v>
      </c>
      <c r="M1004" t="s">
        <v>780</v>
      </c>
      <c r="N1004" t="s">
        <v>333</v>
      </c>
      <c r="O1004">
        <v>2035559545</v>
      </c>
      <c r="P1004" t="s">
        <v>334</v>
      </c>
      <c r="R1004" t="s">
        <v>335</v>
      </c>
      <c r="S1004" t="s">
        <v>187</v>
      </c>
      <c r="T1004">
        <v>97823</v>
      </c>
      <c r="U1004" t="s">
        <v>100</v>
      </c>
      <c r="V1004" t="s">
        <v>101</v>
      </c>
      <c r="W1004" t="s">
        <v>154</v>
      </c>
      <c r="X1004" t="s">
        <v>336</v>
      </c>
      <c r="Y1004" t="s">
        <v>119</v>
      </c>
    </row>
    <row r="1005" spans="1:25">
      <c r="A1005">
        <v>10208</v>
      </c>
      <c r="B1005">
        <v>24</v>
      </c>
      <c r="C1005">
        <v>100</v>
      </c>
      <c r="D1005">
        <v>9</v>
      </c>
      <c r="E1005">
        <v>2622.48</v>
      </c>
      <c r="F1005" s="4">
        <v>38018</v>
      </c>
      <c r="G1005" t="s">
        <v>93</v>
      </c>
      <c r="H1005">
        <v>1</v>
      </c>
      <c r="I1005">
        <v>1</v>
      </c>
      <c r="J1005">
        <v>2004</v>
      </c>
      <c r="K1005" t="s">
        <v>697</v>
      </c>
      <c r="L1005">
        <v>136</v>
      </c>
      <c r="M1005" t="s">
        <v>780</v>
      </c>
      <c r="N1005" t="s">
        <v>310</v>
      </c>
      <c r="O1005" t="s">
        <v>311</v>
      </c>
      <c r="P1005" t="s">
        <v>312</v>
      </c>
      <c r="R1005" t="s">
        <v>313</v>
      </c>
      <c r="T1005">
        <v>69004</v>
      </c>
      <c r="U1005" t="s">
        <v>109</v>
      </c>
      <c r="V1005" t="s">
        <v>110</v>
      </c>
      <c r="W1005" t="s">
        <v>314</v>
      </c>
      <c r="X1005" t="s">
        <v>315</v>
      </c>
      <c r="Y1005" t="s">
        <v>104</v>
      </c>
    </row>
    <row r="1006" spans="1:25">
      <c r="A1006">
        <v>10221</v>
      </c>
      <c r="B1006">
        <v>33</v>
      </c>
      <c r="C1006">
        <v>100</v>
      </c>
      <c r="D1006">
        <v>3</v>
      </c>
      <c r="E1006">
        <v>4417.38</v>
      </c>
      <c r="F1006" t="s">
        <v>781</v>
      </c>
      <c r="G1006" t="s">
        <v>93</v>
      </c>
      <c r="H1006">
        <v>1</v>
      </c>
      <c r="I1006">
        <v>2</v>
      </c>
      <c r="J1006">
        <v>2004</v>
      </c>
      <c r="K1006" t="s">
        <v>697</v>
      </c>
      <c r="L1006">
        <v>136</v>
      </c>
      <c r="M1006" t="s">
        <v>780</v>
      </c>
      <c r="N1006" t="s">
        <v>475</v>
      </c>
      <c r="O1006" t="s">
        <v>476</v>
      </c>
      <c r="P1006" t="s">
        <v>477</v>
      </c>
      <c r="R1006" t="s">
        <v>478</v>
      </c>
      <c r="T1006" t="s">
        <v>479</v>
      </c>
      <c r="U1006" t="s">
        <v>480</v>
      </c>
      <c r="V1006" t="s">
        <v>110</v>
      </c>
      <c r="W1006" t="s">
        <v>481</v>
      </c>
      <c r="X1006" t="s">
        <v>482</v>
      </c>
      <c r="Y1006" t="s">
        <v>119</v>
      </c>
    </row>
    <row r="1007" spans="1:25">
      <c r="A1007">
        <v>10232</v>
      </c>
      <c r="B1007">
        <v>22</v>
      </c>
      <c r="C1007">
        <v>100</v>
      </c>
      <c r="D1007">
        <v>6</v>
      </c>
      <c r="E1007">
        <v>3606.02</v>
      </c>
      <c r="F1007" t="s">
        <v>782</v>
      </c>
      <c r="G1007" t="s">
        <v>93</v>
      </c>
      <c r="H1007">
        <v>1</v>
      </c>
      <c r="I1007">
        <v>3</v>
      </c>
      <c r="J1007">
        <v>2004</v>
      </c>
      <c r="K1007" t="s">
        <v>697</v>
      </c>
      <c r="L1007">
        <v>136</v>
      </c>
      <c r="M1007" t="s">
        <v>780</v>
      </c>
      <c r="N1007" t="s">
        <v>495</v>
      </c>
      <c r="O1007" t="s">
        <v>496</v>
      </c>
      <c r="P1007" t="s">
        <v>497</v>
      </c>
      <c r="R1007" t="s">
        <v>498</v>
      </c>
      <c r="S1007" t="s">
        <v>499</v>
      </c>
      <c r="T1007" t="s">
        <v>500</v>
      </c>
      <c r="U1007" t="s">
        <v>252</v>
      </c>
      <c r="V1007" t="s">
        <v>110</v>
      </c>
      <c r="W1007" t="s">
        <v>501</v>
      </c>
      <c r="X1007" t="s">
        <v>502</v>
      </c>
      <c r="Y1007" t="s">
        <v>119</v>
      </c>
    </row>
    <row r="1008" spans="1:25">
      <c r="A1008">
        <v>10248</v>
      </c>
      <c r="B1008">
        <v>32</v>
      </c>
      <c r="C1008">
        <v>100</v>
      </c>
      <c r="D1008">
        <v>12</v>
      </c>
      <c r="E1008">
        <v>3802.56</v>
      </c>
      <c r="F1008" s="4">
        <v>38173</v>
      </c>
      <c r="G1008" t="s">
        <v>444</v>
      </c>
      <c r="H1008">
        <v>2</v>
      </c>
      <c r="I1008">
        <v>5</v>
      </c>
      <c r="J1008">
        <v>2004</v>
      </c>
      <c r="K1008" t="s">
        <v>697</v>
      </c>
      <c r="L1008">
        <v>136</v>
      </c>
      <c r="M1008" t="s">
        <v>780</v>
      </c>
      <c r="N1008" t="s">
        <v>96</v>
      </c>
      <c r="O1008">
        <v>2125557818</v>
      </c>
      <c r="P1008" t="s">
        <v>97</v>
      </c>
      <c r="R1008" t="s">
        <v>98</v>
      </c>
      <c r="S1008" t="s">
        <v>99</v>
      </c>
      <c r="T1008">
        <v>10022</v>
      </c>
      <c r="U1008" t="s">
        <v>100</v>
      </c>
      <c r="V1008" t="s">
        <v>101</v>
      </c>
      <c r="W1008" t="s">
        <v>102</v>
      </c>
      <c r="X1008" t="s">
        <v>103</v>
      </c>
      <c r="Y1008" t="s">
        <v>119</v>
      </c>
    </row>
    <row r="1009" spans="1:25">
      <c r="A1009">
        <v>10273</v>
      </c>
      <c r="B1009">
        <v>40</v>
      </c>
      <c r="C1009">
        <v>100</v>
      </c>
      <c r="D1009">
        <v>13</v>
      </c>
      <c r="E1009">
        <v>5026.3999999999996</v>
      </c>
      <c r="F1009" t="s">
        <v>474</v>
      </c>
      <c r="G1009" t="s">
        <v>93</v>
      </c>
      <c r="H1009">
        <v>3</v>
      </c>
      <c r="I1009">
        <v>7</v>
      </c>
      <c r="J1009">
        <v>2004</v>
      </c>
      <c r="K1009" t="s">
        <v>697</v>
      </c>
      <c r="L1009">
        <v>136</v>
      </c>
      <c r="M1009" t="s">
        <v>780</v>
      </c>
      <c r="N1009" t="s">
        <v>475</v>
      </c>
      <c r="O1009" t="s">
        <v>476</v>
      </c>
      <c r="P1009" t="s">
        <v>477</v>
      </c>
      <c r="R1009" t="s">
        <v>478</v>
      </c>
      <c r="T1009" t="s">
        <v>479</v>
      </c>
      <c r="U1009" t="s">
        <v>480</v>
      </c>
      <c r="V1009" t="s">
        <v>110</v>
      </c>
      <c r="W1009" t="s">
        <v>481</v>
      </c>
      <c r="X1009" t="s">
        <v>482</v>
      </c>
      <c r="Y1009" t="s">
        <v>119</v>
      </c>
    </row>
    <row r="1010" spans="1:25">
      <c r="A1010">
        <v>10282</v>
      </c>
      <c r="B1010">
        <v>43</v>
      </c>
      <c r="C1010">
        <v>100</v>
      </c>
      <c r="D1010">
        <v>1</v>
      </c>
      <c r="E1010">
        <v>6695.53</v>
      </c>
      <c r="F1010" t="s">
        <v>483</v>
      </c>
      <c r="G1010" t="s">
        <v>93</v>
      </c>
      <c r="H1010">
        <v>3</v>
      </c>
      <c r="I1010">
        <v>8</v>
      </c>
      <c r="J1010">
        <v>2004</v>
      </c>
      <c r="K1010" t="s">
        <v>697</v>
      </c>
      <c r="L1010">
        <v>136</v>
      </c>
      <c r="M1010" t="s">
        <v>780</v>
      </c>
      <c r="N1010" t="s">
        <v>367</v>
      </c>
      <c r="O1010">
        <v>4155551450</v>
      </c>
      <c r="P1010" t="s">
        <v>368</v>
      </c>
      <c r="R1010" t="s">
        <v>369</v>
      </c>
      <c r="S1010" t="s">
        <v>124</v>
      </c>
      <c r="T1010">
        <v>97562</v>
      </c>
      <c r="U1010" t="s">
        <v>100</v>
      </c>
      <c r="V1010" t="s">
        <v>101</v>
      </c>
      <c r="W1010" t="s">
        <v>370</v>
      </c>
      <c r="X1010" t="s">
        <v>371</v>
      </c>
      <c r="Y1010" t="s">
        <v>119</v>
      </c>
    </row>
    <row r="1011" spans="1:25">
      <c r="A1011">
        <v>10293</v>
      </c>
      <c r="B1011">
        <v>24</v>
      </c>
      <c r="C1011">
        <v>100</v>
      </c>
      <c r="D1011">
        <v>4</v>
      </c>
      <c r="E1011">
        <v>2819.28</v>
      </c>
      <c r="F1011" s="4">
        <v>38239</v>
      </c>
      <c r="G1011" t="s">
        <v>93</v>
      </c>
      <c r="H1011">
        <v>3</v>
      </c>
      <c r="I1011">
        <v>9</v>
      </c>
      <c r="J1011">
        <v>2004</v>
      </c>
      <c r="K1011" t="s">
        <v>697</v>
      </c>
      <c r="L1011">
        <v>136</v>
      </c>
      <c r="M1011" t="s">
        <v>780</v>
      </c>
      <c r="N1011" t="s">
        <v>348</v>
      </c>
      <c r="O1011" t="s">
        <v>349</v>
      </c>
      <c r="P1011" t="s">
        <v>350</v>
      </c>
      <c r="R1011" t="s">
        <v>351</v>
      </c>
      <c r="T1011">
        <v>10100</v>
      </c>
      <c r="U1011" t="s">
        <v>352</v>
      </c>
      <c r="V1011" t="s">
        <v>110</v>
      </c>
      <c r="W1011" t="s">
        <v>353</v>
      </c>
      <c r="X1011" t="s">
        <v>354</v>
      </c>
      <c r="Y1011" t="s">
        <v>104</v>
      </c>
    </row>
    <row r="1012" spans="1:25">
      <c r="A1012">
        <v>10306</v>
      </c>
      <c r="B1012">
        <v>32</v>
      </c>
      <c r="C1012">
        <v>100</v>
      </c>
      <c r="D1012">
        <v>9</v>
      </c>
      <c r="E1012">
        <v>3759.04</v>
      </c>
      <c r="F1012" t="s">
        <v>494</v>
      </c>
      <c r="G1012" t="s">
        <v>93</v>
      </c>
      <c r="H1012">
        <v>4</v>
      </c>
      <c r="I1012">
        <v>10</v>
      </c>
      <c r="J1012">
        <v>2004</v>
      </c>
      <c r="K1012" t="s">
        <v>697</v>
      </c>
      <c r="L1012">
        <v>136</v>
      </c>
      <c r="M1012" t="s">
        <v>780</v>
      </c>
      <c r="N1012" t="s">
        <v>624</v>
      </c>
      <c r="O1012" t="s">
        <v>625</v>
      </c>
      <c r="P1012" t="s">
        <v>626</v>
      </c>
      <c r="R1012" t="s">
        <v>627</v>
      </c>
      <c r="T1012" t="s">
        <v>628</v>
      </c>
      <c r="U1012" t="s">
        <v>252</v>
      </c>
      <c r="V1012" t="s">
        <v>110</v>
      </c>
      <c r="W1012" t="s">
        <v>629</v>
      </c>
      <c r="X1012" t="s">
        <v>167</v>
      </c>
      <c r="Y1012" t="s">
        <v>119</v>
      </c>
    </row>
    <row r="1013" spans="1:25">
      <c r="A1013">
        <v>10314</v>
      </c>
      <c r="B1013">
        <v>20</v>
      </c>
      <c r="C1013">
        <v>100</v>
      </c>
      <c r="D1013">
        <v>1</v>
      </c>
      <c r="E1013">
        <v>2731.8</v>
      </c>
      <c r="F1013" t="s">
        <v>544</v>
      </c>
      <c r="G1013" t="s">
        <v>93</v>
      </c>
      <c r="H1013">
        <v>4</v>
      </c>
      <c r="I1013">
        <v>10</v>
      </c>
      <c r="J1013">
        <v>2004</v>
      </c>
      <c r="K1013" t="s">
        <v>697</v>
      </c>
      <c r="L1013">
        <v>136</v>
      </c>
      <c r="M1013" t="s">
        <v>780</v>
      </c>
      <c r="N1013" t="s">
        <v>630</v>
      </c>
      <c r="O1013" t="s">
        <v>631</v>
      </c>
      <c r="P1013" t="s">
        <v>632</v>
      </c>
      <c r="R1013" t="s">
        <v>633</v>
      </c>
      <c r="T1013">
        <v>8200</v>
      </c>
      <c r="U1013" t="s">
        <v>429</v>
      </c>
      <c r="V1013" t="s">
        <v>110</v>
      </c>
      <c r="W1013" t="s">
        <v>634</v>
      </c>
      <c r="X1013" t="s">
        <v>635</v>
      </c>
      <c r="Y1013" t="s">
        <v>104</v>
      </c>
    </row>
    <row r="1014" spans="1:25">
      <c r="A1014">
        <v>10325</v>
      </c>
      <c r="B1014">
        <v>24</v>
      </c>
      <c r="C1014">
        <v>69.12</v>
      </c>
      <c r="D1014">
        <v>9</v>
      </c>
      <c r="E1014">
        <v>1658.88</v>
      </c>
      <c r="F1014" s="4">
        <v>38118</v>
      </c>
      <c r="G1014" t="s">
        <v>93</v>
      </c>
      <c r="H1014">
        <v>4</v>
      </c>
      <c r="I1014">
        <v>11</v>
      </c>
      <c r="J1014">
        <v>2004</v>
      </c>
      <c r="K1014" t="s">
        <v>697</v>
      </c>
      <c r="L1014">
        <v>136</v>
      </c>
      <c r="M1014" t="s">
        <v>780</v>
      </c>
      <c r="N1014" t="s">
        <v>212</v>
      </c>
      <c r="O1014" t="s">
        <v>213</v>
      </c>
      <c r="P1014" t="s">
        <v>214</v>
      </c>
      <c r="R1014" t="s">
        <v>215</v>
      </c>
      <c r="T1014">
        <v>4110</v>
      </c>
      <c r="U1014" t="s">
        <v>149</v>
      </c>
      <c r="V1014" t="s">
        <v>110</v>
      </c>
      <c r="W1014" t="s">
        <v>216</v>
      </c>
      <c r="X1014" t="s">
        <v>217</v>
      </c>
      <c r="Y1014" t="s">
        <v>104</v>
      </c>
    </row>
    <row r="1015" spans="1:25">
      <c r="A1015">
        <v>10336</v>
      </c>
      <c r="B1015">
        <v>48</v>
      </c>
      <c r="C1015">
        <v>100</v>
      </c>
      <c r="D1015">
        <v>12</v>
      </c>
      <c r="E1015">
        <v>5778.24</v>
      </c>
      <c r="F1015" t="s">
        <v>636</v>
      </c>
      <c r="G1015" t="s">
        <v>93</v>
      </c>
      <c r="H1015">
        <v>4</v>
      </c>
      <c r="I1015">
        <v>11</v>
      </c>
      <c r="J1015">
        <v>2004</v>
      </c>
      <c r="K1015" t="s">
        <v>697</v>
      </c>
      <c r="L1015">
        <v>136</v>
      </c>
      <c r="M1015" t="s">
        <v>780</v>
      </c>
      <c r="N1015" t="s">
        <v>520</v>
      </c>
      <c r="O1015" t="s">
        <v>521</v>
      </c>
      <c r="P1015" t="s">
        <v>522</v>
      </c>
      <c r="R1015" t="s">
        <v>116</v>
      </c>
      <c r="T1015">
        <v>75012</v>
      </c>
      <c r="U1015" t="s">
        <v>109</v>
      </c>
      <c r="V1015" t="s">
        <v>110</v>
      </c>
      <c r="W1015" t="s">
        <v>523</v>
      </c>
      <c r="X1015" t="s">
        <v>524</v>
      </c>
      <c r="Y1015" t="s">
        <v>119</v>
      </c>
    </row>
    <row r="1016" spans="1:25">
      <c r="A1016">
        <v>10350</v>
      </c>
      <c r="B1016">
        <v>44</v>
      </c>
      <c r="C1016">
        <v>100</v>
      </c>
      <c r="D1016">
        <v>1</v>
      </c>
      <c r="E1016">
        <v>5191.12</v>
      </c>
      <c r="F1016" s="4">
        <v>38029</v>
      </c>
      <c r="G1016" t="s">
        <v>93</v>
      </c>
      <c r="H1016">
        <v>4</v>
      </c>
      <c r="I1016">
        <v>12</v>
      </c>
      <c r="J1016">
        <v>2004</v>
      </c>
      <c r="K1016" t="s">
        <v>697</v>
      </c>
      <c r="L1016">
        <v>136</v>
      </c>
      <c r="M1016" t="s">
        <v>780</v>
      </c>
      <c r="N1016" t="s">
        <v>257</v>
      </c>
      <c r="O1016" t="s">
        <v>258</v>
      </c>
      <c r="P1016" t="s">
        <v>259</v>
      </c>
      <c r="R1016" t="s">
        <v>260</v>
      </c>
      <c r="T1016">
        <v>28034</v>
      </c>
      <c r="U1016" t="s">
        <v>261</v>
      </c>
      <c r="V1016" t="s">
        <v>110</v>
      </c>
      <c r="W1016" t="s">
        <v>262</v>
      </c>
      <c r="X1016" t="s">
        <v>263</v>
      </c>
      <c r="Y1016" t="s">
        <v>119</v>
      </c>
    </row>
    <row r="1017" spans="1:25">
      <c r="A1017">
        <v>10372</v>
      </c>
      <c r="B1017">
        <v>28</v>
      </c>
      <c r="C1017">
        <v>100</v>
      </c>
      <c r="D1017">
        <v>3</v>
      </c>
      <c r="E1017">
        <v>3862.88</v>
      </c>
      <c r="F1017" t="s">
        <v>651</v>
      </c>
      <c r="G1017" t="s">
        <v>93</v>
      </c>
      <c r="H1017">
        <v>1</v>
      </c>
      <c r="I1017">
        <v>1</v>
      </c>
      <c r="J1017">
        <v>2005</v>
      </c>
      <c r="K1017" t="s">
        <v>697</v>
      </c>
      <c r="L1017">
        <v>136</v>
      </c>
      <c r="M1017" t="s">
        <v>780</v>
      </c>
      <c r="N1017" t="s">
        <v>338</v>
      </c>
      <c r="O1017" t="s">
        <v>339</v>
      </c>
      <c r="P1017" t="s">
        <v>340</v>
      </c>
      <c r="R1017" t="s">
        <v>341</v>
      </c>
      <c r="S1017" t="s">
        <v>342</v>
      </c>
      <c r="T1017" t="s">
        <v>343</v>
      </c>
      <c r="U1017" t="s">
        <v>288</v>
      </c>
      <c r="V1017" t="s">
        <v>288</v>
      </c>
      <c r="W1017" t="s">
        <v>344</v>
      </c>
      <c r="X1017" t="s">
        <v>345</v>
      </c>
      <c r="Y1017" t="s">
        <v>119</v>
      </c>
    </row>
    <row r="1018" spans="1:25">
      <c r="A1018">
        <v>10383</v>
      </c>
      <c r="B1018">
        <v>24</v>
      </c>
      <c r="C1018">
        <v>61.52</v>
      </c>
      <c r="D1018">
        <v>9</v>
      </c>
      <c r="E1018">
        <v>1476.48</v>
      </c>
      <c r="F1018" t="s">
        <v>760</v>
      </c>
      <c r="G1018" t="s">
        <v>93</v>
      </c>
      <c r="H1018">
        <v>1</v>
      </c>
      <c r="I1018">
        <v>2</v>
      </c>
      <c r="J1018">
        <v>2005</v>
      </c>
      <c r="K1018" t="s">
        <v>697</v>
      </c>
      <c r="L1018">
        <v>136</v>
      </c>
      <c r="M1018" t="s">
        <v>780</v>
      </c>
      <c r="N1018" t="s">
        <v>257</v>
      </c>
      <c r="O1018" t="s">
        <v>258</v>
      </c>
      <c r="P1018" t="s">
        <v>259</v>
      </c>
      <c r="R1018" t="s">
        <v>260</v>
      </c>
      <c r="T1018">
        <v>28034</v>
      </c>
      <c r="U1018" t="s">
        <v>261</v>
      </c>
      <c r="V1018" t="s">
        <v>110</v>
      </c>
      <c r="W1018" t="s">
        <v>262</v>
      </c>
      <c r="X1018" t="s">
        <v>263</v>
      </c>
      <c r="Y1018" t="s">
        <v>104</v>
      </c>
    </row>
    <row r="1019" spans="1:25">
      <c r="A1019">
        <v>10396</v>
      </c>
      <c r="B1019">
        <v>33</v>
      </c>
      <c r="C1019">
        <v>100</v>
      </c>
      <c r="D1019">
        <v>2</v>
      </c>
      <c r="E1019">
        <v>5273.73</v>
      </c>
      <c r="F1019" t="s">
        <v>658</v>
      </c>
      <c r="G1019" t="s">
        <v>93</v>
      </c>
      <c r="H1019">
        <v>1</v>
      </c>
      <c r="I1019">
        <v>3</v>
      </c>
      <c r="J1019">
        <v>2005</v>
      </c>
      <c r="K1019" t="s">
        <v>697</v>
      </c>
      <c r="L1019">
        <v>136</v>
      </c>
      <c r="M1019" t="s">
        <v>780</v>
      </c>
      <c r="N1019" t="s">
        <v>367</v>
      </c>
      <c r="O1019">
        <v>4155551450</v>
      </c>
      <c r="P1019" t="s">
        <v>368</v>
      </c>
      <c r="R1019" t="s">
        <v>369</v>
      </c>
      <c r="S1019" t="s">
        <v>124</v>
      </c>
      <c r="T1019">
        <v>97562</v>
      </c>
      <c r="U1019" t="s">
        <v>100</v>
      </c>
      <c r="V1019" t="s">
        <v>101</v>
      </c>
      <c r="W1019" t="s">
        <v>370</v>
      </c>
      <c r="X1019" t="s">
        <v>371</v>
      </c>
      <c r="Y1019" t="s">
        <v>119</v>
      </c>
    </row>
    <row r="1020" spans="1:25">
      <c r="A1020">
        <v>10414</v>
      </c>
      <c r="B1020">
        <v>41</v>
      </c>
      <c r="C1020">
        <v>100</v>
      </c>
      <c r="D1020">
        <v>12</v>
      </c>
      <c r="E1020">
        <v>4872.03</v>
      </c>
      <c r="F1020" s="4">
        <v>38508</v>
      </c>
      <c r="G1020" t="s">
        <v>518</v>
      </c>
      <c r="H1020">
        <v>2</v>
      </c>
      <c r="I1020">
        <v>5</v>
      </c>
      <c r="J1020">
        <v>2005</v>
      </c>
      <c r="K1020" t="s">
        <v>697</v>
      </c>
      <c r="L1020">
        <v>136</v>
      </c>
      <c r="M1020" t="s">
        <v>780</v>
      </c>
      <c r="N1020" t="s">
        <v>490</v>
      </c>
      <c r="O1020">
        <v>6175559555</v>
      </c>
      <c r="P1020" t="s">
        <v>491</v>
      </c>
      <c r="R1020" t="s">
        <v>492</v>
      </c>
      <c r="S1020" t="s">
        <v>200</v>
      </c>
      <c r="T1020">
        <v>51003</v>
      </c>
      <c r="U1020" t="s">
        <v>100</v>
      </c>
      <c r="V1020" t="s">
        <v>101</v>
      </c>
      <c r="W1020" t="s">
        <v>493</v>
      </c>
      <c r="X1020" t="s">
        <v>136</v>
      </c>
      <c r="Y1020" t="s">
        <v>119</v>
      </c>
    </row>
    <row r="1021" spans="1:25">
      <c r="A1021">
        <v>10104</v>
      </c>
      <c r="B1021">
        <v>23</v>
      </c>
      <c r="C1021">
        <v>100</v>
      </c>
      <c r="D1021">
        <v>13</v>
      </c>
      <c r="E1021">
        <v>4556.99</v>
      </c>
      <c r="F1021" t="s">
        <v>648</v>
      </c>
      <c r="G1021" t="s">
        <v>93</v>
      </c>
      <c r="H1021">
        <v>1</v>
      </c>
      <c r="I1021">
        <v>1</v>
      </c>
      <c r="J1021">
        <v>2003</v>
      </c>
      <c r="K1021" t="s">
        <v>265</v>
      </c>
      <c r="L1021">
        <v>169</v>
      </c>
      <c r="M1021" t="s">
        <v>783</v>
      </c>
      <c r="N1021" t="s">
        <v>257</v>
      </c>
      <c r="O1021" t="s">
        <v>258</v>
      </c>
      <c r="P1021" t="s">
        <v>259</v>
      </c>
      <c r="R1021" t="s">
        <v>260</v>
      </c>
      <c r="T1021">
        <v>28034</v>
      </c>
      <c r="U1021" t="s">
        <v>261</v>
      </c>
      <c r="V1021" t="s">
        <v>110</v>
      </c>
      <c r="W1021" t="s">
        <v>262</v>
      </c>
      <c r="X1021" t="s">
        <v>263</v>
      </c>
      <c r="Y1021" t="s">
        <v>119</v>
      </c>
    </row>
    <row r="1022" spans="1:25">
      <c r="A1022">
        <v>10109</v>
      </c>
      <c r="B1022">
        <v>46</v>
      </c>
      <c r="C1022">
        <v>100</v>
      </c>
      <c r="D1022">
        <v>5</v>
      </c>
      <c r="E1022">
        <v>8257</v>
      </c>
      <c r="F1022" s="4">
        <v>37897</v>
      </c>
      <c r="G1022" t="s">
        <v>93</v>
      </c>
      <c r="H1022">
        <v>1</v>
      </c>
      <c r="I1022">
        <v>3</v>
      </c>
      <c r="J1022">
        <v>2003</v>
      </c>
      <c r="K1022" t="s">
        <v>265</v>
      </c>
      <c r="L1022">
        <v>169</v>
      </c>
      <c r="M1022" t="s">
        <v>783</v>
      </c>
      <c r="N1022" t="s">
        <v>410</v>
      </c>
      <c r="O1022">
        <v>2155559857</v>
      </c>
      <c r="P1022" t="s">
        <v>411</v>
      </c>
      <c r="R1022" t="s">
        <v>306</v>
      </c>
      <c r="S1022" t="s">
        <v>221</v>
      </c>
      <c r="T1022">
        <v>71270</v>
      </c>
      <c r="U1022" t="s">
        <v>100</v>
      </c>
      <c r="V1022" t="s">
        <v>101</v>
      </c>
      <c r="W1022" t="s">
        <v>201</v>
      </c>
      <c r="X1022" t="s">
        <v>412</v>
      </c>
      <c r="Y1022" t="s">
        <v>232</v>
      </c>
    </row>
    <row r="1023" spans="1:25">
      <c r="A1023">
        <v>10114</v>
      </c>
      <c r="B1023">
        <v>48</v>
      </c>
      <c r="C1023">
        <v>100</v>
      </c>
      <c r="D1023">
        <v>4</v>
      </c>
      <c r="E1023">
        <v>8209.44</v>
      </c>
      <c r="F1023" s="4">
        <v>37625</v>
      </c>
      <c r="G1023" t="s">
        <v>93</v>
      </c>
      <c r="H1023">
        <v>2</v>
      </c>
      <c r="I1023">
        <v>4</v>
      </c>
      <c r="J1023">
        <v>2003</v>
      </c>
      <c r="K1023" t="s">
        <v>265</v>
      </c>
      <c r="L1023">
        <v>169</v>
      </c>
      <c r="M1023" t="s">
        <v>783</v>
      </c>
      <c r="N1023" t="s">
        <v>520</v>
      </c>
      <c r="O1023" t="s">
        <v>521</v>
      </c>
      <c r="P1023" t="s">
        <v>522</v>
      </c>
      <c r="R1023" t="s">
        <v>116</v>
      </c>
      <c r="T1023">
        <v>75012</v>
      </c>
      <c r="U1023" t="s">
        <v>109</v>
      </c>
      <c r="V1023" t="s">
        <v>110</v>
      </c>
      <c r="W1023" t="s">
        <v>523</v>
      </c>
      <c r="X1023" t="s">
        <v>524</v>
      </c>
      <c r="Y1023" t="s">
        <v>232</v>
      </c>
    </row>
    <row r="1024" spans="1:25">
      <c r="A1024">
        <v>10122</v>
      </c>
      <c r="B1024">
        <v>25</v>
      </c>
      <c r="C1024">
        <v>100</v>
      </c>
      <c r="D1024">
        <v>3</v>
      </c>
      <c r="E1024">
        <v>3598.5</v>
      </c>
      <c r="F1024" s="4">
        <v>37838</v>
      </c>
      <c r="G1024" t="s">
        <v>93</v>
      </c>
      <c r="H1024">
        <v>2</v>
      </c>
      <c r="I1024">
        <v>5</v>
      </c>
      <c r="J1024">
        <v>2003</v>
      </c>
      <c r="K1024" t="s">
        <v>265</v>
      </c>
      <c r="L1024">
        <v>169</v>
      </c>
      <c r="M1024" t="s">
        <v>783</v>
      </c>
      <c r="N1024" t="s">
        <v>555</v>
      </c>
      <c r="O1024" t="s">
        <v>556</v>
      </c>
      <c r="P1024" t="s">
        <v>557</v>
      </c>
      <c r="R1024" t="s">
        <v>558</v>
      </c>
      <c r="T1024">
        <v>13008</v>
      </c>
      <c r="U1024" t="s">
        <v>109</v>
      </c>
      <c r="V1024" t="s">
        <v>110</v>
      </c>
      <c r="W1024" t="s">
        <v>559</v>
      </c>
      <c r="X1024" t="s">
        <v>560</v>
      </c>
      <c r="Y1024" t="s">
        <v>119</v>
      </c>
    </row>
    <row r="1025" spans="1:25">
      <c r="A1025">
        <v>10127</v>
      </c>
      <c r="B1025">
        <v>22</v>
      </c>
      <c r="C1025">
        <v>100</v>
      </c>
      <c r="D1025">
        <v>15</v>
      </c>
      <c r="E1025">
        <v>3837.24</v>
      </c>
      <c r="F1025" s="4">
        <v>37686</v>
      </c>
      <c r="G1025" t="s">
        <v>93</v>
      </c>
      <c r="H1025">
        <v>2</v>
      </c>
      <c r="I1025">
        <v>6</v>
      </c>
      <c r="J1025">
        <v>2003</v>
      </c>
      <c r="K1025" t="s">
        <v>265</v>
      </c>
      <c r="L1025">
        <v>169</v>
      </c>
      <c r="M1025" t="s">
        <v>783</v>
      </c>
      <c r="N1025" t="s">
        <v>603</v>
      </c>
      <c r="O1025">
        <v>2125557413</v>
      </c>
      <c r="P1025" t="s">
        <v>604</v>
      </c>
      <c r="Q1025" t="s">
        <v>605</v>
      </c>
      <c r="R1025" t="s">
        <v>98</v>
      </c>
      <c r="S1025" t="s">
        <v>99</v>
      </c>
      <c r="T1025">
        <v>10022</v>
      </c>
      <c r="U1025" t="s">
        <v>100</v>
      </c>
      <c r="V1025" t="s">
        <v>101</v>
      </c>
      <c r="W1025" t="s">
        <v>125</v>
      </c>
      <c r="X1025" t="s">
        <v>606</v>
      </c>
      <c r="Y1025" t="s">
        <v>119</v>
      </c>
    </row>
    <row r="1026" spans="1:25">
      <c r="A1026">
        <v>10136</v>
      </c>
      <c r="B1026">
        <v>41</v>
      </c>
      <c r="C1026">
        <v>100</v>
      </c>
      <c r="D1026">
        <v>3</v>
      </c>
      <c r="E1026">
        <v>8331.61</v>
      </c>
      <c r="F1026" s="4">
        <v>37718</v>
      </c>
      <c r="G1026" t="s">
        <v>93</v>
      </c>
      <c r="H1026">
        <v>3</v>
      </c>
      <c r="I1026">
        <v>7</v>
      </c>
      <c r="J1026">
        <v>2003</v>
      </c>
      <c r="K1026" t="s">
        <v>265</v>
      </c>
      <c r="L1026">
        <v>169</v>
      </c>
      <c r="M1026" t="s">
        <v>783</v>
      </c>
      <c r="N1026" t="s">
        <v>445</v>
      </c>
      <c r="O1026" t="s">
        <v>446</v>
      </c>
      <c r="P1026" t="s">
        <v>447</v>
      </c>
      <c r="R1026" t="s">
        <v>448</v>
      </c>
      <c r="T1026">
        <v>31000</v>
      </c>
      <c r="U1026" t="s">
        <v>109</v>
      </c>
      <c r="V1026" t="s">
        <v>110</v>
      </c>
      <c r="W1026" t="s">
        <v>449</v>
      </c>
      <c r="X1026" t="s">
        <v>450</v>
      </c>
      <c r="Y1026" t="s">
        <v>232</v>
      </c>
    </row>
    <row r="1027" spans="1:25">
      <c r="A1027">
        <v>10141</v>
      </c>
      <c r="B1027">
        <v>34</v>
      </c>
      <c r="C1027">
        <v>100</v>
      </c>
      <c r="D1027">
        <v>9</v>
      </c>
      <c r="E1027">
        <v>4836.5</v>
      </c>
      <c r="F1027" s="4">
        <v>37629</v>
      </c>
      <c r="G1027" t="s">
        <v>93</v>
      </c>
      <c r="H1027">
        <v>3</v>
      </c>
      <c r="I1027">
        <v>8</v>
      </c>
      <c r="J1027">
        <v>2003</v>
      </c>
      <c r="K1027" t="s">
        <v>265</v>
      </c>
      <c r="L1027">
        <v>169</v>
      </c>
      <c r="M1027" t="s">
        <v>783</v>
      </c>
      <c r="N1027" t="s">
        <v>593</v>
      </c>
      <c r="O1027" t="s">
        <v>594</v>
      </c>
      <c r="P1027" t="s">
        <v>595</v>
      </c>
      <c r="R1027" t="s">
        <v>596</v>
      </c>
      <c r="T1027" t="s">
        <v>597</v>
      </c>
      <c r="U1027" t="s">
        <v>208</v>
      </c>
      <c r="V1027" t="s">
        <v>110</v>
      </c>
      <c r="W1027" t="s">
        <v>598</v>
      </c>
      <c r="X1027" t="s">
        <v>599</v>
      </c>
      <c r="Y1027" t="s">
        <v>119</v>
      </c>
    </row>
    <row r="1028" spans="1:25">
      <c r="A1028">
        <v>10148</v>
      </c>
      <c r="B1028">
        <v>32</v>
      </c>
      <c r="C1028">
        <v>100</v>
      </c>
      <c r="D1028">
        <v>14</v>
      </c>
      <c r="E1028">
        <v>5418.88</v>
      </c>
      <c r="F1028" s="4">
        <v>37934</v>
      </c>
      <c r="G1028" t="s">
        <v>93</v>
      </c>
      <c r="H1028">
        <v>3</v>
      </c>
      <c r="I1028">
        <v>9</v>
      </c>
      <c r="J1028">
        <v>2003</v>
      </c>
      <c r="K1028" t="s">
        <v>265</v>
      </c>
      <c r="L1028">
        <v>169</v>
      </c>
      <c r="M1028" t="s">
        <v>783</v>
      </c>
      <c r="N1028" t="s">
        <v>384</v>
      </c>
      <c r="O1028" t="s">
        <v>385</v>
      </c>
      <c r="P1028" t="s">
        <v>386</v>
      </c>
      <c r="Q1028" t="s">
        <v>387</v>
      </c>
      <c r="R1028" t="s">
        <v>388</v>
      </c>
      <c r="S1028" t="s">
        <v>239</v>
      </c>
      <c r="T1028">
        <v>2060</v>
      </c>
      <c r="U1028" t="s">
        <v>168</v>
      </c>
      <c r="V1028" t="s">
        <v>169</v>
      </c>
      <c r="W1028" t="s">
        <v>389</v>
      </c>
      <c r="X1028" t="s">
        <v>390</v>
      </c>
      <c r="Y1028" t="s">
        <v>119</v>
      </c>
    </row>
    <row r="1029" spans="1:25">
      <c r="A1029">
        <v>10151</v>
      </c>
      <c r="B1029">
        <v>21</v>
      </c>
      <c r="C1029">
        <v>100</v>
      </c>
      <c r="D1029">
        <v>7</v>
      </c>
      <c r="E1029">
        <v>3734.01</v>
      </c>
      <c r="F1029" t="s">
        <v>661</v>
      </c>
      <c r="G1029" t="s">
        <v>93</v>
      </c>
      <c r="H1029">
        <v>3</v>
      </c>
      <c r="I1029">
        <v>9</v>
      </c>
      <c r="J1029">
        <v>2003</v>
      </c>
      <c r="K1029" t="s">
        <v>265</v>
      </c>
      <c r="L1029">
        <v>169</v>
      </c>
      <c r="M1029" t="s">
        <v>783</v>
      </c>
      <c r="N1029" t="s">
        <v>506</v>
      </c>
      <c r="O1029" t="s">
        <v>507</v>
      </c>
      <c r="P1029" t="s">
        <v>508</v>
      </c>
      <c r="R1029" t="s">
        <v>509</v>
      </c>
      <c r="T1029">
        <v>90110</v>
      </c>
      <c r="U1029" t="s">
        <v>208</v>
      </c>
      <c r="V1029" t="s">
        <v>110</v>
      </c>
      <c r="W1029" t="s">
        <v>510</v>
      </c>
      <c r="X1029" t="s">
        <v>511</v>
      </c>
      <c r="Y1029" t="s">
        <v>119</v>
      </c>
    </row>
    <row r="1030" spans="1:25">
      <c r="A1030">
        <v>10160</v>
      </c>
      <c r="B1030">
        <v>20</v>
      </c>
      <c r="C1030">
        <v>100</v>
      </c>
      <c r="D1030">
        <v>1</v>
      </c>
      <c r="E1030">
        <v>3996.4</v>
      </c>
      <c r="F1030" s="4">
        <v>37935</v>
      </c>
      <c r="G1030" t="s">
        <v>93</v>
      </c>
      <c r="H1030">
        <v>4</v>
      </c>
      <c r="I1030">
        <v>10</v>
      </c>
      <c r="J1030">
        <v>2003</v>
      </c>
      <c r="K1030" t="s">
        <v>265</v>
      </c>
      <c r="L1030">
        <v>169</v>
      </c>
      <c r="M1030" t="s">
        <v>783</v>
      </c>
      <c r="N1030" t="s">
        <v>465</v>
      </c>
      <c r="O1030">
        <v>2155554369</v>
      </c>
      <c r="P1030" t="s">
        <v>466</v>
      </c>
      <c r="R1030" t="s">
        <v>467</v>
      </c>
      <c r="S1030" t="s">
        <v>124</v>
      </c>
      <c r="U1030" t="s">
        <v>100</v>
      </c>
      <c r="V1030" t="s">
        <v>101</v>
      </c>
      <c r="W1030" t="s">
        <v>468</v>
      </c>
      <c r="X1030" t="s">
        <v>176</v>
      </c>
      <c r="Y1030" t="s">
        <v>119</v>
      </c>
    </row>
    <row r="1031" spans="1:25">
      <c r="A1031">
        <v>10165</v>
      </c>
      <c r="B1031">
        <v>47</v>
      </c>
      <c r="C1031">
        <v>100</v>
      </c>
      <c r="D1031">
        <v>16</v>
      </c>
      <c r="E1031">
        <v>8754.69</v>
      </c>
      <c r="F1031" t="s">
        <v>608</v>
      </c>
      <c r="G1031" t="s">
        <v>93</v>
      </c>
      <c r="H1031">
        <v>4</v>
      </c>
      <c r="I1031">
        <v>10</v>
      </c>
      <c r="J1031">
        <v>2003</v>
      </c>
      <c r="K1031" t="s">
        <v>265</v>
      </c>
      <c r="L1031">
        <v>169</v>
      </c>
      <c r="M1031" t="s">
        <v>783</v>
      </c>
      <c r="N1031" t="s">
        <v>284</v>
      </c>
      <c r="O1031" t="s">
        <v>285</v>
      </c>
      <c r="P1031" t="s">
        <v>286</v>
      </c>
      <c r="R1031" t="s">
        <v>287</v>
      </c>
      <c r="T1031">
        <v>79903</v>
      </c>
      <c r="U1031" t="s">
        <v>287</v>
      </c>
      <c r="V1031" t="s">
        <v>288</v>
      </c>
      <c r="W1031" t="s">
        <v>289</v>
      </c>
      <c r="X1031" t="s">
        <v>290</v>
      </c>
      <c r="Y1031" t="s">
        <v>232</v>
      </c>
    </row>
    <row r="1032" spans="1:25">
      <c r="A1032">
        <v>10171</v>
      </c>
      <c r="B1032">
        <v>39</v>
      </c>
      <c r="C1032">
        <v>100</v>
      </c>
      <c r="D1032">
        <v>3</v>
      </c>
      <c r="E1032">
        <v>5481.45</v>
      </c>
      <c r="F1032" s="4">
        <v>37752</v>
      </c>
      <c r="G1032" t="s">
        <v>93</v>
      </c>
      <c r="H1032">
        <v>4</v>
      </c>
      <c r="I1032">
        <v>11</v>
      </c>
      <c r="J1032">
        <v>2003</v>
      </c>
      <c r="K1032" t="s">
        <v>265</v>
      </c>
      <c r="L1032">
        <v>169</v>
      </c>
      <c r="M1032" t="s">
        <v>783</v>
      </c>
      <c r="N1032" t="s">
        <v>391</v>
      </c>
      <c r="O1032" t="s">
        <v>392</v>
      </c>
      <c r="P1032" t="s">
        <v>393</v>
      </c>
      <c r="R1032" t="s">
        <v>394</v>
      </c>
      <c r="S1032" t="s">
        <v>395</v>
      </c>
      <c r="T1032" t="s">
        <v>396</v>
      </c>
      <c r="U1032" t="s">
        <v>322</v>
      </c>
      <c r="V1032" t="s">
        <v>101</v>
      </c>
      <c r="W1032" t="s">
        <v>397</v>
      </c>
      <c r="X1032" t="s">
        <v>398</v>
      </c>
      <c r="Y1032" t="s">
        <v>119</v>
      </c>
    </row>
    <row r="1033" spans="1:25">
      <c r="A1033">
        <v>10175</v>
      </c>
      <c r="B1033">
        <v>29</v>
      </c>
      <c r="C1033">
        <v>100</v>
      </c>
      <c r="D1033">
        <v>5</v>
      </c>
      <c r="E1033">
        <v>4419.8900000000003</v>
      </c>
      <c r="F1033" s="4">
        <v>37783</v>
      </c>
      <c r="G1033" t="s">
        <v>93</v>
      </c>
      <c r="H1033">
        <v>4</v>
      </c>
      <c r="I1033">
        <v>11</v>
      </c>
      <c r="J1033">
        <v>2003</v>
      </c>
      <c r="K1033" t="s">
        <v>265</v>
      </c>
      <c r="L1033">
        <v>169</v>
      </c>
      <c r="M1033" t="s">
        <v>783</v>
      </c>
      <c r="N1033" t="s">
        <v>433</v>
      </c>
      <c r="O1033" t="s">
        <v>434</v>
      </c>
      <c r="P1033" t="s">
        <v>435</v>
      </c>
      <c r="R1033" t="s">
        <v>436</v>
      </c>
      <c r="T1033" t="s">
        <v>437</v>
      </c>
      <c r="U1033" t="s">
        <v>252</v>
      </c>
      <c r="V1033" t="s">
        <v>110</v>
      </c>
      <c r="W1033" t="s">
        <v>130</v>
      </c>
      <c r="X1033" t="s">
        <v>438</v>
      </c>
      <c r="Y1033" t="s">
        <v>119</v>
      </c>
    </row>
    <row r="1034" spans="1:25">
      <c r="A1034">
        <v>10181</v>
      </c>
      <c r="B1034">
        <v>45</v>
      </c>
      <c r="C1034">
        <v>100</v>
      </c>
      <c r="D1034">
        <v>7</v>
      </c>
      <c r="E1034">
        <v>6324.75</v>
      </c>
      <c r="F1034" s="4">
        <v>37966</v>
      </c>
      <c r="G1034" t="s">
        <v>93</v>
      </c>
      <c r="H1034">
        <v>4</v>
      </c>
      <c r="I1034">
        <v>11</v>
      </c>
      <c r="J1034">
        <v>2003</v>
      </c>
      <c r="K1034" t="s">
        <v>265</v>
      </c>
      <c r="L1034">
        <v>169</v>
      </c>
      <c r="M1034" t="s">
        <v>783</v>
      </c>
      <c r="N1034" t="s">
        <v>144</v>
      </c>
      <c r="O1034" t="s">
        <v>145</v>
      </c>
      <c r="P1034" t="s">
        <v>146</v>
      </c>
      <c r="R1034" t="s">
        <v>147</v>
      </c>
      <c r="T1034" t="s">
        <v>148</v>
      </c>
      <c r="U1034" t="s">
        <v>149</v>
      </c>
      <c r="V1034" t="s">
        <v>110</v>
      </c>
      <c r="W1034" t="s">
        <v>150</v>
      </c>
      <c r="X1034" t="s">
        <v>151</v>
      </c>
      <c r="Y1034" t="s">
        <v>119</v>
      </c>
    </row>
    <row r="1035" spans="1:25">
      <c r="A1035">
        <v>10184</v>
      </c>
      <c r="B1035">
        <v>28</v>
      </c>
      <c r="C1035">
        <v>100</v>
      </c>
      <c r="D1035">
        <v>10</v>
      </c>
      <c r="E1035">
        <v>4409.72</v>
      </c>
      <c r="F1035" t="s">
        <v>451</v>
      </c>
      <c r="G1035" t="s">
        <v>93</v>
      </c>
      <c r="H1035">
        <v>4</v>
      </c>
      <c r="I1035">
        <v>11</v>
      </c>
      <c r="J1035">
        <v>2003</v>
      </c>
      <c r="K1035" t="s">
        <v>265</v>
      </c>
      <c r="L1035">
        <v>169</v>
      </c>
      <c r="M1035" t="s">
        <v>783</v>
      </c>
      <c r="N1035" t="s">
        <v>662</v>
      </c>
      <c r="O1035" t="s">
        <v>663</v>
      </c>
      <c r="P1035" t="s">
        <v>664</v>
      </c>
      <c r="R1035" t="s">
        <v>665</v>
      </c>
      <c r="T1035">
        <v>41101</v>
      </c>
      <c r="U1035" t="s">
        <v>261</v>
      </c>
      <c r="V1035" t="s">
        <v>110</v>
      </c>
      <c r="W1035" t="s">
        <v>666</v>
      </c>
      <c r="X1035" t="s">
        <v>667</v>
      </c>
      <c r="Y1035" t="s">
        <v>119</v>
      </c>
    </row>
    <row r="1036" spans="1:25">
      <c r="A1036">
        <v>10192</v>
      </c>
      <c r="B1036">
        <v>26</v>
      </c>
      <c r="C1036">
        <v>100</v>
      </c>
      <c r="D1036">
        <v>12</v>
      </c>
      <c r="E1036">
        <v>3918.46</v>
      </c>
      <c r="F1036" t="s">
        <v>561</v>
      </c>
      <c r="G1036" t="s">
        <v>93</v>
      </c>
      <c r="H1036">
        <v>4</v>
      </c>
      <c r="I1036">
        <v>11</v>
      </c>
      <c r="J1036">
        <v>2003</v>
      </c>
      <c r="K1036" t="s">
        <v>265</v>
      </c>
      <c r="L1036">
        <v>169</v>
      </c>
      <c r="M1036" t="s">
        <v>783</v>
      </c>
      <c r="N1036" t="s">
        <v>372</v>
      </c>
      <c r="O1036">
        <v>6035558647</v>
      </c>
      <c r="P1036" t="s">
        <v>373</v>
      </c>
      <c r="R1036" t="s">
        <v>374</v>
      </c>
      <c r="S1036" t="s">
        <v>375</v>
      </c>
      <c r="T1036">
        <v>62005</v>
      </c>
      <c r="U1036" t="s">
        <v>100</v>
      </c>
      <c r="V1036" t="s">
        <v>101</v>
      </c>
      <c r="W1036" t="s">
        <v>125</v>
      </c>
      <c r="X1036" t="s">
        <v>371</v>
      </c>
      <c r="Y1036" t="s">
        <v>119</v>
      </c>
    </row>
    <row r="1037" spans="1:25">
      <c r="A1037">
        <v>10195</v>
      </c>
      <c r="B1037">
        <v>50</v>
      </c>
      <c r="C1037">
        <v>100</v>
      </c>
      <c r="D1037">
        <v>10</v>
      </c>
      <c r="E1037">
        <v>7620.5</v>
      </c>
      <c r="F1037" t="s">
        <v>309</v>
      </c>
      <c r="G1037" t="s">
        <v>93</v>
      </c>
      <c r="H1037">
        <v>4</v>
      </c>
      <c r="I1037">
        <v>11</v>
      </c>
      <c r="J1037">
        <v>2003</v>
      </c>
      <c r="K1037" t="s">
        <v>265</v>
      </c>
      <c r="L1037">
        <v>169</v>
      </c>
      <c r="M1037" t="s">
        <v>783</v>
      </c>
      <c r="N1037" t="s">
        <v>419</v>
      </c>
      <c r="O1037">
        <v>9145554562</v>
      </c>
      <c r="P1037" t="s">
        <v>420</v>
      </c>
      <c r="R1037" t="s">
        <v>421</v>
      </c>
      <c r="S1037" t="s">
        <v>99</v>
      </c>
      <c r="T1037">
        <v>24067</v>
      </c>
      <c r="U1037" t="s">
        <v>100</v>
      </c>
      <c r="V1037" t="s">
        <v>101</v>
      </c>
      <c r="W1037" t="s">
        <v>175</v>
      </c>
      <c r="X1037" t="s">
        <v>329</v>
      </c>
      <c r="Y1037" t="s">
        <v>232</v>
      </c>
    </row>
    <row r="1038" spans="1:25">
      <c r="A1038">
        <v>10203</v>
      </c>
      <c r="B1038">
        <v>48</v>
      </c>
      <c r="C1038">
        <v>100</v>
      </c>
      <c r="D1038">
        <v>1</v>
      </c>
      <c r="E1038">
        <v>8291.0400000000009</v>
      </c>
      <c r="F1038" s="4">
        <v>37664</v>
      </c>
      <c r="G1038" t="s">
        <v>93</v>
      </c>
      <c r="H1038">
        <v>4</v>
      </c>
      <c r="I1038">
        <v>12</v>
      </c>
      <c r="J1038">
        <v>2003</v>
      </c>
      <c r="K1038" t="s">
        <v>265</v>
      </c>
      <c r="L1038">
        <v>169</v>
      </c>
      <c r="M1038" t="s">
        <v>783</v>
      </c>
      <c r="N1038" t="s">
        <v>257</v>
      </c>
      <c r="O1038" t="s">
        <v>258</v>
      </c>
      <c r="P1038" t="s">
        <v>259</v>
      </c>
      <c r="R1038" t="s">
        <v>260</v>
      </c>
      <c r="T1038">
        <v>28034</v>
      </c>
      <c r="U1038" t="s">
        <v>261</v>
      </c>
      <c r="V1038" t="s">
        <v>110</v>
      </c>
      <c r="W1038" t="s">
        <v>262</v>
      </c>
      <c r="X1038" t="s">
        <v>263</v>
      </c>
      <c r="Y1038" t="s">
        <v>232</v>
      </c>
    </row>
    <row r="1039" spans="1:25">
      <c r="A1039">
        <v>10207</v>
      </c>
      <c r="B1039">
        <v>25</v>
      </c>
      <c r="C1039">
        <v>100</v>
      </c>
      <c r="D1039">
        <v>11</v>
      </c>
      <c r="E1039">
        <v>3937.25</v>
      </c>
      <c r="F1039" s="4">
        <v>37876</v>
      </c>
      <c r="G1039" t="s">
        <v>93</v>
      </c>
      <c r="H1039">
        <v>4</v>
      </c>
      <c r="I1039">
        <v>12</v>
      </c>
      <c r="J1039">
        <v>2003</v>
      </c>
      <c r="K1039" t="s">
        <v>265</v>
      </c>
      <c r="L1039">
        <v>169</v>
      </c>
      <c r="M1039" t="s">
        <v>783</v>
      </c>
      <c r="N1039" t="s">
        <v>533</v>
      </c>
      <c r="O1039">
        <v>6175552555</v>
      </c>
      <c r="P1039" t="s">
        <v>534</v>
      </c>
      <c r="R1039" t="s">
        <v>492</v>
      </c>
      <c r="S1039" t="s">
        <v>200</v>
      </c>
      <c r="T1039">
        <v>51003</v>
      </c>
      <c r="U1039" t="s">
        <v>100</v>
      </c>
      <c r="V1039" t="s">
        <v>101</v>
      </c>
      <c r="W1039" t="s">
        <v>535</v>
      </c>
      <c r="X1039" t="s">
        <v>371</v>
      </c>
      <c r="Y1039" t="s">
        <v>119</v>
      </c>
    </row>
    <row r="1040" spans="1:25">
      <c r="A1040">
        <v>10212</v>
      </c>
      <c r="B1040">
        <v>40</v>
      </c>
      <c r="C1040">
        <v>100</v>
      </c>
      <c r="D1040">
        <v>11</v>
      </c>
      <c r="E1040">
        <v>5554.4</v>
      </c>
      <c r="F1040" t="s">
        <v>653</v>
      </c>
      <c r="G1040" t="s">
        <v>93</v>
      </c>
      <c r="H1040">
        <v>1</v>
      </c>
      <c r="I1040">
        <v>1</v>
      </c>
      <c r="J1040">
        <v>2004</v>
      </c>
      <c r="K1040" t="s">
        <v>265</v>
      </c>
      <c r="L1040">
        <v>169</v>
      </c>
      <c r="M1040" t="s">
        <v>783</v>
      </c>
      <c r="N1040" t="s">
        <v>257</v>
      </c>
      <c r="O1040" t="s">
        <v>258</v>
      </c>
      <c r="P1040" t="s">
        <v>259</v>
      </c>
      <c r="R1040" t="s">
        <v>260</v>
      </c>
      <c r="T1040">
        <v>28034</v>
      </c>
      <c r="U1040" t="s">
        <v>261</v>
      </c>
      <c r="V1040" t="s">
        <v>110</v>
      </c>
      <c r="W1040" t="s">
        <v>262</v>
      </c>
      <c r="X1040" t="s">
        <v>263</v>
      </c>
      <c r="Y1040" t="s">
        <v>119</v>
      </c>
    </row>
    <row r="1041" spans="1:25">
      <c r="A1041">
        <v>10225</v>
      </c>
      <c r="B1041">
        <v>43</v>
      </c>
      <c r="C1041">
        <v>100</v>
      </c>
      <c r="D1041">
        <v>2</v>
      </c>
      <c r="E1041">
        <v>6407.86</v>
      </c>
      <c r="F1041" t="s">
        <v>569</v>
      </c>
      <c r="G1041" t="s">
        <v>93</v>
      </c>
      <c r="H1041">
        <v>1</v>
      </c>
      <c r="I1041">
        <v>2</v>
      </c>
      <c r="J1041">
        <v>2004</v>
      </c>
      <c r="K1041" t="s">
        <v>265</v>
      </c>
      <c r="L1041">
        <v>169</v>
      </c>
      <c r="M1041" t="s">
        <v>783</v>
      </c>
      <c r="N1041" t="s">
        <v>570</v>
      </c>
      <c r="O1041" t="s">
        <v>571</v>
      </c>
      <c r="P1041" t="s">
        <v>572</v>
      </c>
      <c r="R1041" t="s">
        <v>573</v>
      </c>
      <c r="T1041">
        <v>1203</v>
      </c>
      <c r="U1041" t="s">
        <v>574</v>
      </c>
      <c r="V1041" t="s">
        <v>110</v>
      </c>
      <c r="W1041" t="s">
        <v>575</v>
      </c>
      <c r="X1041" t="s">
        <v>176</v>
      </c>
      <c r="Y1041" t="s">
        <v>119</v>
      </c>
    </row>
    <row r="1042" spans="1:25">
      <c r="A1042">
        <v>10229</v>
      </c>
      <c r="B1042">
        <v>22</v>
      </c>
      <c r="C1042">
        <v>100</v>
      </c>
      <c r="D1042">
        <v>5</v>
      </c>
      <c r="E1042">
        <v>4172.5200000000004</v>
      </c>
      <c r="F1042" s="4">
        <v>38294</v>
      </c>
      <c r="G1042" t="s">
        <v>93</v>
      </c>
      <c r="H1042">
        <v>1</v>
      </c>
      <c r="I1042">
        <v>3</v>
      </c>
      <c r="J1042">
        <v>2004</v>
      </c>
      <c r="K1042" t="s">
        <v>265</v>
      </c>
      <c r="L1042">
        <v>169</v>
      </c>
      <c r="M1042" t="s">
        <v>783</v>
      </c>
      <c r="N1042" t="s">
        <v>367</v>
      </c>
      <c r="O1042">
        <v>4155551450</v>
      </c>
      <c r="P1042" t="s">
        <v>368</v>
      </c>
      <c r="R1042" t="s">
        <v>369</v>
      </c>
      <c r="S1042" t="s">
        <v>124</v>
      </c>
      <c r="T1042">
        <v>97562</v>
      </c>
      <c r="U1042" t="s">
        <v>100</v>
      </c>
      <c r="V1042" t="s">
        <v>101</v>
      </c>
      <c r="W1042" t="s">
        <v>370</v>
      </c>
      <c r="X1042" t="s">
        <v>371</v>
      </c>
      <c r="Y1042" t="s">
        <v>119</v>
      </c>
    </row>
    <row r="1043" spans="1:25">
      <c r="A1043">
        <v>10239</v>
      </c>
      <c r="B1043">
        <v>47</v>
      </c>
      <c r="C1043">
        <v>100</v>
      </c>
      <c r="D1043">
        <v>1</v>
      </c>
      <c r="E1043">
        <v>7083.37</v>
      </c>
      <c r="F1043" s="4">
        <v>38325</v>
      </c>
      <c r="G1043" t="s">
        <v>93</v>
      </c>
      <c r="H1043">
        <v>2</v>
      </c>
      <c r="I1043">
        <v>4</v>
      </c>
      <c r="J1043">
        <v>2004</v>
      </c>
      <c r="K1043" t="s">
        <v>265</v>
      </c>
      <c r="L1043">
        <v>169</v>
      </c>
      <c r="M1043" t="s">
        <v>783</v>
      </c>
      <c r="N1043" t="s">
        <v>506</v>
      </c>
      <c r="O1043" t="s">
        <v>507</v>
      </c>
      <c r="P1043" t="s">
        <v>508</v>
      </c>
      <c r="R1043" t="s">
        <v>509</v>
      </c>
      <c r="T1043">
        <v>90110</v>
      </c>
      <c r="U1043" t="s">
        <v>208</v>
      </c>
      <c r="V1043" t="s">
        <v>110</v>
      </c>
      <c r="W1043" t="s">
        <v>510</v>
      </c>
      <c r="X1043" t="s">
        <v>511</v>
      </c>
      <c r="Y1043" t="s">
        <v>232</v>
      </c>
    </row>
    <row r="1044" spans="1:25">
      <c r="A1044">
        <v>10246</v>
      </c>
      <c r="B1044">
        <v>36</v>
      </c>
      <c r="C1044">
        <v>100</v>
      </c>
      <c r="D1044">
        <v>9</v>
      </c>
      <c r="E1044">
        <v>7132.68</v>
      </c>
      <c r="F1044" s="4">
        <v>38112</v>
      </c>
      <c r="G1044" t="s">
        <v>93</v>
      </c>
      <c r="H1044">
        <v>2</v>
      </c>
      <c r="I1044">
        <v>5</v>
      </c>
      <c r="J1044">
        <v>2004</v>
      </c>
      <c r="K1044" t="s">
        <v>265</v>
      </c>
      <c r="L1044">
        <v>169</v>
      </c>
      <c r="M1044" t="s">
        <v>783</v>
      </c>
      <c r="N1044" t="s">
        <v>257</v>
      </c>
      <c r="O1044" t="s">
        <v>258</v>
      </c>
      <c r="P1044" t="s">
        <v>259</v>
      </c>
      <c r="R1044" t="s">
        <v>260</v>
      </c>
      <c r="T1044">
        <v>28034</v>
      </c>
      <c r="U1044" t="s">
        <v>261</v>
      </c>
      <c r="V1044" t="s">
        <v>110</v>
      </c>
      <c r="W1044" t="s">
        <v>262</v>
      </c>
      <c r="X1044" t="s">
        <v>263</v>
      </c>
      <c r="Y1044" t="s">
        <v>232</v>
      </c>
    </row>
    <row r="1045" spans="1:25">
      <c r="A1045">
        <v>10253</v>
      </c>
      <c r="B1045">
        <v>40</v>
      </c>
      <c r="C1045">
        <v>100</v>
      </c>
      <c r="D1045">
        <v>6</v>
      </c>
      <c r="E1045">
        <v>6773.6</v>
      </c>
      <c r="F1045" s="4">
        <v>37992</v>
      </c>
      <c r="G1045" t="s">
        <v>444</v>
      </c>
      <c r="H1045">
        <v>2</v>
      </c>
      <c r="I1045">
        <v>6</v>
      </c>
      <c r="J1045">
        <v>2004</v>
      </c>
      <c r="K1045" t="s">
        <v>265</v>
      </c>
      <c r="L1045">
        <v>169</v>
      </c>
      <c r="M1045" t="s">
        <v>783</v>
      </c>
      <c r="N1045" t="s">
        <v>247</v>
      </c>
      <c r="O1045" t="s">
        <v>248</v>
      </c>
      <c r="P1045" t="s">
        <v>249</v>
      </c>
      <c r="R1045" t="s">
        <v>250</v>
      </c>
      <c r="T1045" t="s">
        <v>251</v>
      </c>
      <c r="U1045" t="s">
        <v>252</v>
      </c>
      <c r="V1045" t="s">
        <v>110</v>
      </c>
      <c r="W1045" t="s">
        <v>253</v>
      </c>
      <c r="X1045" t="s">
        <v>254</v>
      </c>
      <c r="Y1045" t="s">
        <v>119</v>
      </c>
    </row>
    <row r="1046" spans="1:25">
      <c r="A1046">
        <v>10259</v>
      </c>
      <c r="B1046">
        <v>27</v>
      </c>
      <c r="C1046">
        <v>100</v>
      </c>
      <c r="D1046">
        <v>8</v>
      </c>
      <c r="E1046">
        <v>3657.69</v>
      </c>
      <c r="F1046" t="s">
        <v>337</v>
      </c>
      <c r="G1046" t="s">
        <v>93</v>
      </c>
      <c r="H1046">
        <v>2</v>
      </c>
      <c r="I1046">
        <v>6</v>
      </c>
      <c r="J1046">
        <v>2004</v>
      </c>
      <c r="K1046" t="s">
        <v>265</v>
      </c>
      <c r="L1046">
        <v>169</v>
      </c>
      <c r="M1046" t="s">
        <v>783</v>
      </c>
      <c r="N1046" t="s">
        <v>536</v>
      </c>
      <c r="O1046" t="s">
        <v>537</v>
      </c>
      <c r="P1046" t="s">
        <v>538</v>
      </c>
      <c r="Q1046" t="s">
        <v>539</v>
      </c>
      <c r="R1046" t="s">
        <v>287</v>
      </c>
      <c r="T1046">
        <v>69045</v>
      </c>
      <c r="U1046" t="s">
        <v>287</v>
      </c>
      <c r="V1046" t="s">
        <v>169</v>
      </c>
      <c r="W1046" t="s">
        <v>540</v>
      </c>
      <c r="X1046" t="s">
        <v>541</v>
      </c>
      <c r="Y1046" t="s">
        <v>119</v>
      </c>
    </row>
    <row r="1047" spans="1:25">
      <c r="A1047">
        <v>10266</v>
      </c>
      <c r="B1047">
        <v>29</v>
      </c>
      <c r="C1047">
        <v>100</v>
      </c>
      <c r="D1047">
        <v>7</v>
      </c>
      <c r="E1047">
        <v>4812.55</v>
      </c>
      <c r="F1047" s="4">
        <v>38145</v>
      </c>
      <c r="G1047" t="s">
        <v>93</v>
      </c>
      <c r="H1047">
        <v>3</v>
      </c>
      <c r="I1047">
        <v>7</v>
      </c>
      <c r="J1047">
        <v>2004</v>
      </c>
      <c r="K1047" t="s">
        <v>265</v>
      </c>
      <c r="L1047">
        <v>169</v>
      </c>
      <c r="M1047" t="s">
        <v>783</v>
      </c>
      <c r="N1047" t="s">
        <v>576</v>
      </c>
      <c r="O1047" t="s">
        <v>577</v>
      </c>
      <c r="P1047" t="s">
        <v>578</v>
      </c>
      <c r="R1047" t="s">
        <v>579</v>
      </c>
      <c r="T1047">
        <v>42100</v>
      </c>
      <c r="U1047" t="s">
        <v>352</v>
      </c>
      <c r="V1047" t="s">
        <v>110</v>
      </c>
      <c r="W1047" t="s">
        <v>580</v>
      </c>
      <c r="X1047" t="s">
        <v>581</v>
      </c>
      <c r="Y1047" t="s">
        <v>119</v>
      </c>
    </row>
    <row r="1048" spans="1:25">
      <c r="A1048">
        <v>10271</v>
      </c>
      <c r="B1048">
        <v>20</v>
      </c>
      <c r="C1048">
        <v>100</v>
      </c>
      <c r="D1048">
        <v>9</v>
      </c>
      <c r="E1048">
        <v>3928.6</v>
      </c>
      <c r="F1048" t="s">
        <v>623</v>
      </c>
      <c r="G1048" t="s">
        <v>93</v>
      </c>
      <c r="H1048">
        <v>3</v>
      </c>
      <c r="I1048">
        <v>7</v>
      </c>
      <c r="J1048">
        <v>2004</v>
      </c>
      <c r="K1048" t="s">
        <v>265</v>
      </c>
      <c r="L1048">
        <v>169</v>
      </c>
      <c r="M1048" t="s">
        <v>783</v>
      </c>
      <c r="N1048" t="s">
        <v>367</v>
      </c>
      <c r="O1048">
        <v>4155551450</v>
      </c>
      <c r="P1048" t="s">
        <v>368</v>
      </c>
      <c r="R1048" t="s">
        <v>369</v>
      </c>
      <c r="S1048" t="s">
        <v>124</v>
      </c>
      <c r="T1048">
        <v>97562</v>
      </c>
      <c r="U1048" t="s">
        <v>100</v>
      </c>
      <c r="V1048" t="s">
        <v>101</v>
      </c>
      <c r="W1048" t="s">
        <v>370</v>
      </c>
      <c r="X1048" t="s">
        <v>371</v>
      </c>
      <c r="Y1048" t="s">
        <v>119</v>
      </c>
    </row>
    <row r="1049" spans="1:25">
      <c r="A1049">
        <v>10278</v>
      </c>
      <c r="B1049">
        <v>42</v>
      </c>
      <c r="C1049">
        <v>100</v>
      </c>
      <c r="D1049">
        <v>7</v>
      </c>
      <c r="E1049">
        <v>6401.22</v>
      </c>
      <c r="F1049" s="4">
        <v>38146</v>
      </c>
      <c r="G1049" t="s">
        <v>93</v>
      </c>
      <c r="H1049">
        <v>3</v>
      </c>
      <c r="I1049">
        <v>8</v>
      </c>
      <c r="J1049">
        <v>2004</v>
      </c>
      <c r="K1049" t="s">
        <v>265</v>
      </c>
      <c r="L1049">
        <v>169</v>
      </c>
      <c r="M1049" t="s">
        <v>783</v>
      </c>
      <c r="N1049" t="s">
        <v>684</v>
      </c>
      <c r="O1049">
        <v>7025551838</v>
      </c>
      <c r="P1049" t="s">
        <v>685</v>
      </c>
      <c r="R1049" t="s">
        <v>686</v>
      </c>
      <c r="S1049" t="s">
        <v>687</v>
      </c>
      <c r="T1049">
        <v>83030</v>
      </c>
      <c r="U1049" t="s">
        <v>100</v>
      </c>
      <c r="V1049" t="s">
        <v>101</v>
      </c>
      <c r="W1049" t="s">
        <v>188</v>
      </c>
      <c r="X1049" t="s">
        <v>517</v>
      </c>
      <c r="Y1049" t="s">
        <v>119</v>
      </c>
    </row>
    <row r="1050" spans="1:25">
      <c r="A1050">
        <v>10281</v>
      </c>
      <c r="B1050">
        <v>25</v>
      </c>
      <c r="C1050">
        <v>100</v>
      </c>
      <c r="D1050">
        <v>5</v>
      </c>
      <c r="E1050">
        <v>4191.25</v>
      </c>
      <c r="F1050" t="s">
        <v>542</v>
      </c>
      <c r="G1050" t="s">
        <v>93</v>
      </c>
      <c r="H1050">
        <v>3</v>
      </c>
      <c r="I1050">
        <v>8</v>
      </c>
      <c r="J1050">
        <v>2004</v>
      </c>
      <c r="K1050" t="s">
        <v>265</v>
      </c>
      <c r="L1050">
        <v>169</v>
      </c>
      <c r="M1050" t="s">
        <v>783</v>
      </c>
      <c r="N1050" t="s">
        <v>218</v>
      </c>
      <c r="O1050">
        <v>2155551555</v>
      </c>
      <c r="P1050" t="s">
        <v>219</v>
      </c>
      <c r="R1050" t="s">
        <v>220</v>
      </c>
      <c r="S1050" t="s">
        <v>221</v>
      </c>
      <c r="T1050">
        <v>70267</v>
      </c>
      <c r="U1050" t="s">
        <v>100</v>
      </c>
      <c r="V1050" t="s">
        <v>101</v>
      </c>
      <c r="W1050" t="s">
        <v>102</v>
      </c>
      <c r="X1050" t="s">
        <v>222</v>
      </c>
      <c r="Y1050" t="s">
        <v>119</v>
      </c>
    </row>
    <row r="1051" spans="1:25">
      <c r="A1051">
        <v>10287</v>
      </c>
      <c r="B1051">
        <v>36</v>
      </c>
      <c r="C1051">
        <v>100</v>
      </c>
      <c r="D1051">
        <v>5</v>
      </c>
      <c r="E1051">
        <v>5852.52</v>
      </c>
      <c r="F1051" t="s">
        <v>586</v>
      </c>
      <c r="G1051" t="s">
        <v>93</v>
      </c>
      <c r="H1051">
        <v>3</v>
      </c>
      <c r="I1051">
        <v>8</v>
      </c>
      <c r="J1051">
        <v>2004</v>
      </c>
      <c r="K1051" t="s">
        <v>265</v>
      </c>
      <c r="L1051">
        <v>169</v>
      </c>
      <c r="M1051" t="s">
        <v>783</v>
      </c>
      <c r="N1051" t="s">
        <v>570</v>
      </c>
      <c r="O1051" t="s">
        <v>571</v>
      </c>
      <c r="P1051" t="s">
        <v>572</v>
      </c>
      <c r="R1051" t="s">
        <v>573</v>
      </c>
      <c r="T1051">
        <v>1203</v>
      </c>
      <c r="U1051" t="s">
        <v>574</v>
      </c>
      <c r="V1051" t="s">
        <v>110</v>
      </c>
      <c r="W1051" t="s">
        <v>575</v>
      </c>
      <c r="X1051" t="s">
        <v>176</v>
      </c>
      <c r="Y1051" t="s">
        <v>119</v>
      </c>
    </row>
    <row r="1052" spans="1:25">
      <c r="A1052">
        <v>10292</v>
      </c>
      <c r="B1052">
        <v>21</v>
      </c>
      <c r="C1052">
        <v>100</v>
      </c>
      <c r="D1052">
        <v>12</v>
      </c>
      <c r="E1052">
        <v>2844.87</v>
      </c>
      <c r="F1052" s="4">
        <v>38208</v>
      </c>
      <c r="G1052" t="s">
        <v>93</v>
      </c>
      <c r="H1052">
        <v>3</v>
      </c>
      <c r="I1052">
        <v>9</v>
      </c>
      <c r="J1052">
        <v>2004</v>
      </c>
      <c r="K1052" t="s">
        <v>265</v>
      </c>
      <c r="L1052">
        <v>169</v>
      </c>
      <c r="M1052" t="s">
        <v>783</v>
      </c>
      <c r="N1052" t="s">
        <v>96</v>
      </c>
      <c r="O1052">
        <v>2125557818</v>
      </c>
      <c r="P1052" t="s">
        <v>97</v>
      </c>
      <c r="R1052" t="s">
        <v>98</v>
      </c>
      <c r="S1052" t="s">
        <v>99</v>
      </c>
      <c r="T1052">
        <v>10022</v>
      </c>
      <c r="U1052" t="s">
        <v>100</v>
      </c>
      <c r="V1052" t="s">
        <v>101</v>
      </c>
      <c r="W1052" t="s">
        <v>102</v>
      </c>
      <c r="X1052" t="s">
        <v>103</v>
      </c>
      <c r="Y1052" t="s">
        <v>104</v>
      </c>
    </row>
    <row r="1053" spans="1:25">
      <c r="A1053">
        <v>10301</v>
      </c>
      <c r="B1053">
        <v>23</v>
      </c>
      <c r="C1053">
        <v>100</v>
      </c>
      <c r="D1053">
        <v>9</v>
      </c>
      <c r="E1053">
        <v>4011.66</v>
      </c>
      <c r="F1053" s="4">
        <v>37751</v>
      </c>
      <c r="G1053" t="s">
        <v>93</v>
      </c>
      <c r="H1053">
        <v>4</v>
      </c>
      <c r="I1053">
        <v>10</v>
      </c>
      <c r="J1053">
        <v>2003</v>
      </c>
      <c r="K1053" t="s">
        <v>265</v>
      </c>
      <c r="L1053">
        <v>169</v>
      </c>
      <c r="M1053" t="s">
        <v>783</v>
      </c>
      <c r="N1053" t="s">
        <v>688</v>
      </c>
      <c r="O1053" t="s">
        <v>689</v>
      </c>
      <c r="P1053" t="s">
        <v>690</v>
      </c>
      <c r="R1053" t="s">
        <v>691</v>
      </c>
      <c r="T1053" t="s">
        <v>692</v>
      </c>
      <c r="U1053" t="s">
        <v>149</v>
      </c>
      <c r="V1053" t="s">
        <v>110</v>
      </c>
      <c r="W1053" t="s">
        <v>693</v>
      </c>
      <c r="X1053" t="s">
        <v>694</v>
      </c>
      <c r="Y1053" t="s">
        <v>119</v>
      </c>
    </row>
    <row r="1054" spans="1:25">
      <c r="A1054">
        <v>10305</v>
      </c>
      <c r="B1054">
        <v>37</v>
      </c>
      <c r="C1054">
        <v>100</v>
      </c>
      <c r="D1054">
        <v>9</v>
      </c>
      <c r="E1054">
        <v>7455.87</v>
      </c>
      <c r="F1054" t="s">
        <v>543</v>
      </c>
      <c r="G1054" t="s">
        <v>93</v>
      </c>
      <c r="H1054">
        <v>4</v>
      </c>
      <c r="I1054">
        <v>10</v>
      </c>
      <c r="J1054">
        <v>2004</v>
      </c>
      <c r="K1054" t="s">
        <v>265</v>
      </c>
      <c r="L1054">
        <v>169</v>
      </c>
      <c r="M1054" t="s">
        <v>783</v>
      </c>
      <c r="N1054" t="s">
        <v>197</v>
      </c>
      <c r="O1054">
        <v>6175558555</v>
      </c>
      <c r="P1054" t="s">
        <v>198</v>
      </c>
      <c r="R1054" t="s">
        <v>199</v>
      </c>
      <c r="S1054" t="s">
        <v>200</v>
      </c>
      <c r="T1054">
        <v>51247</v>
      </c>
      <c r="U1054" t="s">
        <v>100</v>
      </c>
      <c r="V1054" t="s">
        <v>101</v>
      </c>
      <c r="W1054" t="s">
        <v>201</v>
      </c>
      <c r="X1054" t="s">
        <v>202</v>
      </c>
      <c r="Y1054" t="s">
        <v>232</v>
      </c>
    </row>
    <row r="1055" spans="1:25">
      <c r="A1055">
        <v>10310</v>
      </c>
      <c r="B1055">
        <v>48</v>
      </c>
      <c r="C1055">
        <v>100</v>
      </c>
      <c r="D1055">
        <v>3</v>
      </c>
      <c r="E1055">
        <v>8940.9599999999991</v>
      </c>
      <c r="F1055" t="s">
        <v>592</v>
      </c>
      <c r="G1055" t="s">
        <v>93</v>
      </c>
      <c r="H1055">
        <v>4</v>
      </c>
      <c r="I1055">
        <v>10</v>
      </c>
      <c r="J1055">
        <v>2004</v>
      </c>
      <c r="K1055" t="s">
        <v>265</v>
      </c>
      <c r="L1055">
        <v>169</v>
      </c>
      <c r="M1055" t="s">
        <v>783</v>
      </c>
      <c r="N1055" t="s">
        <v>562</v>
      </c>
      <c r="O1055" t="s">
        <v>563</v>
      </c>
      <c r="P1055" t="s">
        <v>564</v>
      </c>
      <c r="R1055" t="s">
        <v>565</v>
      </c>
      <c r="T1055">
        <v>50739</v>
      </c>
      <c r="U1055" t="s">
        <v>566</v>
      </c>
      <c r="V1055" t="s">
        <v>110</v>
      </c>
      <c r="W1055" t="s">
        <v>567</v>
      </c>
      <c r="X1055" t="s">
        <v>568</v>
      </c>
      <c r="Y1055" t="s">
        <v>232</v>
      </c>
    </row>
    <row r="1056" spans="1:25">
      <c r="A1056">
        <v>10313</v>
      </c>
      <c r="B1056">
        <v>25</v>
      </c>
      <c r="C1056">
        <v>100</v>
      </c>
      <c r="D1056">
        <v>3</v>
      </c>
      <c r="E1056">
        <v>4572.25</v>
      </c>
      <c r="F1056" t="s">
        <v>544</v>
      </c>
      <c r="G1056" t="s">
        <v>93</v>
      </c>
      <c r="H1056">
        <v>4</v>
      </c>
      <c r="I1056">
        <v>10</v>
      </c>
      <c r="J1056">
        <v>2004</v>
      </c>
      <c r="K1056" t="s">
        <v>265</v>
      </c>
      <c r="L1056">
        <v>169</v>
      </c>
      <c r="M1056" t="s">
        <v>783</v>
      </c>
      <c r="N1056" t="s">
        <v>316</v>
      </c>
      <c r="O1056" t="s">
        <v>317</v>
      </c>
      <c r="P1056" t="s">
        <v>318</v>
      </c>
      <c r="R1056" t="s">
        <v>319</v>
      </c>
      <c r="S1056" t="s">
        <v>320</v>
      </c>
      <c r="T1056" t="s">
        <v>321</v>
      </c>
      <c r="U1056" t="s">
        <v>322</v>
      </c>
      <c r="V1056" t="s">
        <v>101</v>
      </c>
      <c r="W1056" t="s">
        <v>323</v>
      </c>
      <c r="X1056" t="s">
        <v>324</v>
      </c>
      <c r="Y1056" t="s">
        <v>119</v>
      </c>
    </row>
    <row r="1057" spans="1:25">
      <c r="A1057">
        <v>10321</v>
      </c>
      <c r="B1057">
        <v>33</v>
      </c>
      <c r="C1057">
        <v>100</v>
      </c>
      <c r="D1057">
        <v>11</v>
      </c>
      <c r="E1057">
        <v>5700.09</v>
      </c>
      <c r="F1057" s="4">
        <v>38088</v>
      </c>
      <c r="G1057" t="s">
        <v>93</v>
      </c>
      <c r="H1057">
        <v>4</v>
      </c>
      <c r="I1057">
        <v>11</v>
      </c>
      <c r="J1057">
        <v>2004</v>
      </c>
      <c r="K1057" t="s">
        <v>265</v>
      </c>
      <c r="L1057">
        <v>169</v>
      </c>
      <c r="M1057" t="s">
        <v>783</v>
      </c>
      <c r="N1057" t="s">
        <v>242</v>
      </c>
      <c r="O1057">
        <v>5085552555</v>
      </c>
      <c r="P1057" t="s">
        <v>243</v>
      </c>
      <c r="R1057" t="s">
        <v>244</v>
      </c>
      <c r="S1057" t="s">
        <v>200</v>
      </c>
      <c r="T1057">
        <v>50553</v>
      </c>
      <c r="U1057" t="s">
        <v>100</v>
      </c>
      <c r="V1057" t="s">
        <v>101</v>
      </c>
      <c r="W1057" t="s">
        <v>245</v>
      </c>
      <c r="X1057" t="s">
        <v>246</v>
      </c>
      <c r="Y1057" t="s">
        <v>119</v>
      </c>
    </row>
    <row r="1058" spans="1:25">
      <c r="A1058">
        <v>10324</v>
      </c>
      <c r="B1058">
        <v>27</v>
      </c>
      <c r="C1058">
        <v>100</v>
      </c>
      <c r="D1058">
        <v>12</v>
      </c>
      <c r="E1058">
        <v>3155.49</v>
      </c>
      <c r="F1058" s="4">
        <v>38118</v>
      </c>
      <c r="G1058" t="s">
        <v>93</v>
      </c>
      <c r="H1058">
        <v>4</v>
      </c>
      <c r="I1058">
        <v>11</v>
      </c>
      <c r="J1058">
        <v>2004</v>
      </c>
      <c r="K1058" t="s">
        <v>265</v>
      </c>
      <c r="L1058">
        <v>169</v>
      </c>
      <c r="M1058" t="s">
        <v>783</v>
      </c>
      <c r="N1058" t="s">
        <v>172</v>
      </c>
      <c r="O1058">
        <v>2125551500</v>
      </c>
      <c r="P1058" t="s">
        <v>173</v>
      </c>
      <c r="Q1058" t="s">
        <v>174</v>
      </c>
      <c r="R1058" t="s">
        <v>98</v>
      </c>
      <c r="S1058" t="s">
        <v>99</v>
      </c>
      <c r="T1058">
        <v>10022</v>
      </c>
      <c r="U1058" t="s">
        <v>100</v>
      </c>
      <c r="V1058" t="s">
        <v>101</v>
      </c>
      <c r="W1058" t="s">
        <v>175</v>
      </c>
      <c r="X1058" t="s">
        <v>176</v>
      </c>
      <c r="Y1058" t="s">
        <v>119</v>
      </c>
    </row>
    <row r="1059" spans="1:25">
      <c r="A1059">
        <v>10331</v>
      </c>
      <c r="B1059">
        <v>27</v>
      </c>
      <c r="C1059">
        <v>100</v>
      </c>
      <c r="D1059">
        <v>11</v>
      </c>
      <c r="E1059">
        <v>4170.6899999999996</v>
      </c>
      <c r="F1059" t="s">
        <v>695</v>
      </c>
      <c r="G1059" t="s">
        <v>93</v>
      </c>
      <c r="H1059">
        <v>4</v>
      </c>
      <c r="I1059">
        <v>11</v>
      </c>
      <c r="J1059">
        <v>2004</v>
      </c>
      <c r="K1059" t="s">
        <v>265</v>
      </c>
      <c r="L1059">
        <v>169</v>
      </c>
      <c r="M1059" t="s">
        <v>783</v>
      </c>
      <c r="N1059" t="s">
        <v>410</v>
      </c>
      <c r="O1059">
        <v>2155559857</v>
      </c>
      <c r="P1059" t="s">
        <v>411</v>
      </c>
      <c r="R1059" t="s">
        <v>306</v>
      </c>
      <c r="S1059" t="s">
        <v>221</v>
      </c>
      <c r="T1059">
        <v>71270</v>
      </c>
      <c r="U1059" t="s">
        <v>100</v>
      </c>
      <c r="V1059" t="s">
        <v>101</v>
      </c>
      <c r="W1059" t="s">
        <v>201</v>
      </c>
      <c r="X1059" t="s">
        <v>412</v>
      </c>
      <c r="Y1059" t="s">
        <v>119</v>
      </c>
    </row>
    <row r="1060" spans="1:25">
      <c r="A1060">
        <v>10334</v>
      </c>
      <c r="B1060">
        <v>20</v>
      </c>
      <c r="C1060">
        <v>100</v>
      </c>
      <c r="D1060">
        <v>3</v>
      </c>
      <c r="E1060">
        <v>2878.8</v>
      </c>
      <c r="F1060" t="s">
        <v>545</v>
      </c>
      <c r="G1060" t="s">
        <v>518</v>
      </c>
      <c r="H1060">
        <v>4</v>
      </c>
      <c r="I1060">
        <v>11</v>
      </c>
      <c r="J1060">
        <v>2004</v>
      </c>
      <c r="K1060" t="s">
        <v>265</v>
      </c>
      <c r="L1060">
        <v>169</v>
      </c>
      <c r="M1060" t="s">
        <v>783</v>
      </c>
      <c r="N1060" t="s">
        <v>268</v>
      </c>
      <c r="O1060" t="s">
        <v>269</v>
      </c>
      <c r="P1060" t="s">
        <v>270</v>
      </c>
      <c r="R1060" t="s">
        <v>271</v>
      </c>
      <c r="T1060" t="s">
        <v>272</v>
      </c>
      <c r="U1060" t="s">
        <v>273</v>
      </c>
      <c r="V1060" t="s">
        <v>110</v>
      </c>
      <c r="W1060" t="s">
        <v>274</v>
      </c>
      <c r="X1060" t="s">
        <v>275</v>
      </c>
      <c r="Y1060" t="s">
        <v>104</v>
      </c>
    </row>
    <row r="1061" spans="1:25">
      <c r="A1061">
        <v>10342</v>
      </c>
      <c r="B1061">
        <v>30</v>
      </c>
      <c r="C1061">
        <v>100</v>
      </c>
      <c r="D1061">
        <v>4</v>
      </c>
      <c r="E1061">
        <v>5029.5</v>
      </c>
      <c r="F1061" t="s">
        <v>224</v>
      </c>
      <c r="G1061" t="s">
        <v>93</v>
      </c>
      <c r="H1061">
        <v>4</v>
      </c>
      <c r="I1061">
        <v>11</v>
      </c>
      <c r="J1061">
        <v>2004</v>
      </c>
      <c r="K1061" t="s">
        <v>265</v>
      </c>
      <c r="L1061">
        <v>169</v>
      </c>
      <c r="M1061" t="s">
        <v>783</v>
      </c>
      <c r="N1061" t="s">
        <v>162</v>
      </c>
      <c r="O1061" t="s">
        <v>163</v>
      </c>
      <c r="P1061" t="s">
        <v>164</v>
      </c>
      <c r="Q1061" t="s">
        <v>165</v>
      </c>
      <c r="R1061" t="s">
        <v>166</v>
      </c>
      <c r="S1061" t="s">
        <v>167</v>
      </c>
      <c r="T1061">
        <v>3004</v>
      </c>
      <c r="U1061" t="s">
        <v>168</v>
      </c>
      <c r="V1061" t="s">
        <v>169</v>
      </c>
      <c r="W1061" t="s">
        <v>170</v>
      </c>
      <c r="X1061" t="s">
        <v>171</v>
      </c>
      <c r="Y1061" t="s">
        <v>119</v>
      </c>
    </row>
    <row r="1062" spans="1:25">
      <c r="A1062">
        <v>10349</v>
      </c>
      <c r="B1062">
        <v>48</v>
      </c>
      <c r="C1062">
        <v>100</v>
      </c>
      <c r="D1062">
        <v>6</v>
      </c>
      <c r="E1062">
        <v>7396.8</v>
      </c>
      <c r="F1062" s="4">
        <v>37998</v>
      </c>
      <c r="G1062" t="s">
        <v>93</v>
      </c>
      <c r="H1062">
        <v>4</v>
      </c>
      <c r="I1062">
        <v>12</v>
      </c>
      <c r="J1062">
        <v>2004</v>
      </c>
      <c r="K1062" t="s">
        <v>265</v>
      </c>
      <c r="L1062">
        <v>169</v>
      </c>
      <c r="M1062" t="s">
        <v>783</v>
      </c>
      <c r="N1062" t="s">
        <v>603</v>
      </c>
      <c r="O1062">
        <v>2125557413</v>
      </c>
      <c r="P1062" t="s">
        <v>604</v>
      </c>
      <c r="Q1062" t="s">
        <v>605</v>
      </c>
      <c r="R1062" t="s">
        <v>98</v>
      </c>
      <c r="S1062" t="s">
        <v>99</v>
      </c>
      <c r="T1062">
        <v>10022</v>
      </c>
      <c r="U1062" t="s">
        <v>100</v>
      </c>
      <c r="V1062" t="s">
        <v>101</v>
      </c>
      <c r="W1062" t="s">
        <v>125</v>
      </c>
      <c r="X1062" t="s">
        <v>606</v>
      </c>
      <c r="Y1062" t="s">
        <v>232</v>
      </c>
    </row>
    <row r="1063" spans="1:25">
      <c r="A1063">
        <v>10358</v>
      </c>
      <c r="B1063">
        <v>32</v>
      </c>
      <c r="C1063">
        <v>93.49</v>
      </c>
      <c r="D1063">
        <v>12</v>
      </c>
      <c r="E1063">
        <v>2991.68</v>
      </c>
      <c r="F1063" s="4">
        <v>38272</v>
      </c>
      <c r="G1063" t="s">
        <v>93</v>
      </c>
      <c r="H1063">
        <v>4</v>
      </c>
      <c r="I1063">
        <v>12</v>
      </c>
      <c r="J1063">
        <v>2004</v>
      </c>
      <c r="K1063" t="s">
        <v>265</v>
      </c>
      <c r="L1063">
        <v>169</v>
      </c>
      <c r="M1063" t="s">
        <v>783</v>
      </c>
      <c r="N1063" t="s">
        <v>257</v>
      </c>
      <c r="O1063" t="s">
        <v>258</v>
      </c>
      <c r="P1063" t="s">
        <v>259</v>
      </c>
      <c r="R1063" t="s">
        <v>260</v>
      </c>
      <c r="T1063">
        <v>28034</v>
      </c>
      <c r="U1063" t="s">
        <v>261</v>
      </c>
      <c r="V1063" t="s">
        <v>110</v>
      </c>
      <c r="W1063" t="s">
        <v>262</v>
      </c>
      <c r="X1063" t="s">
        <v>263</v>
      </c>
      <c r="Y1063" t="s">
        <v>104</v>
      </c>
    </row>
    <row r="1064" spans="1:25">
      <c r="A1064">
        <v>10366</v>
      </c>
      <c r="B1064">
        <v>34</v>
      </c>
      <c r="C1064">
        <v>100</v>
      </c>
      <c r="D1064">
        <v>1</v>
      </c>
      <c r="E1064">
        <v>6275.72</v>
      </c>
      <c r="F1064" s="4">
        <v>38626</v>
      </c>
      <c r="G1064" t="s">
        <v>93</v>
      </c>
      <c r="H1064">
        <v>1</v>
      </c>
      <c r="I1064">
        <v>1</v>
      </c>
      <c r="J1064">
        <v>2005</v>
      </c>
      <c r="K1064" t="s">
        <v>265</v>
      </c>
      <c r="L1064">
        <v>169</v>
      </c>
      <c r="M1064" t="s">
        <v>783</v>
      </c>
      <c r="N1064" t="s">
        <v>743</v>
      </c>
      <c r="O1064" t="s">
        <v>744</v>
      </c>
      <c r="P1064" t="s">
        <v>745</v>
      </c>
      <c r="R1064" t="s">
        <v>746</v>
      </c>
      <c r="T1064" t="s">
        <v>747</v>
      </c>
      <c r="U1064" t="s">
        <v>480</v>
      </c>
      <c r="V1064" t="s">
        <v>110</v>
      </c>
      <c r="W1064" t="s">
        <v>748</v>
      </c>
      <c r="X1064" t="s">
        <v>749</v>
      </c>
      <c r="Y1064" t="s">
        <v>119</v>
      </c>
    </row>
    <row r="1065" spans="1:25">
      <c r="A1065">
        <v>10370</v>
      </c>
      <c r="B1065">
        <v>27</v>
      </c>
      <c r="C1065">
        <v>56.85</v>
      </c>
      <c r="D1065">
        <v>9</v>
      </c>
      <c r="E1065">
        <v>1534.95</v>
      </c>
      <c r="F1065" t="s">
        <v>378</v>
      </c>
      <c r="G1065" t="s">
        <v>93</v>
      </c>
      <c r="H1065">
        <v>1</v>
      </c>
      <c r="I1065">
        <v>1</v>
      </c>
      <c r="J1065">
        <v>2005</v>
      </c>
      <c r="K1065" t="s">
        <v>265</v>
      </c>
      <c r="L1065">
        <v>169</v>
      </c>
      <c r="M1065" t="s">
        <v>783</v>
      </c>
      <c r="N1065" t="s">
        <v>384</v>
      </c>
      <c r="O1065" t="s">
        <v>385</v>
      </c>
      <c r="P1065" t="s">
        <v>386</v>
      </c>
      <c r="Q1065" t="s">
        <v>387</v>
      </c>
      <c r="R1065" t="s">
        <v>388</v>
      </c>
      <c r="S1065" t="s">
        <v>239</v>
      </c>
      <c r="T1065">
        <v>2060</v>
      </c>
      <c r="U1065" t="s">
        <v>168</v>
      </c>
      <c r="V1065" t="s">
        <v>169</v>
      </c>
      <c r="W1065" t="s">
        <v>389</v>
      </c>
      <c r="X1065" t="s">
        <v>390</v>
      </c>
      <c r="Y1065" t="s">
        <v>104</v>
      </c>
    </row>
    <row r="1066" spans="1:25">
      <c r="A1066">
        <v>10377</v>
      </c>
      <c r="B1066">
        <v>39</v>
      </c>
      <c r="C1066">
        <v>100</v>
      </c>
      <c r="D1066">
        <v>3</v>
      </c>
      <c r="E1066">
        <v>7264.53</v>
      </c>
      <c r="F1066" s="4">
        <v>38597</v>
      </c>
      <c r="G1066" t="s">
        <v>93</v>
      </c>
      <c r="H1066">
        <v>1</v>
      </c>
      <c r="I1066">
        <v>2</v>
      </c>
      <c r="J1066">
        <v>2005</v>
      </c>
      <c r="K1066" t="s">
        <v>265</v>
      </c>
      <c r="L1066">
        <v>169</v>
      </c>
      <c r="M1066" t="s">
        <v>783</v>
      </c>
      <c r="N1066" t="s">
        <v>204</v>
      </c>
      <c r="O1066" t="s">
        <v>205</v>
      </c>
      <c r="P1066" t="s">
        <v>206</v>
      </c>
      <c r="R1066" t="s">
        <v>207</v>
      </c>
      <c r="T1066">
        <v>21240</v>
      </c>
      <c r="U1066" t="s">
        <v>208</v>
      </c>
      <c r="V1066" t="s">
        <v>110</v>
      </c>
      <c r="W1066" t="s">
        <v>209</v>
      </c>
      <c r="X1066" t="s">
        <v>210</v>
      </c>
      <c r="Y1066" t="s">
        <v>232</v>
      </c>
    </row>
    <row r="1067" spans="1:25">
      <c r="A1067">
        <v>10383</v>
      </c>
      <c r="B1067">
        <v>47</v>
      </c>
      <c r="C1067">
        <v>100</v>
      </c>
      <c r="D1067">
        <v>6</v>
      </c>
      <c r="E1067">
        <v>6869.05</v>
      </c>
      <c r="F1067" t="s">
        <v>760</v>
      </c>
      <c r="G1067" t="s">
        <v>93</v>
      </c>
      <c r="H1067">
        <v>1</v>
      </c>
      <c r="I1067">
        <v>2</v>
      </c>
      <c r="J1067">
        <v>2005</v>
      </c>
      <c r="K1067" t="s">
        <v>265</v>
      </c>
      <c r="L1067">
        <v>169</v>
      </c>
      <c r="M1067" t="s">
        <v>783</v>
      </c>
      <c r="N1067" t="s">
        <v>257</v>
      </c>
      <c r="O1067" t="s">
        <v>258</v>
      </c>
      <c r="P1067" t="s">
        <v>259</v>
      </c>
      <c r="R1067" t="s">
        <v>260</v>
      </c>
      <c r="T1067">
        <v>28034</v>
      </c>
      <c r="U1067" t="s">
        <v>261</v>
      </c>
      <c r="V1067" t="s">
        <v>110</v>
      </c>
      <c r="W1067" t="s">
        <v>262</v>
      </c>
      <c r="X1067" t="s">
        <v>263</v>
      </c>
      <c r="Y1067" t="s">
        <v>119</v>
      </c>
    </row>
    <row r="1068" spans="1:25">
      <c r="A1068">
        <v>10394</v>
      </c>
      <c r="B1068">
        <v>22</v>
      </c>
      <c r="C1068">
        <v>100</v>
      </c>
      <c r="D1068">
        <v>5</v>
      </c>
      <c r="E1068">
        <v>3353.02</v>
      </c>
      <c r="F1068" t="s">
        <v>784</v>
      </c>
      <c r="G1068" t="s">
        <v>93</v>
      </c>
      <c r="H1068">
        <v>1</v>
      </c>
      <c r="I1068">
        <v>3</v>
      </c>
      <c r="J1068">
        <v>2005</v>
      </c>
      <c r="K1068" t="s">
        <v>265</v>
      </c>
      <c r="L1068">
        <v>169</v>
      </c>
      <c r="M1068" t="s">
        <v>783</v>
      </c>
      <c r="N1068" t="s">
        <v>257</v>
      </c>
      <c r="O1068" t="s">
        <v>258</v>
      </c>
      <c r="P1068" t="s">
        <v>259</v>
      </c>
      <c r="R1068" t="s">
        <v>260</v>
      </c>
      <c r="T1068">
        <v>28034</v>
      </c>
      <c r="U1068" t="s">
        <v>261</v>
      </c>
      <c r="V1068" t="s">
        <v>110</v>
      </c>
      <c r="W1068" t="s">
        <v>262</v>
      </c>
      <c r="X1068" t="s">
        <v>263</v>
      </c>
      <c r="Y1068" t="s">
        <v>119</v>
      </c>
    </row>
    <row r="1069" spans="1:25">
      <c r="A1069">
        <v>10405</v>
      </c>
      <c r="B1069">
        <v>55</v>
      </c>
      <c r="C1069">
        <v>100</v>
      </c>
      <c r="D1069">
        <v>1</v>
      </c>
      <c r="E1069">
        <v>8289.0499999999993</v>
      </c>
      <c r="F1069" t="s">
        <v>673</v>
      </c>
      <c r="G1069" t="s">
        <v>93</v>
      </c>
      <c r="H1069">
        <v>2</v>
      </c>
      <c r="I1069">
        <v>4</v>
      </c>
      <c r="J1069">
        <v>2005</v>
      </c>
      <c r="K1069" t="s">
        <v>265</v>
      </c>
      <c r="L1069">
        <v>169</v>
      </c>
      <c r="M1069" t="s">
        <v>783</v>
      </c>
      <c r="N1069" t="s">
        <v>674</v>
      </c>
      <c r="O1069" t="s">
        <v>675</v>
      </c>
      <c r="P1069" t="s">
        <v>676</v>
      </c>
      <c r="R1069" t="s">
        <v>677</v>
      </c>
      <c r="T1069">
        <v>67000</v>
      </c>
      <c r="U1069" t="s">
        <v>109</v>
      </c>
      <c r="V1069" t="s">
        <v>110</v>
      </c>
      <c r="W1069" t="s">
        <v>678</v>
      </c>
      <c r="X1069" t="s">
        <v>679</v>
      </c>
      <c r="Y1069" t="s">
        <v>232</v>
      </c>
    </row>
    <row r="1070" spans="1:25">
      <c r="A1070">
        <v>10412</v>
      </c>
      <c r="B1070">
        <v>60</v>
      </c>
      <c r="C1070">
        <v>100</v>
      </c>
      <c r="D1070">
        <v>9</v>
      </c>
      <c r="E1070">
        <v>11887.8</v>
      </c>
      <c r="F1070" s="4">
        <v>38416</v>
      </c>
      <c r="G1070" t="s">
        <v>93</v>
      </c>
      <c r="H1070">
        <v>2</v>
      </c>
      <c r="I1070">
        <v>5</v>
      </c>
      <c r="J1070">
        <v>2005</v>
      </c>
      <c r="K1070" t="s">
        <v>265</v>
      </c>
      <c r="L1070">
        <v>169</v>
      </c>
      <c r="M1070" t="s">
        <v>783</v>
      </c>
      <c r="N1070" t="s">
        <v>257</v>
      </c>
      <c r="O1070" t="s">
        <v>258</v>
      </c>
      <c r="P1070" t="s">
        <v>259</v>
      </c>
      <c r="R1070" t="s">
        <v>260</v>
      </c>
      <c r="T1070">
        <v>28034</v>
      </c>
      <c r="U1070" t="s">
        <v>261</v>
      </c>
      <c r="V1070" t="s">
        <v>110</v>
      </c>
      <c r="W1070" t="s">
        <v>262</v>
      </c>
      <c r="X1070" t="s">
        <v>263</v>
      </c>
      <c r="Y1070" t="s">
        <v>232</v>
      </c>
    </row>
    <row r="1071" spans="1:25">
      <c r="A1071">
        <v>10419</v>
      </c>
      <c r="B1071">
        <v>35</v>
      </c>
      <c r="C1071">
        <v>100</v>
      </c>
      <c r="D1071">
        <v>6</v>
      </c>
      <c r="E1071">
        <v>5926.9</v>
      </c>
      <c r="F1071" t="s">
        <v>600</v>
      </c>
      <c r="G1071" t="s">
        <v>93</v>
      </c>
      <c r="H1071">
        <v>2</v>
      </c>
      <c r="I1071">
        <v>5</v>
      </c>
      <c r="J1071">
        <v>2005</v>
      </c>
      <c r="K1071" t="s">
        <v>265</v>
      </c>
      <c r="L1071">
        <v>169</v>
      </c>
      <c r="M1071" t="s">
        <v>783</v>
      </c>
      <c r="N1071" t="s">
        <v>225</v>
      </c>
      <c r="O1071" t="s">
        <v>226</v>
      </c>
      <c r="P1071" t="s">
        <v>227</v>
      </c>
      <c r="R1071" t="s">
        <v>228</v>
      </c>
      <c r="T1071">
        <v>5020</v>
      </c>
      <c r="U1071" t="s">
        <v>229</v>
      </c>
      <c r="V1071" t="s">
        <v>110</v>
      </c>
      <c r="W1071" t="s">
        <v>230</v>
      </c>
      <c r="X1071" t="s">
        <v>231</v>
      </c>
      <c r="Y1071" t="s">
        <v>119</v>
      </c>
    </row>
    <row r="1072" spans="1:25">
      <c r="A1072">
        <v>10425</v>
      </c>
      <c r="B1072">
        <v>28</v>
      </c>
      <c r="C1072">
        <v>100</v>
      </c>
      <c r="D1072">
        <v>8</v>
      </c>
      <c r="E1072">
        <v>3793.16</v>
      </c>
      <c r="F1072" t="s">
        <v>399</v>
      </c>
      <c r="G1072" t="s">
        <v>400</v>
      </c>
      <c r="H1072">
        <v>2</v>
      </c>
      <c r="I1072">
        <v>5</v>
      </c>
      <c r="J1072">
        <v>2005</v>
      </c>
      <c r="K1072" t="s">
        <v>265</v>
      </c>
      <c r="L1072">
        <v>169</v>
      </c>
      <c r="M1072" t="s">
        <v>783</v>
      </c>
      <c r="N1072" t="s">
        <v>190</v>
      </c>
      <c r="O1072" t="s">
        <v>191</v>
      </c>
      <c r="P1072" t="s">
        <v>192</v>
      </c>
      <c r="R1072" t="s">
        <v>193</v>
      </c>
      <c r="T1072">
        <v>44000</v>
      </c>
      <c r="U1072" t="s">
        <v>109</v>
      </c>
      <c r="V1072" t="s">
        <v>110</v>
      </c>
      <c r="W1072" t="s">
        <v>194</v>
      </c>
      <c r="X1072" t="s">
        <v>195</v>
      </c>
      <c r="Y1072" t="s">
        <v>119</v>
      </c>
    </row>
    <row r="1073" spans="1:25">
      <c r="A1073">
        <v>10105</v>
      </c>
      <c r="B1073">
        <v>38</v>
      </c>
      <c r="C1073">
        <v>100</v>
      </c>
      <c r="D1073">
        <v>13</v>
      </c>
      <c r="E1073">
        <v>4330.1000000000004</v>
      </c>
      <c r="F1073" s="4">
        <v>37927</v>
      </c>
      <c r="G1073" t="s">
        <v>93</v>
      </c>
      <c r="H1073">
        <v>1</v>
      </c>
      <c r="I1073">
        <v>2</v>
      </c>
      <c r="J1073">
        <v>2003</v>
      </c>
      <c r="K1073" t="s">
        <v>785</v>
      </c>
      <c r="L1073">
        <v>100</v>
      </c>
      <c r="M1073" t="s">
        <v>786</v>
      </c>
      <c r="N1073" t="s">
        <v>425</v>
      </c>
      <c r="O1073" t="s">
        <v>426</v>
      </c>
      <c r="P1073" t="s">
        <v>427</v>
      </c>
      <c r="R1073" t="s">
        <v>428</v>
      </c>
      <c r="T1073">
        <v>1734</v>
      </c>
      <c r="U1073" t="s">
        <v>429</v>
      </c>
      <c r="V1073" t="s">
        <v>110</v>
      </c>
      <c r="W1073" t="s">
        <v>430</v>
      </c>
      <c r="X1073" t="s">
        <v>431</v>
      </c>
      <c r="Y1073" t="s">
        <v>119</v>
      </c>
    </row>
    <row r="1074" spans="1:25">
      <c r="A1074">
        <v>10117</v>
      </c>
      <c r="B1074">
        <v>21</v>
      </c>
      <c r="C1074">
        <v>95.8</v>
      </c>
      <c r="D1074">
        <v>7</v>
      </c>
      <c r="E1074">
        <v>2011.8</v>
      </c>
      <c r="F1074" t="s">
        <v>602</v>
      </c>
      <c r="G1074" t="s">
        <v>93</v>
      </c>
      <c r="H1074">
        <v>2</v>
      </c>
      <c r="I1074">
        <v>4</v>
      </c>
      <c r="J1074">
        <v>2003</v>
      </c>
      <c r="K1074" t="s">
        <v>785</v>
      </c>
      <c r="L1074">
        <v>100</v>
      </c>
      <c r="M1074" t="s">
        <v>786</v>
      </c>
      <c r="N1074" t="s">
        <v>284</v>
      </c>
      <c r="O1074" t="s">
        <v>285</v>
      </c>
      <c r="P1074" t="s">
        <v>286</v>
      </c>
      <c r="R1074" t="s">
        <v>287</v>
      </c>
      <c r="T1074">
        <v>79903</v>
      </c>
      <c r="U1074" t="s">
        <v>287</v>
      </c>
      <c r="V1074" t="s">
        <v>288</v>
      </c>
      <c r="W1074" t="s">
        <v>289</v>
      </c>
      <c r="X1074" t="s">
        <v>290</v>
      </c>
      <c r="Y1074" t="s">
        <v>104</v>
      </c>
    </row>
    <row r="1075" spans="1:25">
      <c r="A1075">
        <v>10128</v>
      </c>
      <c r="B1075">
        <v>41</v>
      </c>
      <c r="C1075">
        <v>100</v>
      </c>
      <c r="D1075">
        <v>4</v>
      </c>
      <c r="E1075">
        <v>4837.18</v>
      </c>
      <c r="F1075" s="4">
        <v>37778</v>
      </c>
      <c r="G1075" t="s">
        <v>93</v>
      </c>
      <c r="H1075">
        <v>2</v>
      </c>
      <c r="I1075">
        <v>6</v>
      </c>
      <c r="J1075">
        <v>2003</v>
      </c>
      <c r="K1075" t="s">
        <v>785</v>
      </c>
      <c r="L1075">
        <v>100</v>
      </c>
      <c r="M1075" t="s">
        <v>786</v>
      </c>
      <c r="N1075" t="s">
        <v>257</v>
      </c>
      <c r="O1075" t="s">
        <v>258</v>
      </c>
      <c r="P1075" t="s">
        <v>259</v>
      </c>
      <c r="R1075" t="s">
        <v>260</v>
      </c>
      <c r="T1075">
        <v>28034</v>
      </c>
      <c r="U1075" t="s">
        <v>261</v>
      </c>
      <c r="V1075" t="s">
        <v>110</v>
      </c>
      <c r="W1075" t="s">
        <v>262</v>
      </c>
      <c r="X1075" t="s">
        <v>263</v>
      </c>
      <c r="Y1075" t="s">
        <v>119</v>
      </c>
    </row>
    <row r="1076" spans="1:25">
      <c r="A1076">
        <v>10142</v>
      </c>
      <c r="B1076">
        <v>22</v>
      </c>
      <c r="C1076">
        <v>97.81</v>
      </c>
      <c r="D1076">
        <v>10</v>
      </c>
      <c r="E1076">
        <v>2151.8200000000002</v>
      </c>
      <c r="F1076" s="4">
        <v>37841</v>
      </c>
      <c r="G1076" t="s">
        <v>93</v>
      </c>
      <c r="H1076">
        <v>3</v>
      </c>
      <c r="I1076">
        <v>8</v>
      </c>
      <c r="J1076">
        <v>2003</v>
      </c>
      <c r="K1076" t="s">
        <v>785</v>
      </c>
      <c r="L1076">
        <v>100</v>
      </c>
      <c r="M1076" t="s">
        <v>786</v>
      </c>
      <c r="N1076" t="s">
        <v>367</v>
      </c>
      <c r="O1076">
        <v>4155551450</v>
      </c>
      <c r="P1076" t="s">
        <v>368</v>
      </c>
      <c r="R1076" t="s">
        <v>369</v>
      </c>
      <c r="S1076" t="s">
        <v>124</v>
      </c>
      <c r="T1076">
        <v>97562</v>
      </c>
      <c r="U1076" t="s">
        <v>100</v>
      </c>
      <c r="V1076" t="s">
        <v>101</v>
      </c>
      <c r="W1076" t="s">
        <v>370</v>
      </c>
      <c r="X1076" t="s">
        <v>371</v>
      </c>
      <c r="Y1076" t="s">
        <v>104</v>
      </c>
    </row>
    <row r="1077" spans="1:25">
      <c r="A1077">
        <v>10153</v>
      </c>
      <c r="B1077">
        <v>29</v>
      </c>
      <c r="C1077">
        <v>88.74</v>
      </c>
      <c r="D1077">
        <v>9</v>
      </c>
      <c r="E1077">
        <v>2573.46</v>
      </c>
      <c r="F1077" t="s">
        <v>607</v>
      </c>
      <c r="G1077" t="s">
        <v>93</v>
      </c>
      <c r="H1077">
        <v>3</v>
      </c>
      <c r="I1077">
        <v>9</v>
      </c>
      <c r="J1077">
        <v>2003</v>
      </c>
      <c r="K1077" t="s">
        <v>785</v>
      </c>
      <c r="L1077">
        <v>100</v>
      </c>
      <c r="M1077" t="s">
        <v>786</v>
      </c>
      <c r="N1077" t="s">
        <v>257</v>
      </c>
      <c r="O1077" t="s">
        <v>258</v>
      </c>
      <c r="P1077" t="s">
        <v>259</v>
      </c>
      <c r="R1077" t="s">
        <v>260</v>
      </c>
      <c r="T1077">
        <v>28034</v>
      </c>
      <c r="U1077" t="s">
        <v>261</v>
      </c>
      <c r="V1077" t="s">
        <v>110</v>
      </c>
      <c r="W1077" t="s">
        <v>262</v>
      </c>
      <c r="X1077" t="s">
        <v>263</v>
      </c>
      <c r="Y1077" t="s">
        <v>104</v>
      </c>
    </row>
    <row r="1078" spans="1:25">
      <c r="A1078">
        <v>10165</v>
      </c>
      <c r="B1078">
        <v>50</v>
      </c>
      <c r="C1078">
        <v>100</v>
      </c>
      <c r="D1078">
        <v>1</v>
      </c>
      <c r="E1078">
        <v>5344.5</v>
      </c>
      <c r="F1078" t="s">
        <v>608</v>
      </c>
      <c r="G1078" t="s">
        <v>93</v>
      </c>
      <c r="H1078">
        <v>4</v>
      </c>
      <c r="I1078">
        <v>10</v>
      </c>
      <c r="J1078">
        <v>2003</v>
      </c>
      <c r="K1078" t="s">
        <v>785</v>
      </c>
      <c r="L1078">
        <v>100</v>
      </c>
      <c r="M1078" t="s">
        <v>786</v>
      </c>
      <c r="N1078" t="s">
        <v>284</v>
      </c>
      <c r="O1078" t="s">
        <v>285</v>
      </c>
      <c r="P1078" t="s">
        <v>286</v>
      </c>
      <c r="R1078" t="s">
        <v>287</v>
      </c>
      <c r="T1078">
        <v>79903</v>
      </c>
      <c r="U1078" t="s">
        <v>287</v>
      </c>
      <c r="V1078" t="s">
        <v>288</v>
      </c>
      <c r="W1078" t="s">
        <v>289</v>
      </c>
      <c r="X1078" t="s">
        <v>290</v>
      </c>
      <c r="Y1078" t="s">
        <v>119</v>
      </c>
    </row>
    <row r="1079" spans="1:25">
      <c r="A1079">
        <v>10177</v>
      </c>
      <c r="B1079">
        <v>29</v>
      </c>
      <c r="C1079">
        <v>100</v>
      </c>
      <c r="D1079">
        <v>11</v>
      </c>
      <c r="E1079">
        <v>3070.52</v>
      </c>
      <c r="F1079" s="4">
        <v>37813</v>
      </c>
      <c r="G1079" t="s">
        <v>93</v>
      </c>
      <c r="H1079">
        <v>4</v>
      </c>
      <c r="I1079">
        <v>11</v>
      </c>
      <c r="J1079">
        <v>2003</v>
      </c>
      <c r="K1079" t="s">
        <v>785</v>
      </c>
      <c r="L1079">
        <v>100</v>
      </c>
      <c r="M1079" t="s">
        <v>786</v>
      </c>
      <c r="N1079" t="s">
        <v>618</v>
      </c>
      <c r="O1079" t="s">
        <v>619</v>
      </c>
      <c r="P1079" t="s">
        <v>620</v>
      </c>
      <c r="R1079" t="s">
        <v>260</v>
      </c>
      <c r="T1079">
        <v>28023</v>
      </c>
      <c r="U1079" t="s">
        <v>261</v>
      </c>
      <c r="V1079" t="s">
        <v>110</v>
      </c>
      <c r="W1079" t="s">
        <v>621</v>
      </c>
      <c r="X1079" t="s">
        <v>622</v>
      </c>
      <c r="Y1079" t="s">
        <v>119</v>
      </c>
    </row>
    <row r="1080" spans="1:25">
      <c r="A1080">
        <v>10185</v>
      </c>
      <c r="B1080">
        <v>49</v>
      </c>
      <c r="C1080">
        <v>80.67</v>
      </c>
      <c r="D1080">
        <v>11</v>
      </c>
      <c r="E1080">
        <v>3952.83</v>
      </c>
      <c r="F1080" t="s">
        <v>451</v>
      </c>
      <c r="G1080" t="s">
        <v>93</v>
      </c>
      <c r="H1080">
        <v>4</v>
      </c>
      <c r="I1080">
        <v>11</v>
      </c>
      <c r="J1080">
        <v>2003</v>
      </c>
      <c r="K1080" t="s">
        <v>785</v>
      </c>
      <c r="L1080">
        <v>100</v>
      </c>
      <c r="M1080" t="s">
        <v>786</v>
      </c>
      <c r="N1080" t="s">
        <v>439</v>
      </c>
      <c r="O1080">
        <v>5085559555</v>
      </c>
      <c r="P1080" t="s">
        <v>440</v>
      </c>
      <c r="R1080" t="s">
        <v>244</v>
      </c>
      <c r="S1080" t="s">
        <v>200</v>
      </c>
      <c r="T1080">
        <v>50553</v>
      </c>
      <c r="U1080" t="s">
        <v>100</v>
      </c>
      <c r="V1080" t="s">
        <v>101</v>
      </c>
      <c r="W1080" t="s">
        <v>441</v>
      </c>
      <c r="X1080" t="s">
        <v>442</v>
      </c>
      <c r="Y1080" t="s">
        <v>119</v>
      </c>
    </row>
    <row r="1081" spans="1:25">
      <c r="A1081">
        <v>10196</v>
      </c>
      <c r="B1081">
        <v>35</v>
      </c>
      <c r="C1081">
        <v>100</v>
      </c>
      <c r="D1081">
        <v>3</v>
      </c>
      <c r="E1081">
        <v>3564.75</v>
      </c>
      <c r="F1081" t="s">
        <v>458</v>
      </c>
      <c r="G1081" t="s">
        <v>93</v>
      </c>
      <c r="H1081">
        <v>4</v>
      </c>
      <c r="I1081">
        <v>11</v>
      </c>
      <c r="J1081">
        <v>2003</v>
      </c>
      <c r="K1081" t="s">
        <v>785</v>
      </c>
      <c r="L1081">
        <v>100</v>
      </c>
      <c r="M1081" t="s">
        <v>786</v>
      </c>
      <c r="N1081" t="s">
        <v>333</v>
      </c>
      <c r="O1081">
        <v>2035559545</v>
      </c>
      <c r="P1081" t="s">
        <v>334</v>
      </c>
      <c r="R1081" t="s">
        <v>335</v>
      </c>
      <c r="S1081" t="s">
        <v>187</v>
      </c>
      <c r="T1081">
        <v>97823</v>
      </c>
      <c r="U1081" t="s">
        <v>100</v>
      </c>
      <c r="V1081" t="s">
        <v>101</v>
      </c>
      <c r="W1081" t="s">
        <v>154</v>
      </c>
      <c r="X1081" t="s">
        <v>336</v>
      </c>
      <c r="Y1081" t="s">
        <v>119</v>
      </c>
    </row>
    <row r="1082" spans="1:25">
      <c r="A1082">
        <v>10208</v>
      </c>
      <c r="B1082">
        <v>48</v>
      </c>
      <c r="C1082">
        <v>100</v>
      </c>
      <c r="D1082">
        <v>11</v>
      </c>
      <c r="E1082">
        <v>5614.56</v>
      </c>
      <c r="F1082" s="4">
        <v>38018</v>
      </c>
      <c r="G1082" t="s">
        <v>93</v>
      </c>
      <c r="H1082">
        <v>1</v>
      </c>
      <c r="I1082">
        <v>1</v>
      </c>
      <c r="J1082">
        <v>2004</v>
      </c>
      <c r="K1082" t="s">
        <v>785</v>
      </c>
      <c r="L1082">
        <v>100</v>
      </c>
      <c r="M1082" t="s">
        <v>786</v>
      </c>
      <c r="N1082" t="s">
        <v>310</v>
      </c>
      <c r="O1082" t="s">
        <v>311</v>
      </c>
      <c r="P1082" t="s">
        <v>312</v>
      </c>
      <c r="R1082" t="s">
        <v>313</v>
      </c>
      <c r="T1082">
        <v>69004</v>
      </c>
      <c r="U1082" t="s">
        <v>109</v>
      </c>
      <c r="V1082" t="s">
        <v>110</v>
      </c>
      <c r="W1082" t="s">
        <v>314</v>
      </c>
      <c r="X1082" t="s">
        <v>315</v>
      </c>
      <c r="Y1082" t="s">
        <v>119</v>
      </c>
    </row>
    <row r="1083" spans="1:25">
      <c r="A1083">
        <v>10221</v>
      </c>
      <c r="B1083">
        <v>23</v>
      </c>
      <c r="C1083">
        <v>80.67</v>
      </c>
      <c r="D1083">
        <v>5</v>
      </c>
      <c r="E1083">
        <v>1855.41</v>
      </c>
      <c r="F1083" t="s">
        <v>781</v>
      </c>
      <c r="G1083" t="s">
        <v>93</v>
      </c>
      <c r="H1083">
        <v>1</v>
      </c>
      <c r="I1083">
        <v>2</v>
      </c>
      <c r="J1083">
        <v>2004</v>
      </c>
      <c r="K1083" t="s">
        <v>785</v>
      </c>
      <c r="L1083">
        <v>100</v>
      </c>
      <c r="M1083" t="s">
        <v>786</v>
      </c>
      <c r="N1083" t="s">
        <v>475</v>
      </c>
      <c r="O1083" t="s">
        <v>476</v>
      </c>
      <c r="P1083" t="s">
        <v>477</v>
      </c>
      <c r="R1083" t="s">
        <v>478</v>
      </c>
      <c r="T1083" t="s">
        <v>479</v>
      </c>
      <c r="U1083" t="s">
        <v>480</v>
      </c>
      <c r="V1083" t="s">
        <v>110</v>
      </c>
      <c r="W1083" t="s">
        <v>481</v>
      </c>
      <c r="X1083" t="s">
        <v>482</v>
      </c>
      <c r="Y1083" t="s">
        <v>104</v>
      </c>
    </row>
    <row r="1084" spans="1:25">
      <c r="A1084">
        <v>10232</v>
      </c>
      <c r="B1084">
        <v>48</v>
      </c>
      <c r="C1084">
        <v>95.8</v>
      </c>
      <c r="D1084">
        <v>8</v>
      </c>
      <c r="E1084">
        <v>4598.3999999999996</v>
      </c>
      <c r="F1084" t="s">
        <v>782</v>
      </c>
      <c r="G1084" t="s">
        <v>93</v>
      </c>
      <c r="H1084">
        <v>1</v>
      </c>
      <c r="I1084">
        <v>3</v>
      </c>
      <c r="J1084">
        <v>2004</v>
      </c>
      <c r="K1084" t="s">
        <v>785</v>
      </c>
      <c r="L1084">
        <v>100</v>
      </c>
      <c r="M1084" t="s">
        <v>786</v>
      </c>
      <c r="N1084" t="s">
        <v>495</v>
      </c>
      <c r="O1084" t="s">
        <v>496</v>
      </c>
      <c r="P1084" t="s">
        <v>497</v>
      </c>
      <c r="R1084" t="s">
        <v>498</v>
      </c>
      <c r="S1084" t="s">
        <v>499</v>
      </c>
      <c r="T1084" t="s">
        <v>500</v>
      </c>
      <c r="U1084" t="s">
        <v>252</v>
      </c>
      <c r="V1084" t="s">
        <v>110</v>
      </c>
      <c r="W1084" t="s">
        <v>501</v>
      </c>
      <c r="X1084" t="s">
        <v>502</v>
      </c>
      <c r="Y1084" t="s">
        <v>119</v>
      </c>
    </row>
    <row r="1085" spans="1:25">
      <c r="A1085">
        <v>10248</v>
      </c>
      <c r="B1085">
        <v>42</v>
      </c>
      <c r="C1085">
        <v>100</v>
      </c>
      <c r="D1085">
        <v>14</v>
      </c>
      <c r="E1085">
        <v>5082.42</v>
      </c>
      <c r="F1085" s="4">
        <v>38173</v>
      </c>
      <c r="G1085" t="s">
        <v>444</v>
      </c>
      <c r="H1085">
        <v>2</v>
      </c>
      <c r="I1085">
        <v>5</v>
      </c>
      <c r="J1085">
        <v>2004</v>
      </c>
      <c r="K1085" t="s">
        <v>785</v>
      </c>
      <c r="L1085">
        <v>100</v>
      </c>
      <c r="M1085" t="s">
        <v>786</v>
      </c>
      <c r="N1085" t="s">
        <v>96</v>
      </c>
      <c r="O1085">
        <v>2125557818</v>
      </c>
      <c r="P1085" t="s">
        <v>97</v>
      </c>
      <c r="R1085" t="s">
        <v>98</v>
      </c>
      <c r="S1085" t="s">
        <v>99</v>
      </c>
      <c r="T1085">
        <v>10022</v>
      </c>
      <c r="U1085" t="s">
        <v>100</v>
      </c>
      <c r="V1085" t="s">
        <v>101</v>
      </c>
      <c r="W1085" t="s">
        <v>102</v>
      </c>
      <c r="X1085" t="s">
        <v>103</v>
      </c>
      <c r="Y1085" t="s">
        <v>119</v>
      </c>
    </row>
    <row r="1086" spans="1:25">
      <c r="A1086">
        <v>10273</v>
      </c>
      <c r="B1086">
        <v>47</v>
      </c>
      <c r="C1086">
        <v>100</v>
      </c>
      <c r="D1086">
        <v>15</v>
      </c>
      <c r="E1086">
        <v>5450.59</v>
      </c>
      <c r="F1086" t="s">
        <v>474</v>
      </c>
      <c r="G1086" t="s">
        <v>93</v>
      </c>
      <c r="H1086">
        <v>3</v>
      </c>
      <c r="I1086">
        <v>7</v>
      </c>
      <c r="J1086">
        <v>2004</v>
      </c>
      <c r="K1086" t="s">
        <v>785</v>
      </c>
      <c r="L1086">
        <v>100</v>
      </c>
      <c r="M1086" t="s">
        <v>786</v>
      </c>
      <c r="N1086" t="s">
        <v>475</v>
      </c>
      <c r="O1086" t="s">
        <v>476</v>
      </c>
      <c r="P1086" t="s">
        <v>477</v>
      </c>
      <c r="R1086" t="s">
        <v>478</v>
      </c>
      <c r="T1086" t="s">
        <v>479</v>
      </c>
      <c r="U1086" t="s">
        <v>480</v>
      </c>
      <c r="V1086" t="s">
        <v>110</v>
      </c>
      <c r="W1086" t="s">
        <v>481</v>
      </c>
      <c r="X1086" t="s">
        <v>482</v>
      </c>
      <c r="Y1086" t="s">
        <v>119</v>
      </c>
    </row>
    <row r="1087" spans="1:25">
      <c r="A1087">
        <v>10282</v>
      </c>
      <c r="B1087">
        <v>36</v>
      </c>
      <c r="C1087">
        <v>100</v>
      </c>
      <c r="D1087">
        <v>3</v>
      </c>
      <c r="E1087">
        <v>4174.92</v>
      </c>
      <c r="F1087" t="s">
        <v>483</v>
      </c>
      <c r="G1087" t="s">
        <v>93</v>
      </c>
      <c r="H1087">
        <v>3</v>
      </c>
      <c r="I1087">
        <v>8</v>
      </c>
      <c r="J1087">
        <v>2004</v>
      </c>
      <c r="K1087" t="s">
        <v>785</v>
      </c>
      <c r="L1087">
        <v>100</v>
      </c>
      <c r="M1087" t="s">
        <v>786</v>
      </c>
      <c r="N1087" t="s">
        <v>367</v>
      </c>
      <c r="O1087">
        <v>4155551450</v>
      </c>
      <c r="P1087" t="s">
        <v>368</v>
      </c>
      <c r="R1087" t="s">
        <v>369</v>
      </c>
      <c r="S1087" t="s">
        <v>124</v>
      </c>
      <c r="T1087">
        <v>97562</v>
      </c>
      <c r="U1087" t="s">
        <v>100</v>
      </c>
      <c r="V1087" t="s">
        <v>101</v>
      </c>
      <c r="W1087" t="s">
        <v>370</v>
      </c>
      <c r="X1087" t="s">
        <v>371</v>
      </c>
      <c r="Y1087" t="s">
        <v>119</v>
      </c>
    </row>
    <row r="1088" spans="1:25">
      <c r="A1088">
        <v>10293</v>
      </c>
      <c r="B1088">
        <v>22</v>
      </c>
      <c r="C1088">
        <v>100</v>
      </c>
      <c r="D1088">
        <v>6</v>
      </c>
      <c r="E1088">
        <v>2418.2399999999998</v>
      </c>
      <c r="F1088" s="4">
        <v>38239</v>
      </c>
      <c r="G1088" t="s">
        <v>93</v>
      </c>
      <c r="H1088">
        <v>3</v>
      </c>
      <c r="I1088">
        <v>9</v>
      </c>
      <c r="J1088">
        <v>2004</v>
      </c>
      <c r="K1088" t="s">
        <v>785</v>
      </c>
      <c r="L1088">
        <v>100</v>
      </c>
      <c r="M1088" t="s">
        <v>786</v>
      </c>
      <c r="N1088" t="s">
        <v>348</v>
      </c>
      <c r="O1088" t="s">
        <v>349</v>
      </c>
      <c r="P1088" t="s">
        <v>350</v>
      </c>
      <c r="R1088" t="s">
        <v>351</v>
      </c>
      <c r="T1088">
        <v>10100</v>
      </c>
      <c r="U1088" t="s">
        <v>352</v>
      </c>
      <c r="V1088" t="s">
        <v>110</v>
      </c>
      <c r="W1088" t="s">
        <v>353</v>
      </c>
      <c r="X1088" t="s">
        <v>354</v>
      </c>
      <c r="Y1088" t="s">
        <v>104</v>
      </c>
    </row>
    <row r="1089" spans="1:25">
      <c r="A1089">
        <v>10306</v>
      </c>
      <c r="B1089">
        <v>40</v>
      </c>
      <c r="C1089">
        <v>91.76</v>
      </c>
      <c r="D1089">
        <v>11</v>
      </c>
      <c r="E1089">
        <v>3670.4</v>
      </c>
      <c r="F1089" t="s">
        <v>494</v>
      </c>
      <c r="G1089" t="s">
        <v>93</v>
      </c>
      <c r="H1089">
        <v>4</v>
      </c>
      <c r="I1089">
        <v>10</v>
      </c>
      <c r="J1089">
        <v>2004</v>
      </c>
      <c r="K1089" t="s">
        <v>785</v>
      </c>
      <c r="L1089">
        <v>100</v>
      </c>
      <c r="M1089" t="s">
        <v>786</v>
      </c>
      <c r="N1089" t="s">
        <v>624</v>
      </c>
      <c r="O1089" t="s">
        <v>625</v>
      </c>
      <c r="P1089" t="s">
        <v>626</v>
      </c>
      <c r="R1089" t="s">
        <v>627</v>
      </c>
      <c r="T1089" t="s">
        <v>628</v>
      </c>
      <c r="U1089" t="s">
        <v>252</v>
      </c>
      <c r="V1089" t="s">
        <v>110</v>
      </c>
      <c r="W1089" t="s">
        <v>629</v>
      </c>
      <c r="X1089" t="s">
        <v>167</v>
      </c>
      <c r="Y1089" t="s">
        <v>119</v>
      </c>
    </row>
    <row r="1090" spans="1:25">
      <c r="A1090">
        <v>10314</v>
      </c>
      <c r="B1090">
        <v>23</v>
      </c>
      <c r="C1090">
        <v>100</v>
      </c>
      <c r="D1090">
        <v>3</v>
      </c>
      <c r="E1090">
        <v>2481.6999999999998</v>
      </c>
      <c r="F1090" t="s">
        <v>544</v>
      </c>
      <c r="G1090" t="s">
        <v>93</v>
      </c>
      <c r="H1090">
        <v>4</v>
      </c>
      <c r="I1090">
        <v>10</v>
      </c>
      <c r="J1090">
        <v>2004</v>
      </c>
      <c r="K1090" t="s">
        <v>785</v>
      </c>
      <c r="L1090">
        <v>100</v>
      </c>
      <c r="M1090" t="s">
        <v>786</v>
      </c>
      <c r="N1090" t="s">
        <v>630</v>
      </c>
      <c r="O1090" t="s">
        <v>631</v>
      </c>
      <c r="P1090" t="s">
        <v>632</v>
      </c>
      <c r="R1090" t="s">
        <v>633</v>
      </c>
      <c r="T1090">
        <v>8200</v>
      </c>
      <c r="U1090" t="s">
        <v>429</v>
      </c>
      <c r="V1090" t="s">
        <v>110</v>
      </c>
      <c r="W1090" t="s">
        <v>634</v>
      </c>
      <c r="X1090" t="s">
        <v>635</v>
      </c>
      <c r="Y1090" t="s">
        <v>104</v>
      </c>
    </row>
    <row r="1091" spans="1:25">
      <c r="A1091">
        <v>10326</v>
      </c>
      <c r="B1091">
        <v>32</v>
      </c>
      <c r="C1091">
        <v>100</v>
      </c>
      <c r="D1091">
        <v>6</v>
      </c>
      <c r="E1091">
        <v>3807.68</v>
      </c>
      <c r="F1091" s="4">
        <v>38241</v>
      </c>
      <c r="G1091" t="s">
        <v>93</v>
      </c>
      <c r="H1091">
        <v>4</v>
      </c>
      <c r="I1091">
        <v>11</v>
      </c>
      <c r="J1091">
        <v>2004</v>
      </c>
      <c r="K1091" t="s">
        <v>785</v>
      </c>
      <c r="L1091">
        <v>100</v>
      </c>
      <c r="M1091" t="s">
        <v>786</v>
      </c>
      <c r="N1091" t="s">
        <v>268</v>
      </c>
      <c r="O1091" t="s">
        <v>269</v>
      </c>
      <c r="P1091" t="s">
        <v>270</v>
      </c>
      <c r="R1091" t="s">
        <v>271</v>
      </c>
      <c r="T1091" t="s">
        <v>272</v>
      </c>
      <c r="U1091" t="s">
        <v>273</v>
      </c>
      <c r="V1091" t="s">
        <v>110</v>
      </c>
      <c r="W1091" t="s">
        <v>274</v>
      </c>
      <c r="X1091" t="s">
        <v>275</v>
      </c>
      <c r="Y1091" t="s">
        <v>119</v>
      </c>
    </row>
    <row r="1092" spans="1:25">
      <c r="A1092">
        <v>10336</v>
      </c>
      <c r="B1092">
        <v>21</v>
      </c>
      <c r="C1092">
        <v>100</v>
      </c>
      <c r="D1092">
        <v>7</v>
      </c>
      <c r="E1092">
        <v>2230.41</v>
      </c>
      <c r="F1092" t="s">
        <v>636</v>
      </c>
      <c r="G1092" t="s">
        <v>93</v>
      </c>
      <c r="H1092">
        <v>4</v>
      </c>
      <c r="I1092">
        <v>11</v>
      </c>
      <c r="J1092">
        <v>2004</v>
      </c>
      <c r="K1092" t="s">
        <v>785</v>
      </c>
      <c r="L1092">
        <v>100</v>
      </c>
      <c r="M1092" t="s">
        <v>786</v>
      </c>
      <c r="N1092" t="s">
        <v>520</v>
      </c>
      <c r="O1092" t="s">
        <v>521</v>
      </c>
      <c r="P1092" t="s">
        <v>522</v>
      </c>
      <c r="R1092" t="s">
        <v>116</v>
      </c>
      <c r="T1092">
        <v>75012</v>
      </c>
      <c r="U1092" t="s">
        <v>109</v>
      </c>
      <c r="V1092" t="s">
        <v>110</v>
      </c>
      <c r="W1092" t="s">
        <v>523</v>
      </c>
      <c r="X1092" t="s">
        <v>524</v>
      </c>
      <c r="Y1092" t="s">
        <v>104</v>
      </c>
    </row>
    <row r="1093" spans="1:25">
      <c r="A1093">
        <v>10350</v>
      </c>
      <c r="B1093">
        <v>41</v>
      </c>
      <c r="C1093">
        <v>93.04</v>
      </c>
      <c r="D1093">
        <v>2</v>
      </c>
      <c r="E1093">
        <v>3814.64</v>
      </c>
      <c r="F1093" s="4">
        <v>38029</v>
      </c>
      <c r="G1093" t="s">
        <v>93</v>
      </c>
      <c r="H1093">
        <v>4</v>
      </c>
      <c r="I1093">
        <v>12</v>
      </c>
      <c r="J1093">
        <v>2004</v>
      </c>
      <c r="K1093" t="s">
        <v>785</v>
      </c>
      <c r="L1093">
        <v>100</v>
      </c>
      <c r="M1093" t="s">
        <v>786</v>
      </c>
      <c r="N1093" t="s">
        <v>257</v>
      </c>
      <c r="O1093" t="s">
        <v>258</v>
      </c>
      <c r="P1093" t="s">
        <v>259</v>
      </c>
      <c r="R1093" t="s">
        <v>260</v>
      </c>
      <c r="T1093">
        <v>28034</v>
      </c>
      <c r="U1093" t="s">
        <v>261</v>
      </c>
      <c r="V1093" t="s">
        <v>110</v>
      </c>
      <c r="W1093" t="s">
        <v>262</v>
      </c>
      <c r="X1093" t="s">
        <v>263</v>
      </c>
      <c r="Y1093" t="s">
        <v>119</v>
      </c>
    </row>
    <row r="1094" spans="1:25">
      <c r="A1094">
        <v>10372</v>
      </c>
      <c r="B1094">
        <v>25</v>
      </c>
      <c r="C1094">
        <v>84.71</v>
      </c>
      <c r="D1094">
        <v>5</v>
      </c>
      <c r="E1094">
        <v>2117.75</v>
      </c>
      <c r="F1094" t="s">
        <v>651</v>
      </c>
      <c r="G1094" t="s">
        <v>93</v>
      </c>
      <c r="H1094">
        <v>1</v>
      </c>
      <c r="I1094">
        <v>1</v>
      </c>
      <c r="J1094">
        <v>2005</v>
      </c>
      <c r="K1094" t="s">
        <v>785</v>
      </c>
      <c r="L1094">
        <v>100</v>
      </c>
      <c r="M1094" t="s">
        <v>786</v>
      </c>
      <c r="N1094" t="s">
        <v>338</v>
      </c>
      <c r="O1094" t="s">
        <v>339</v>
      </c>
      <c r="P1094" t="s">
        <v>340</v>
      </c>
      <c r="R1094" t="s">
        <v>341</v>
      </c>
      <c r="S1094" t="s">
        <v>342</v>
      </c>
      <c r="T1094" t="s">
        <v>343</v>
      </c>
      <c r="U1094" t="s">
        <v>288</v>
      </c>
      <c r="V1094" t="s">
        <v>288</v>
      </c>
      <c r="W1094" t="s">
        <v>344</v>
      </c>
      <c r="X1094" t="s">
        <v>345</v>
      </c>
      <c r="Y1094" t="s">
        <v>104</v>
      </c>
    </row>
    <row r="1095" spans="1:25">
      <c r="A1095">
        <v>10383</v>
      </c>
      <c r="B1095">
        <v>26</v>
      </c>
      <c r="C1095">
        <v>100</v>
      </c>
      <c r="D1095">
        <v>12</v>
      </c>
      <c r="E1095">
        <v>3340.48</v>
      </c>
      <c r="F1095" t="s">
        <v>760</v>
      </c>
      <c r="G1095" t="s">
        <v>93</v>
      </c>
      <c r="H1095">
        <v>1</v>
      </c>
      <c r="I1095">
        <v>2</v>
      </c>
      <c r="J1095">
        <v>2005</v>
      </c>
      <c r="K1095" t="s">
        <v>785</v>
      </c>
      <c r="L1095">
        <v>100</v>
      </c>
      <c r="M1095" t="s">
        <v>786</v>
      </c>
      <c r="N1095" t="s">
        <v>257</v>
      </c>
      <c r="O1095" t="s">
        <v>258</v>
      </c>
      <c r="P1095" t="s">
        <v>259</v>
      </c>
      <c r="R1095" t="s">
        <v>260</v>
      </c>
      <c r="T1095">
        <v>28034</v>
      </c>
      <c r="U1095" t="s">
        <v>261</v>
      </c>
      <c r="V1095" t="s">
        <v>110</v>
      </c>
      <c r="W1095" t="s">
        <v>262</v>
      </c>
      <c r="X1095" t="s">
        <v>263</v>
      </c>
      <c r="Y1095" t="s">
        <v>119</v>
      </c>
    </row>
    <row r="1096" spans="1:25">
      <c r="A1096">
        <v>10396</v>
      </c>
      <c r="B1096">
        <v>24</v>
      </c>
      <c r="C1096">
        <v>89.75</v>
      </c>
      <c r="D1096">
        <v>4</v>
      </c>
      <c r="E1096">
        <v>2154</v>
      </c>
      <c r="F1096" t="s">
        <v>658</v>
      </c>
      <c r="G1096" t="s">
        <v>93</v>
      </c>
      <c r="H1096">
        <v>1</v>
      </c>
      <c r="I1096">
        <v>3</v>
      </c>
      <c r="J1096">
        <v>2005</v>
      </c>
      <c r="K1096" t="s">
        <v>785</v>
      </c>
      <c r="L1096">
        <v>100</v>
      </c>
      <c r="M1096" t="s">
        <v>786</v>
      </c>
      <c r="N1096" t="s">
        <v>367</v>
      </c>
      <c r="O1096">
        <v>4155551450</v>
      </c>
      <c r="P1096" t="s">
        <v>368</v>
      </c>
      <c r="R1096" t="s">
        <v>369</v>
      </c>
      <c r="S1096" t="s">
        <v>124</v>
      </c>
      <c r="T1096">
        <v>97562</v>
      </c>
      <c r="U1096" t="s">
        <v>100</v>
      </c>
      <c r="V1096" t="s">
        <v>101</v>
      </c>
      <c r="W1096" t="s">
        <v>370</v>
      </c>
      <c r="X1096" t="s">
        <v>371</v>
      </c>
      <c r="Y1096" t="s">
        <v>104</v>
      </c>
    </row>
    <row r="1097" spans="1:25">
      <c r="A1097">
        <v>10414</v>
      </c>
      <c r="B1097">
        <v>48</v>
      </c>
      <c r="C1097">
        <v>100</v>
      </c>
      <c r="D1097">
        <v>14</v>
      </c>
      <c r="E1097">
        <v>5808.48</v>
      </c>
      <c r="F1097" s="4">
        <v>38508</v>
      </c>
      <c r="G1097" t="s">
        <v>518</v>
      </c>
      <c r="H1097">
        <v>2</v>
      </c>
      <c r="I1097">
        <v>5</v>
      </c>
      <c r="J1097">
        <v>2005</v>
      </c>
      <c r="K1097" t="s">
        <v>785</v>
      </c>
      <c r="L1097">
        <v>100</v>
      </c>
      <c r="M1097" t="s">
        <v>786</v>
      </c>
      <c r="N1097" t="s">
        <v>490</v>
      </c>
      <c r="O1097">
        <v>6175559555</v>
      </c>
      <c r="P1097" t="s">
        <v>491</v>
      </c>
      <c r="R1097" t="s">
        <v>492</v>
      </c>
      <c r="S1097" t="s">
        <v>200</v>
      </c>
      <c r="T1097">
        <v>51003</v>
      </c>
      <c r="U1097" t="s">
        <v>100</v>
      </c>
      <c r="V1097" t="s">
        <v>101</v>
      </c>
      <c r="W1097" t="s">
        <v>493</v>
      </c>
      <c r="X1097" t="s">
        <v>136</v>
      </c>
      <c r="Y1097" t="s">
        <v>119</v>
      </c>
    </row>
    <row r="1098" spans="1:25">
      <c r="A1098">
        <v>10108</v>
      </c>
      <c r="B1098">
        <v>26</v>
      </c>
      <c r="C1098">
        <v>68.349999999999994</v>
      </c>
      <c r="D1098">
        <v>9</v>
      </c>
      <c r="E1098">
        <v>1777.1</v>
      </c>
      <c r="F1098" s="4">
        <v>37683</v>
      </c>
      <c r="G1098" t="s">
        <v>93</v>
      </c>
      <c r="H1098">
        <v>1</v>
      </c>
      <c r="I1098">
        <v>3</v>
      </c>
      <c r="J1098">
        <v>2003</v>
      </c>
      <c r="K1098" t="s">
        <v>265</v>
      </c>
      <c r="L1098">
        <v>80</v>
      </c>
      <c r="M1098" t="s">
        <v>787</v>
      </c>
      <c r="N1098" t="s">
        <v>547</v>
      </c>
      <c r="O1098" t="s">
        <v>548</v>
      </c>
      <c r="P1098" t="s">
        <v>549</v>
      </c>
      <c r="R1098" t="s">
        <v>550</v>
      </c>
      <c r="T1098" t="s">
        <v>551</v>
      </c>
      <c r="U1098" t="s">
        <v>552</v>
      </c>
      <c r="V1098" t="s">
        <v>288</v>
      </c>
      <c r="W1098" t="s">
        <v>553</v>
      </c>
      <c r="X1098" t="s">
        <v>554</v>
      </c>
      <c r="Y1098" t="s">
        <v>104</v>
      </c>
    </row>
    <row r="1099" spans="1:25">
      <c r="A1099">
        <v>10122</v>
      </c>
      <c r="B1099">
        <v>21</v>
      </c>
      <c r="C1099">
        <v>73.17</v>
      </c>
      <c r="D1099">
        <v>13</v>
      </c>
      <c r="E1099">
        <v>1536.57</v>
      </c>
      <c r="F1099" s="4">
        <v>37838</v>
      </c>
      <c r="G1099" t="s">
        <v>93</v>
      </c>
      <c r="H1099">
        <v>2</v>
      </c>
      <c r="I1099">
        <v>5</v>
      </c>
      <c r="J1099">
        <v>2003</v>
      </c>
      <c r="K1099" t="s">
        <v>265</v>
      </c>
      <c r="L1099">
        <v>80</v>
      </c>
      <c r="M1099" t="s">
        <v>787</v>
      </c>
      <c r="N1099" t="s">
        <v>555</v>
      </c>
      <c r="O1099" t="s">
        <v>556</v>
      </c>
      <c r="P1099" t="s">
        <v>557</v>
      </c>
      <c r="R1099" t="s">
        <v>558</v>
      </c>
      <c r="T1099">
        <v>13008</v>
      </c>
      <c r="U1099" t="s">
        <v>109</v>
      </c>
      <c r="V1099" t="s">
        <v>110</v>
      </c>
      <c r="W1099" t="s">
        <v>559</v>
      </c>
      <c r="X1099" t="s">
        <v>560</v>
      </c>
      <c r="Y1099" t="s">
        <v>104</v>
      </c>
    </row>
    <row r="1100" spans="1:25">
      <c r="A1100">
        <v>10135</v>
      </c>
      <c r="B1100">
        <v>45</v>
      </c>
      <c r="C1100">
        <v>78</v>
      </c>
      <c r="D1100">
        <v>10</v>
      </c>
      <c r="E1100">
        <v>3510</v>
      </c>
      <c r="F1100" s="4">
        <v>37659</v>
      </c>
      <c r="G1100" t="s">
        <v>93</v>
      </c>
      <c r="H1100">
        <v>3</v>
      </c>
      <c r="I1100">
        <v>7</v>
      </c>
      <c r="J1100">
        <v>2003</v>
      </c>
      <c r="K1100" t="s">
        <v>265</v>
      </c>
      <c r="L1100">
        <v>80</v>
      </c>
      <c r="M1100" t="s">
        <v>787</v>
      </c>
      <c r="N1100" t="s">
        <v>367</v>
      </c>
      <c r="O1100">
        <v>4155551450</v>
      </c>
      <c r="P1100" t="s">
        <v>368</v>
      </c>
      <c r="R1100" t="s">
        <v>369</v>
      </c>
      <c r="S1100" t="s">
        <v>124</v>
      </c>
      <c r="T1100">
        <v>97562</v>
      </c>
      <c r="U1100" t="s">
        <v>100</v>
      </c>
      <c r="V1100" t="s">
        <v>101</v>
      </c>
      <c r="W1100" t="s">
        <v>370</v>
      </c>
      <c r="X1100" t="s">
        <v>371</v>
      </c>
      <c r="Y1100" t="s">
        <v>119</v>
      </c>
    </row>
    <row r="1101" spans="1:25">
      <c r="A1101">
        <v>10147</v>
      </c>
      <c r="B1101">
        <v>36</v>
      </c>
      <c r="C1101">
        <v>86.04</v>
      </c>
      <c r="D1101">
        <v>10</v>
      </c>
      <c r="E1101">
        <v>3097.44</v>
      </c>
      <c r="F1101" s="4">
        <v>37750</v>
      </c>
      <c r="G1101" t="s">
        <v>93</v>
      </c>
      <c r="H1101">
        <v>3</v>
      </c>
      <c r="I1101">
        <v>9</v>
      </c>
      <c r="J1101">
        <v>2003</v>
      </c>
      <c r="K1101" t="s">
        <v>265</v>
      </c>
      <c r="L1101">
        <v>80</v>
      </c>
      <c r="M1101" t="s">
        <v>787</v>
      </c>
      <c r="N1101" t="s">
        <v>379</v>
      </c>
      <c r="O1101">
        <v>6175558555</v>
      </c>
      <c r="P1101" t="s">
        <v>380</v>
      </c>
      <c r="R1101" t="s">
        <v>381</v>
      </c>
      <c r="S1101" t="s">
        <v>200</v>
      </c>
      <c r="T1101">
        <v>58339</v>
      </c>
      <c r="U1101" t="s">
        <v>100</v>
      </c>
      <c r="V1101" t="s">
        <v>101</v>
      </c>
      <c r="W1101" t="s">
        <v>370</v>
      </c>
      <c r="X1101" t="s">
        <v>382</v>
      </c>
      <c r="Y1101" t="s">
        <v>119</v>
      </c>
    </row>
    <row r="1102" spans="1:25">
      <c r="A1102">
        <v>10159</v>
      </c>
      <c r="B1102">
        <v>21</v>
      </c>
      <c r="C1102">
        <v>81.209999999999994</v>
      </c>
      <c r="D1102">
        <v>5</v>
      </c>
      <c r="E1102">
        <v>1705.41</v>
      </c>
      <c r="F1102" s="4">
        <v>37904</v>
      </c>
      <c r="G1102" t="s">
        <v>93</v>
      </c>
      <c r="H1102">
        <v>4</v>
      </c>
      <c r="I1102">
        <v>10</v>
      </c>
      <c r="J1102">
        <v>2003</v>
      </c>
      <c r="K1102" t="s">
        <v>265</v>
      </c>
      <c r="L1102">
        <v>80</v>
      </c>
      <c r="M1102" t="s">
        <v>787</v>
      </c>
      <c r="N1102" t="s">
        <v>127</v>
      </c>
      <c r="O1102">
        <v>6505551386</v>
      </c>
      <c r="P1102" t="s">
        <v>128</v>
      </c>
      <c r="R1102" t="s">
        <v>129</v>
      </c>
      <c r="S1102" t="s">
        <v>124</v>
      </c>
      <c r="U1102" t="s">
        <v>100</v>
      </c>
      <c r="V1102" t="s">
        <v>101</v>
      </c>
      <c r="W1102" t="s">
        <v>130</v>
      </c>
      <c r="X1102" t="s">
        <v>126</v>
      </c>
      <c r="Y1102" t="s">
        <v>104</v>
      </c>
    </row>
    <row r="1103" spans="1:25">
      <c r="A1103">
        <v>10169</v>
      </c>
      <c r="B1103">
        <v>32</v>
      </c>
      <c r="C1103">
        <v>70.760000000000005</v>
      </c>
      <c r="D1103">
        <v>5</v>
      </c>
      <c r="E1103">
        <v>2264.3200000000002</v>
      </c>
      <c r="F1103" s="4">
        <v>37722</v>
      </c>
      <c r="G1103" t="s">
        <v>93</v>
      </c>
      <c r="H1103">
        <v>4</v>
      </c>
      <c r="I1103">
        <v>11</v>
      </c>
      <c r="J1103">
        <v>2003</v>
      </c>
      <c r="K1103" t="s">
        <v>265</v>
      </c>
      <c r="L1103">
        <v>80</v>
      </c>
      <c r="M1103" t="s">
        <v>787</v>
      </c>
      <c r="N1103" t="s">
        <v>384</v>
      </c>
      <c r="O1103" t="s">
        <v>385</v>
      </c>
      <c r="P1103" t="s">
        <v>386</v>
      </c>
      <c r="Q1103" t="s">
        <v>387</v>
      </c>
      <c r="R1103" t="s">
        <v>388</v>
      </c>
      <c r="S1103" t="s">
        <v>239</v>
      </c>
      <c r="T1103">
        <v>2060</v>
      </c>
      <c r="U1103" t="s">
        <v>168</v>
      </c>
      <c r="V1103" t="s">
        <v>169</v>
      </c>
      <c r="W1103" t="s">
        <v>389</v>
      </c>
      <c r="X1103" t="s">
        <v>390</v>
      </c>
      <c r="Y1103" t="s">
        <v>104</v>
      </c>
    </row>
    <row r="1104" spans="1:25">
      <c r="A1104">
        <v>10181</v>
      </c>
      <c r="B1104">
        <v>30</v>
      </c>
      <c r="C1104">
        <v>82.82</v>
      </c>
      <c r="D1104">
        <v>17</v>
      </c>
      <c r="E1104">
        <v>2484.6</v>
      </c>
      <c r="F1104" s="4">
        <v>37966</v>
      </c>
      <c r="G1104" t="s">
        <v>93</v>
      </c>
      <c r="H1104">
        <v>4</v>
      </c>
      <c r="I1104">
        <v>11</v>
      </c>
      <c r="J1104">
        <v>2003</v>
      </c>
      <c r="K1104" t="s">
        <v>265</v>
      </c>
      <c r="L1104">
        <v>80</v>
      </c>
      <c r="M1104" t="s">
        <v>787</v>
      </c>
      <c r="N1104" t="s">
        <v>144</v>
      </c>
      <c r="O1104" t="s">
        <v>145</v>
      </c>
      <c r="P1104" t="s">
        <v>146</v>
      </c>
      <c r="R1104" t="s">
        <v>147</v>
      </c>
      <c r="T1104" t="s">
        <v>148</v>
      </c>
      <c r="U1104" t="s">
        <v>149</v>
      </c>
      <c r="V1104" t="s">
        <v>110</v>
      </c>
      <c r="W1104" t="s">
        <v>150</v>
      </c>
      <c r="X1104" t="s">
        <v>151</v>
      </c>
      <c r="Y1104" t="s">
        <v>104</v>
      </c>
    </row>
    <row r="1105" spans="1:25">
      <c r="A1105">
        <v>10191</v>
      </c>
      <c r="B1105">
        <v>36</v>
      </c>
      <c r="C1105">
        <v>94.88</v>
      </c>
      <c r="D1105">
        <v>6</v>
      </c>
      <c r="E1105">
        <v>3415.68</v>
      </c>
      <c r="F1105" t="s">
        <v>561</v>
      </c>
      <c r="G1105" t="s">
        <v>93</v>
      </c>
      <c r="H1105">
        <v>4</v>
      </c>
      <c r="I1105">
        <v>11</v>
      </c>
      <c r="J1105">
        <v>2003</v>
      </c>
      <c r="K1105" t="s">
        <v>265</v>
      </c>
      <c r="L1105">
        <v>80</v>
      </c>
      <c r="M1105" t="s">
        <v>787</v>
      </c>
      <c r="N1105" t="s">
        <v>562</v>
      </c>
      <c r="O1105" t="s">
        <v>563</v>
      </c>
      <c r="P1105" t="s">
        <v>564</v>
      </c>
      <c r="R1105" t="s">
        <v>565</v>
      </c>
      <c r="T1105">
        <v>50739</v>
      </c>
      <c r="U1105" t="s">
        <v>566</v>
      </c>
      <c r="V1105" t="s">
        <v>110</v>
      </c>
      <c r="W1105" t="s">
        <v>567</v>
      </c>
      <c r="X1105" t="s">
        <v>568</v>
      </c>
      <c r="Y1105" t="s">
        <v>119</v>
      </c>
    </row>
    <row r="1106" spans="1:25">
      <c r="A1106">
        <v>10203</v>
      </c>
      <c r="B1106">
        <v>33</v>
      </c>
      <c r="C1106">
        <v>86.04</v>
      </c>
      <c r="D1106">
        <v>11</v>
      </c>
      <c r="E1106">
        <v>2839.32</v>
      </c>
      <c r="F1106" s="4">
        <v>37664</v>
      </c>
      <c r="G1106" t="s">
        <v>93</v>
      </c>
      <c r="H1106">
        <v>4</v>
      </c>
      <c r="I1106">
        <v>12</v>
      </c>
      <c r="J1106">
        <v>2003</v>
      </c>
      <c r="K1106" t="s">
        <v>265</v>
      </c>
      <c r="L1106">
        <v>80</v>
      </c>
      <c r="M1106" t="s">
        <v>787</v>
      </c>
      <c r="N1106" t="s">
        <v>257</v>
      </c>
      <c r="O1106" t="s">
        <v>258</v>
      </c>
      <c r="P1106" t="s">
        <v>259</v>
      </c>
      <c r="R1106" t="s">
        <v>260</v>
      </c>
      <c r="T1106">
        <v>28034</v>
      </c>
      <c r="U1106" t="s">
        <v>261</v>
      </c>
      <c r="V1106" t="s">
        <v>110</v>
      </c>
      <c r="W1106" t="s">
        <v>262</v>
      </c>
      <c r="X1106" t="s">
        <v>263</v>
      </c>
      <c r="Y1106" t="s">
        <v>104</v>
      </c>
    </row>
    <row r="1107" spans="1:25">
      <c r="A1107">
        <v>10211</v>
      </c>
      <c r="B1107">
        <v>35</v>
      </c>
      <c r="C1107">
        <v>78</v>
      </c>
      <c r="D1107">
        <v>5</v>
      </c>
      <c r="E1107">
        <v>2730</v>
      </c>
      <c r="F1107" t="s">
        <v>155</v>
      </c>
      <c r="G1107" t="s">
        <v>93</v>
      </c>
      <c r="H1107">
        <v>1</v>
      </c>
      <c r="I1107">
        <v>1</v>
      </c>
      <c r="J1107">
        <v>2004</v>
      </c>
      <c r="K1107" t="s">
        <v>265</v>
      </c>
      <c r="L1107">
        <v>80</v>
      </c>
      <c r="M1107" t="s">
        <v>787</v>
      </c>
      <c r="N1107" t="s">
        <v>156</v>
      </c>
      <c r="O1107" t="s">
        <v>157</v>
      </c>
      <c r="P1107" t="s">
        <v>158</v>
      </c>
      <c r="R1107" t="s">
        <v>116</v>
      </c>
      <c r="T1107">
        <v>75016</v>
      </c>
      <c r="U1107" t="s">
        <v>109</v>
      </c>
      <c r="V1107" t="s">
        <v>110</v>
      </c>
      <c r="W1107" t="s">
        <v>159</v>
      </c>
      <c r="X1107" t="s">
        <v>160</v>
      </c>
      <c r="Y1107" t="s">
        <v>104</v>
      </c>
    </row>
    <row r="1108" spans="1:25">
      <c r="A1108">
        <v>10225</v>
      </c>
      <c r="B1108">
        <v>37</v>
      </c>
      <c r="C1108">
        <v>95.69</v>
      </c>
      <c r="D1108">
        <v>12</v>
      </c>
      <c r="E1108">
        <v>3540.53</v>
      </c>
      <c r="F1108" t="s">
        <v>569</v>
      </c>
      <c r="G1108" t="s">
        <v>93</v>
      </c>
      <c r="H1108">
        <v>1</v>
      </c>
      <c r="I1108">
        <v>2</v>
      </c>
      <c r="J1108">
        <v>2004</v>
      </c>
      <c r="K1108" t="s">
        <v>265</v>
      </c>
      <c r="L1108">
        <v>80</v>
      </c>
      <c r="M1108" t="s">
        <v>787</v>
      </c>
      <c r="N1108" t="s">
        <v>570</v>
      </c>
      <c r="O1108" t="s">
        <v>571</v>
      </c>
      <c r="P1108" t="s">
        <v>572</v>
      </c>
      <c r="R1108" t="s">
        <v>573</v>
      </c>
      <c r="T1108">
        <v>1203</v>
      </c>
      <c r="U1108" t="s">
        <v>574</v>
      </c>
      <c r="V1108" t="s">
        <v>110</v>
      </c>
      <c r="W1108" t="s">
        <v>575</v>
      </c>
      <c r="X1108" t="s">
        <v>176</v>
      </c>
      <c r="Y1108" t="s">
        <v>119</v>
      </c>
    </row>
    <row r="1109" spans="1:25">
      <c r="A1109">
        <v>10238</v>
      </c>
      <c r="B1109">
        <v>41</v>
      </c>
      <c r="C1109">
        <v>73.17</v>
      </c>
      <c r="D1109">
        <v>6</v>
      </c>
      <c r="E1109">
        <v>2999.97</v>
      </c>
      <c r="F1109" s="4">
        <v>38234</v>
      </c>
      <c r="G1109" t="s">
        <v>93</v>
      </c>
      <c r="H1109">
        <v>2</v>
      </c>
      <c r="I1109">
        <v>4</v>
      </c>
      <c r="J1109">
        <v>2004</v>
      </c>
      <c r="K1109" t="s">
        <v>265</v>
      </c>
      <c r="L1109">
        <v>80</v>
      </c>
      <c r="M1109" t="s">
        <v>787</v>
      </c>
      <c r="N1109" t="s">
        <v>425</v>
      </c>
      <c r="O1109" t="s">
        <v>426</v>
      </c>
      <c r="P1109" t="s">
        <v>427</v>
      </c>
      <c r="R1109" t="s">
        <v>428</v>
      </c>
      <c r="T1109">
        <v>1734</v>
      </c>
      <c r="U1109" t="s">
        <v>429</v>
      </c>
      <c r="V1109" t="s">
        <v>110</v>
      </c>
      <c r="W1109" t="s">
        <v>430</v>
      </c>
      <c r="X1109" t="s">
        <v>431</v>
      </c>
      <c r="Y1109" t="s">
        <v>104</v>
      </c>
    </row>
    <row r="1110" spans="1:25">
      <c r="A1110">
        <v>10252</v>
      </c>
      <c r="B1110">
        <v>20</v>
      </c>
      <c r="C1110">
        <v>76.39</v>
      </c>
      <c r="D1110">
        <v>2</v>
      </c>
      <c r="E1110">
        <v>1527.8</v>
      </c>
      <c r="F1110" t="s">
        <v>788</v>
      </c>
      <c r="G1110" t="s">
        <v>93</v>
      </c>
      <c r="H1110">
        <v>2</v>
      </c>
      <c r="I1110">
        <v>5</v>
      </c>
      <c r="J1110">
        <v>2004</v>
      </c>
      <c r="K1110" t="s">
        <v>265</v>
      </c>
      <c r="L1110">
        <v>80</v>
      </c>
      <c r="M1110" t="s">
        <v>787</v>
      </c>
      <c r="N1110" t="s">
        <v>156</v>
      </c>
      <c r="O1110" t="s">
        <v>157</v>
      </c>
      <c r="P1110" t="s">
        <v>158</v>
      </c>
      <c r="R1110" t="s">
        <v>116</v>
      </c>
      <c r="T1110">
        <v>75016</v>
      </c>
      <c r="U1110" t="s">
        <v>109</v>
      </c>
      <c r="V1110" t="s">
        <v>110</v>
      </c>
      <c r="W1110" t="s">
        <v>159</v>
      </c>
      <c r="X1110" t="s">
        <v>160</v>
      </c>
      <c r="Y1110" t="s">
        <v>104</v>
      </c>
    </row>
    <row r="1111" spans="1:25">
      <c r="A1111">
        <v>10265</v>
      </c>
      <c r="B1111">
        <v>45</v>
      </c>
      <c r="C1111">
        <v>86.84</v>
      </c>
      <c r="D1111">
        <v>2</v>
      </c>
      <c r="E1111">
        <v>3907.8</v>
      </c>
      <c r="F1111" s="4">
        <v>38024</v>
      </c>
      <c r="G1111" t="s">
        <v>93</v>
      </c>
      <c r="H1111">
        <v>3</v>
      </c>
      <c r="I1111">
        <v>7</v>
      </c>
      <c r="J1111">
        <v>2004</v>
      </c>
      <c r="K1111" t="s">
        <v>265</v>
      </c>
      <c r="L1111">
        <v>80</v>
      </c>
      <c r="M1111" t="s">
        <v>787</v>
      </c>
      <c r="N1111" t="s">
        <v>710</v>
      </c>
      <c r="O1111" t="s">
        <v>711</v>
      </c>
      <c r="P1111" t="s">
        <v>712</v>
      </c>
      <c r="R1111" t="s">
        <v>713</v>
      </c>
      <c r="S1111" t="s">
        <v>167</v>
      </c>
      <c r="T1111">
        <v>3150</v>
      </c>
      <c r="U1111" t="s">
        <v>168</v>
      </c>
      <c r="V1111" t="s">
        <v>169</v>
      </c>
      <c r="W1111" t="s">
        <v>714</v>
      </c>
      <c r="X1111" t="s">
        <v>715</v>
      </c>
      <c r="Y1111" t="s">
        <v>119</v>
      </c>
    </row>
    <row r="1112" spans="1:25">
      <c r="A1112">
        <v>10276</v>
      </c>
      <c r="B1112">
        <v>38</v>
      </c>
      <c r="C1112">
        <v>69.959999999999994</v>
      </c>
      <c r="D1112">
        <v>6</v>
      </c>
      <c r="E1112">
        <v>2658.48</v>
      </c>
      <c r="F1112" s="4">
        <v>38025</v>
      </c>
      <c r="G1112" t="s">
        <v>93</v>
      </c>
      <c r="H1112">
        <v>3</v>
      </c>
      <c r="I1112">
        <v>8</v>
      </c>
      <c r="J1112">
        <v>2004</v>
      </c>
      <c r="K1112" t="s">
        <v>265</v>
      </c>
      <c r="L1112">
        <v>80</v>
      </c>
      <c r="M1112" t="s">
        <v>787</v>
      </c>
      <c r="N1112" t="s">
        <v>582</v>
      </c>
      <c r="O1112">
        <v>6175557555</v>
      </c>
      <c r="P1112" t="s">
        <v>583</v>
      </c>
      <c r="R1112" t="s">
        <v>381</v>
      </c>
      <c r="S1112" t="s">
        <v>200</v>
      </c>
      <c r="T1112">
        <v>58339</v>
      </c>
      <c r="U1112" t="s">
        <v>100</v>
      </c>
      <c r="V1112" t="s">
        <v>101</v>
      </c>
      <c r="W1112" t="s">
        <v>584</v>
      </c>
      <c r="X1112" t="s">
        <v>585</v>
      </c>
      <c r="Y1112" t="s">
        <v>104</v>
      </c>
    </row>
    <row r="1113" spans="1:25">
      <c r="A1113">
        <v>10287</v>
      </c>
      <c r="B1113">
        <v>43</v>
      </c>
      <c r="C1113">
        <v>70.760000000000005</v>
      </c>
      <c r="D1113">
        <v>15</v>
      </c>
      <c r="E1113">
        <v>3042.68</v>
      </c>
      <c r="F1113" t="s">
        <v>586</v>
      </c>
      <c r="G1113" t="s">
        <v>93</v>
      </c>
      <c r="H1113">
        <v>3</v>
      </c>
      <c r="I1113">
        <v>8</v>
      </c>
      <c r="J1113">
        <v>2004</v>
      </c>
      <c r="K1113" t="s">
        <v>265</v>
      </c>
      <c r="L1113">
        <v>80</v>
      </c>
      <c r="M1113" t="s">
        <v>787</v>
      </c>
      <c r="N1113" t="s">
        <v>570</v>
      </c>
      <c r="O1113" t="s">
        <v>571</v>
      </c>
      <c r="P1113" t="s">
        <v>572</v>
      </c>
      <c r="R1113" t="s">
        <v>573</v>
      </c>
      <c r="T1113">
        <v>1203</v>
      </c>
      <c r="U1113" t="s">
        <v>574</v>
      </c>
      <c r="V1113" t="s">
        <v>110</v>
      </c>
      <c r="W1113" t="s">
        <v>575</v>
      </c>
      <c r="X1113" t="s">
        <v>176</v>
      </c>
      <c r="Y1113" t="s">
        <v>119</v>
      </c>
    </row>
    <row r="1114" spans="1:25">
      <c r="A1114">
        <v>10300</v>
      </c>
      <c r="B1114">
        <v>49</v>
      </c>
      <c r="C1114">
        <v>78.8</v>
      </c>
      <c r="D1114">
        <v>8</v>
      </c>
      <c r="E1114">
        <v>3861.2</v>
      </c>
      <c r="F1114" s="4">
        <v>37721</v>
      </c>
      <c r="G1114" t="s">
        <v>93</v>
      </c>
      <c r="H1114">
        <v>4</v>
      </c>
      <c r="I1114">
        <v>10</v>
      </c>
      <c r="J1114">
        <v>2003</v>
      </c>
      <c r="K1114" t="s">
        <v>265</v>
      </c>
      <c r="L1114">
        <v>80</v>
      </c>
      <c r="M1114" t="s">
        <v>787</v>
      </c>
      <c r="N1114" t="s">
        <v>587</v>
      </c>
      <c r="O1114" t="s">
        <v>588</v>
      </c>
      <c r="P1114" t="s">
        <v>589</v>
      </c>
      <c r="R1114" t="s">
        <v>590</v>
      </c>
      <c r="T1114">
        <v>60528</v>
      </c>
      <c r="U1114" t="s">
        <v>566</v>
      </c>
      <c r="V1114" t="s">
        <v>110</v>
      </c>
      <c r="W1114" t="s">
        <v>591</v>
      </c>
      <c r="X1114" t="s">
        <v>532</v>
      </c>
      <c r="Y1114" t="s">
        <v>119</v>
      </c>
    </row>
    <row r="1115" spans="1:25">
      <c r="A1115">
        <v>10310</v>
      </c>
      <c r="B1115">
        <v>27</v>
      </c>
      <c r="C1115">
        <v>80.41</v>
      </c>
      <c r="D1115">
        <v>13</v>
      </c>
      <c r="E1115">
        <v>2171.0700000000002</v>
      </c>
      <c r="F1115" t="s">
        <v>592</v>
      </c>
      <c r="G1115" t="s">
        <v>93</v>
      </c>
      <c r="H1115">
        <v>4</v>
      </c>
      <c r="I1115">
        <v>10</v>
      </c>
      <c r="J1115">
        <v>2004</v>
      </c>
      <c r="K1115" t="s">
        <v>265</v>
      </c>
      <c r="L1115">
        <v>80</v>
      </c>
      <c r="M1115" t="s">
        <v>787</v>
      </c>
      <c r="N1115" t="s">
        <v>562</v>
      </c>
      <c r="O1115" t="s">
        <v>563</v>
      </c>
      <c r="P1115" t="s">
        <v>564</v>
      </c>
      <c r="R1115" t="s">
        <v>565</v>
      </c>
      <c r="T1115">
        <v>50739</v>
      </c>
      <c r="U1115" t="s">
        <v>566</v>
      </c>
      <c r="V1115" t="s">
        <v>110</v>
      </c>
      <c r="W1115" t="s">
        <v>567</v>
      </c>
      <c r="X1115" t="s">
        <v>568</v>
      </c>
      <c r="Y1115" t="s">
        <v>104</v>
      </c>
    </row>
    <row r="1116" spans="1:25">
      <c r="A1116">
        <v>10319</v>
      </c>
      <c r="B1116">
        <v>46</v>
      </c>
      <c r="C1116">
        <v>73.98</v>
      </c>
      <c r="D1116">
        <v>1</v>
      </c>
      <c r="E1116">
        <v>3403.08</v>
      </c>
      <c r="F1116" s="4">
        <v>38057</v>
      </c>
      <c r="G1116" t="s">
        <v>93</v>
      </c>
      <c r="H1116">
        <v>4</v>
      </c>
      <c r="I1116">
        <v>11</v>
      </c>
      <c r="J1116">
        <v>2004</v>
      </c>
      <c r="K1116" t="s">
        <v>265</v>
      </c>
      <c r="L1116">
        <v>80</v>
      </c>
      <c r="M1116" t="s">
        <v>787</v>
      </c>
      <c r="N1116" t="s">
        <v>643</v>
      </c>
      <c r="O1116">
        <v>2125551957</v>
      </c>
      <c r="P1116" t="s">
        <v>644</v>
      </c>
      <c r="Q1116" t="s">
        <v>645</v>
      </c>
      <c r="R1116" t="s">
        <v>98</v>
      </c>
      <c r="S1116" t="s">
        <v>99</v>
      </c>
      <c r="T1116">
        <v>10022</v>
      </c>
      <c r="U1116" t="s">
        <v>100</v>
      </c>
      <c r="V1116" t="s">
        <v>101</v>
      </c>
      <c r="W1116" t="s">
        <v>646</v>
      </c>
      <c r="X1116" t="s">
        <v>647</v>
      </c>
      <c r="Y1116" t="s">
        <v>119</v>
      </c>
    </row>
    <row r="1117" spans="1:25">
      <c r="A1117">
        <v>10329</v>
      </c>
      <c r="B1117">
        <v>38</v>
      </c>
      <c r="C1117">
        <v>59.1</v>
      </c>
      <c r="D1117">
        <v>10</v>
      </c>
      <c r="E1117">
        <v>2245.8000000000002</v>
      </c>
      <c r="F1117" t="s">
        <v>223</v>
      </c>
      <c r="G1117" t="s">
        <v>93</v>
      </c>
      <c r="H1117">
        <v>4</v>
      </c>
      <c r="I1117">
        <v>11</v>
      </c>
      <c r="J1117">
        <v>2004</v>
      </c>
      <c r="K1117" t="s">
        <v>265</v>
      </c>
      <c r="L1117">
        <v>80</v>
      </c>
      <c r="M1117" t="s">
        <v>787</v>
      </c>
      <c r="N1117" t="s">
        <v>96</v>
      </c>
      <c r="O1117">
        <v>2125557818</v>
      </c>
      <c r="P1117" t="s">
        <v>97</v>
      </c>
      <c r="R1117" t="s">
        <v>98</v>
      </c>
      <c r="S1117" t="s">
        <v>99</v>
      </c>
      <c r="T1117">
        <v>10022</v>
      </c>
      <c r="U1117" t="s">
        <v>100</v>
      </c>
      <c r="V1117" t="s">
        <v>101</v>
      </c>
      <c r="W1117" t="s">
        <v>102</v>
      </c>
      <c r="X1117" t="s">
        <v>103</v>
      </c>
      <c r="Y1117" t="s">
        <v>104</v>
      </c>
    </row>
    <row r="1118" spans="1:25">
      <c r="A1118">
        <v>10342</v>
      </c>
      <c r="B1118">
        <v>25</v>
      </c>
      <c r="C1118">
        <v>66.739999999999995</v>
      </c>
      <c r="D1118">
        <v>5</v>
      </c>
      <c r="E1118">
        <v>1668.5</v>
      </c>
      <c r="F1118" t="s">
        <v>224</v>
      </c>
      <c r="G1118" t="s">
        <v>93</v>
      </c>
      <c r="H1118">
        <v>4</v>
      </c>
      <c r="I1118">
        <v>11</v>
      </c>
      <c r="J1118">
        <v>2004</v>
      </c>
      <c r="K1118" t="s">
        <v>265</v>
      </c>
      <c r="L1118">
        <v>80</v>
      </c>
      <c r="M1118" t="s">
        <v>787</v>
      </c>
      <c r="N1118" t="s">
        <v>162</v>
      </c>
      <c r="O1118" t="s">
        <v>163</v>
      </c>
      <c r="P1118" t="s">
        <v>164</v>
      </c>
      <c r="Q1118" t="s">
        <v>165</v>
      </c>
      <c r="R1118" t="s">
        <v>166</v>
      </c>
      <c r="S1118" t="s">
        <v>167</v>
      </c>
      <c r="T1118">
        <v>3004</v>
      </c>
      <c r="U1118" t="s">
        <v>168</v>
      </c>
      <c r="V1118" t="s">
        <v>169</v>
      </c>
      <c r="W1118" t="s">
        <v>170</v>
      </c>
      <c r="X1118" t="s">
        <v>171</v>
      </c>
      <c r="Y1118" t="s">
        <v>104</v>
      </c>
    </row>
    <row r="1119" spans="1:25">
      <c r="A1119">
        <v>10363</v>
      </c>
      <c r="B1119">
        <v>46</v>
      </c>
      <c r="C1119">
        <v>60.3</v>
      </c>
      <c r="D1119">
        <v>10</v>
      </c>
      <c r="E1119">
        <v>2773.8</v>
      </c>
      <c r="F1119" s="4">
        <v>38504</v>
      </c>
      <c r="G1119" t="s">
        <v>93</v>
      </c>
      <c r="H1119">
        <v>1</v>
      </c>
      <c r="I1119">
        <v>1</v>
      </c>
      <c r="J1119">
        <v>2005</v>
      </c>
      <c r="K1119" t="s">
        <v>265</v>
      </c>
      <c r="L1119">
        <v>80</v>
      </c>
      <c r="M1119" t="s">
        <v>787</v>
      </c>
      <c r="N1119" t="s">
        <v>593</v>
      </c>
      <c r="O1119" t="s">
        <v>594</v>
      </c>
      <c r="P1119" t="s">
        <v>595</v>
      </c>
      <c r="R1119" t="s">
        <v>596</v>
      </c>
      <c r="T1119" t="s">
        <v>597</v>
      </c>
      <c r="U1119" t="s">
        <v>208</v>
      </c>
      <c r="V1119" t="s">
        <v>110</v>
      </c>
      <c r="W1119" t="s">
        <v>598</v>
      </c>
      <c r="X1119" t="s">
        <v>599</v>
      </c>
      <c r="Y1119" t="s">
        <v>104</v>
      </c>
    </row>
    <row r="1120" spans="1:25">
      <c r="A1120">
        <v>10378</v>
      </c>
      <c r="B1120">
        <v>22</v>
      </c>
      <c r="C1120">
        <v>100</v>
      </c>
      <c r="D1120">
        <v>4</v>
      </c>
      <c r="E1120">
        <v>2464</v>
      </c>
      <c r="F1120" s="4">
        <v>38627</v>
      </c>
      <c r="G1120" t="s">
        <v>93</v>
      </c>
      <c r="H1120">
        <v>1</v>
      </c>
      <c r="I1120">
        <v>2</v>
      </c>
      <c r="J1120">
        <v>2005</v>
      </c>
      <c r="K1120" t="s">
        <v>265</v>
      </c>
      <c r="L1120">
        <v>80</v>
      </c>
      <c r="M1120" t="s">
        <v>787</v>
      </c>
      <c r="N1120" t="s">
        <v>257</v>
      </c>
      <c r="O1120" t="s">
        <v>258</v>
      </c>
      <c r="P1120" t="s">
        <v>259</v>
      </c>
      <c r="R1120" t="s">
        <v>260</v>
      </c>
      <c r="T1120">
        <v>28034</v>
      </c>
      <c r="U1120" t="s">
        <v>261</v>
      </c>
      <c r="V1120" t="s">
        <v>110</v>
      </c>
      <c r="W1120" t="s">
        <v>262</v>
      </c>
      <c r="X1120" t="s">
        <v>263</v>
      </c>
      <c r="Y1120" t="s">
        <v>104</v>
      </c>
    </row>
    <row r="1121" spans="1:25">
      <c r="A1121">
        <v>10390</v>
      </c>
      <c r="B1121">
        <v>40</v>
      </c>
      <c r="C1121">
        <v>100</v>
      </c>
      <c r="D1121">
        <v>9</v>
      </c>
      <c r="E1121">
        <v>5491.6</v>
      </c>
      <c r="F1121" s="4">
        <v>38445</v>
      </c>
      <c r="G1121" t="s">
        <v>93</v>
      </c>
      <c r="H1121">
        <v>1</v>
      </c>
      <c r="I1121">
        <v>3</v>
      </c>
      <c r="J1121">
        <v>2005</v>
      </c>
      <c r="K1121" t="s">
        <v>265</v>
      </c>
      <c r="L1121">
        <v>80</v>
      </c>
      <c r="M1121" t="s">
        <v>787</v>
      </c>
      <c r="N1121" t="s">
        <v>367</v>
      </c>
      <c r="O1121">
        <v>4155551450</v>
      </c>
      <c r="P1121" t="s">
        <v>368</v>
      </c>
      <c r="R1121" t="s">
        <v>369</v>
      </c>
      <c r="S1121" t="s">
        <v>124</v>
      </c>
      <c r="T1121">
        <v>97562</v>
      </c>
      <c r="U1121" t="s">
        <v>100</v>
      </c>
      <c r="V1121" t="s">
        <v>101</v>
      </c>
      <c r="W1121" t="s">
        <v>370</v>
      </c>
      <c r="X1121" t="s">
        <v>371</v>
      </c>
      <c r="Y1121" t="s">
        <v>119</v>
      </c>
    </row>
    <row r="1122" spans="1:25">
      <c r="A1122">
        <v>10103</v>
      </c>
      <c r="B1122">
        <v>46</v>
      </c>
      <c r="C1122">
        <v>100</v>
      </c>
      <c r="D1122">
        <v>16</v>
      </c>
      <c r="E1122">
        <v>4791.82</v>
      </c>
      <c r="F1122" t="s">
        <v>264</v>
      </c>
      <c r="G1122" t="s">
        <v>93</v>
      </c>
      <c r="H1122">
        <v>1</v>
      </c>
      <c r="I1122">
        <v>1</v>
      </c>
      <c r="J1122">
        <v>2003</v>
      </c>
      <c r="K1122" t="s">
        <v>697</v>
      </c>
      <c r="L1122">
        <v>99</v>
      </c>
      <c r="M1122" t="s">
        <v>789</v>
      </c>
      <c r="N1122" t="s">
        <v>212</v>
      </c>
      <c r="O1122" t="s">
        <v>213</v>
      </c>
      <c r="P1122" t="s">
        <v>214</v>
      </c>
      <c r="R1122" t="s">
        <v>215</v>
      </c>
      <c r="T1122">
        <v>4110</v>
      </c>
      <c r="U1122" t="s">
        <v>149</v>
      </c>
      <c r="V1122" t="s">
        <v>110</v>
      </c>
      <c r="W1122" t="s">
        <v>216</v>
      </c>
      <c r="X1122" t="s">
        <v>217</v>
      </c>
      <c r="Y1122" t="s">
        <v>119</v>
      </c>
    </row>
    <row r="1123" spans="1:25">
      <c r="A1123">
        <v>10111</v>
      </c>
      <c r="B1123">
        <v>39</v>
      </c>
      <c r="C1123">
        <v>100</v>
      </c>
      <c r="D1123">
        <v>4</v>
      </c>
      <c r="E1123">
        <v>4178.8500000000004</v>
      </c>
      <c r="F1123" t="s">
        <v>699</v>
      </c>
      <c r="G1123" t="s">
        <v>93</v>
      </c>
      <c r="H1123">
        <v>1</v>
      </c>
      <c r="I1123">
        <v>3</v>
      </c>
      <c r="J1123">
        <v>2003</v>
      </c>
      <c r="K1123" t="s">
        <v>697</v>
      </c>
      <c r="L1123">
        <v>99</v>
      </c>
      <c r="M1123" t="s">
        <v>789</v>
      </c>
      <c r="N1123" t="s">
        <v>152</v>
      </c>
      <c r="O1123">
        <v>6505555787</v>
      </c>
      <c r="P1123" t="s">
        <v>153</v>
      </c>
      <c r="R1123" t="s">
        <v>129</v>
      </c>
      <c r="S1123" t="s">
        <v>124</v>
      </c>
      <c r="U1123" t="s">
        <v>100</v>
      </c>
      <c r="V1123" t="s">
        <v>101</v>
      </c>
      <c r="W1123" t="s">
        <v>154</v>
      </c>
      <c r="X1123" t="s">
        <v>126</v>
      </c>
      <c r="Y1123" t="s">
        <v>119</v>
      </c>
    </row>
    <row r="1124" spans="1:25">
      <c r="A1124">
        <v>10126</v>
      </c>
      <c r="B1124">
        <v>38</v>
      </c>
      <c r="C1124">
        <v>82.34</v>
      </c>
      <c r="D1124">
        <v>16</v>
      </c>
      <c r="E1124">
        <v>3128.92</v>
      </c>
      <c r="F1124" t="s">
        <v>276</v>
      </c>
      <c r="G1124" t="s">
        <v>93</v>
      </c>
      <c r="H1124">
        <v>2</v>
      </c>
      <c r="I1124">
        <v>5</v>
      </c>
      <c r="J1124">
        <v>2003</v>
      </c>
      <c r="K1124" t="s">
        <v>697</v>
      </c>
      <c r="L1124">
        <v>99</v>
      </c>
      <c r="M1124" t="s">
        <v>789</v>
      </c>
      <c r="N1124" t="s">
        <v>277</v>
      </c>
      <c r="O1124" t="s">
        <v>278</v>
      </c>
      <c r="P1124" t="s">
        <v>279</v>
      </c>
      <c r="R1124" t="s">
        <v>260</v>
      </c>
      <c r="T1124">
        <v>28023</v>
      </c>
      <c r="U1124" t="s">
        <v>261</v>
      </c>
      <c r="V1124" t="s">
        <v>110</v>
      </c>
      <c r="W1124" t="s">
        <v>280</v>
      </c>
      <c r="X1124" t="s">
        <v>281</v>
      </c>
      <c r="Y1124" t="s">
        <v>119</v>
      </c>
    </row>
    <row r="1125" spans="1:25">
      <c r="A1125">
        <v>10139</v>
      </c>
      <c r="B1125">
        <v>30</v>
      </c>
      <c r="C1125">
        <v>100</v>
      </c>
      <c r="D1125">
        <v>5</v>
      </c>
      <c r="E1125">
        <v>3095.4</v>
      </c>
      <c r="F1125" t="s">
        <v>701</v>
      </c>
      <c r="G1125" t="s">
        <v>93</v>
      </c>
      <c r="H1125">
        <v>3</v>
      </c>
      <c r="I1125">
        <v>7</v>
      </c>
      <c r="J1125">
        <v>2003</v>
      </c>
      <c r="K1125" t="s">
        <v>697</v>
      </c>
      <c r="L1125">
        <v>99</v>
      </c>
      <c r="M1125" t="s">
        <v>789</v>
      </c>
      <c r="N1125" t="s">
        <v>234</v>
      </c>
      <c r="O1125" t="s">
        <v>235</v>
      </c>
      <c r="P1125" t="s">
        <v>236</v>
      </c>
      <c r="Q1125" t="s">
        <v>237</v>
      </c>
      <c r="R1125" t="s">
        <v>238</v>
      </c>
      <c r="S1125" t="s">
        <v>239</v>
      </c>
      <c r="T1125">
        <v>2067</v>
      </c>
      <c r="U1125" t="s">
        <v>168</v>
      </c>
      <c r="V1125" t="s">
        <v>169</v>
      </c>
      <c r="W1125" t="s">
        <v>240</v>
      </c>
      <c r="X1125" t="s">
        <v>241</v>
      </c>
      <c r="Y1125" t="s">
        <v>119</v>
      </c>
    </row>
    <row r="1126" spans="1:25">
      <c r="A1126">
        <v>10149</v>
      </c>
      <c r="B1126">
        <v>42</v>
      </c>
      <c r="C1126">
        <v>94.25</v>
      </c>
      <c r="D1126">
        <v>2</v>
      </c>
      <c r="E1126">
        <v>3958.5</v>
      </c>
      <c r="F1126" s="4">
        <v>37964</v>
      </c>
      <c r="G1126" t="s">
        <v>93</v>
      </c>
      <c r="H1126">
        <v>3</v>
      </c>
      <c r="I1126">
        <v>9</v>
      </c>
      <c r="J1126">
        <v>2003</v>
      </c>
      <c r="K1126" t="s">
        <v>697</v>
      </c>
      <c r="L1126">
        <v>99</v>
      </c>
      <c r="M1126" t="s">
        <v>789</v>
      </c>
      <c r="N1126" t="s">
        <v>668</v>
      </c>
      <c r="O1126">
        <v>4155554312</v>
      </c>
      <c r="P1126" t="s">
        <v>669</v>
      </c>
      <c r="R1126" t="s">
        <v>670</v>
      </c>
      <c r="S1126" t="s">
        <v>124</v>
      </c>
      <c r="T1126">
        <v>94217</v>
      </c>
      <c r="U1126" t="s">
        <v>100</v>
      </c>
      <c r="V1126" t="s">
        <v>101</v>
      </c>
      <c r="W1126" t="s">
        <v>671</v>
      </c>
      <c r="X1126" t="s">
        <v>517</v>
      </c>
      <c r="Y1126" t="s">
        <v>119</v>
      </c>
    </row>
    <row r="1127" spans="1:25">
      <c r="A1127">
        <v>10163</v>
      </c>
      <c r="B1127">
        <v>43</v>
      </c>
      <c r="C1127">
        <v>100</v>
      </c>
      <c r="D1127">
        <v>6</v>
      </c>
      <c r="E1127">
        <v>4991.4399999999996</v>
      </c>
      <c r="F1127" t="s">
        <v>291</v>
      </c>
      <c r="G1127" t="s">
        <v>93</v>
      </c>
      <c r="H1127">
        <v>4</v>
      </c>
      <c r="I1127">
        <v>10</v>
      </c>
      <c r="J1127">
        <v>2003</v>
      </c>
      <c r="K1127" t="s">
        <v>697</v>
      </c>
      <c r="L1127">
        <v>99</v>
      </c>
      <c r="M1127" t="s">
        <v>789</v>
      </c>
      <c r="N1127" t="s">
        <v>292</v>
      </c>
      <c r="O1127">
        <v>2125558493</v>
      </c>
      <c r="P1127" t="s">
        <v>293</v>
      </c>
      <c r="Q1127" t="s">
        <v>294</v>
      </c>
      <c r="R1127" t="s">
        <v>98</v>
      </c>
      <c r="S1127" t="s">
        <v>99</v>
      </c>
      <c r="T1127">
        <v>10022</v>
      </c>
      <c r="U1127" t="s">
        <v>100</v>
      </c>
      <c r="V1127" t="s">
        <v>101</v>
      </c>
      <c r="W1127" t="s">
        <v>201</v>
      </c>
      <c r="X1127" t="s">
        <v>295</v>
      </c>
      <c r="Y1127" t="s">
        <v>119</v>
      </c>
    </row>
    <row r="1128" spans="1:25">
      <c r="A1128">
        <v>10173</v>
      </c>
      <c r="B1128">
        <v>29</v>
      </c>
      <c r="C1128">
        <v>95.24</v>
      </c>
      <c r="D1128">
        <v>4</v>
      </c>
      <c r="E1128">
        <v>2761.96</v>
      </c>
      <c r="F1128" s="4">
        <v>37752</v>
      </c>
      <c r="G1128" t="s">
        <v>93</v>
      </c>
      <c r="H1128">
        <v>4</v>
      </c>
      <c r="I1128">
        <v>11</v>
      </c>
      <c r="J1128">
        <v>2003</v>
      </c>
      <c r="K1128" t="s">
        <v>697</v>
      </c>
      <c r="L1128">
        <v>99</v>
      </c>
      <c r="M1128" t="s">
        <v>789</v>
      </c>
      <c r="N1128" t="s">
        <v>703</v>
      </c>
      <c r="O1128" t="s">
        <v>704</v>
      </c>
      <c r="P1128" t="s">
        <v>705</v>
      </c>
      <c r="R1128" t="s">
        <v>706</v>
      </c>
      <c r="T1128">
        <v>24100</v>
      </c>
      <c r="U1128" t="s">
        <v>352</v>
      </c>
      <c r="V1128" t="s">
        <v>110</v>
      </c>
      <c r="W1128" t="s">
        <v>707</v>
      </c>
      <c r="X1128" t="s">
        <v>708</v>
      </c>
      <c r="Y1128" t="s">
        <v>104</v>
      </c>
    </row>
    <row r="1129" spans="1:25">
      <c r="A1129">
        <v>10182</v>
      </c>
      <c r="B1129">
        <v>33</v>
      </c>
      <c r="C1129">
        <v>86.31</v>
      </c>
      <c r="D1129">
        <v>1</v>
      </c>
      <c r="E1129">
        <v>2848.23</v>
      </c>
      <c r="F1129" s="4">
        <v>37966</v>
      </c>
      <c r="G1129" t="s">
        <v>93</v>
      </c>
      <c r="H1129">
        <v>4</v>
      </c>
      <c r="I1129">
        <v>11</v>
      </c>
      <c r="J1129">
        <v>2003</v>
      </c>
      <c r="K1129" t="s">
        <v>697</v>
      </c>
      <c r="L1129">
        <v>99</v>
      </c>
      <c r="M1129" t="s">
        <v>789</v>
      </c>
      <c r="N1129" t="s">
        <v>367</v>
      </c>
      <c r="O1129">
        <v>4155551450</v>
      </c>
      <c r="P1129" t="s">
        <v>368</v>
      </c>
      <c r="R1129" t="s">
        <v>369</v>
      </c>
      <c r="S1129" t="s">
        <v>124</v>
      </c>
      <c r="T1129">
        <v>97562</v>
      </c>
      <c r="U1129" t="s">
        <v>100</v>
      </c>
      <c r="V1129" t="s">
        <v>101</v>
      </c>
      <c r="W1129" t="s">
        <v>370</v>
      </c>
      <c r="X1129" t="s">
        <v>371</v>
      </c>
      <c r="Y1129" t="s">
        <v>104</v>
      </c>
    </row>
    <row r="1130" spans="1:25">
      <c r="A1130">
        <v>10193</v>
      </c>
      <c r="B1130">
        <v>32</v>
      </c>
      <c r="C1130">
        <v>79.37</v>
      </c>
      <c r="D1130">
        <v>5</v>
      </c>
      <c r="E1130">
        <v>2539.84</v>
      </c>
      <c r="F1130" t="s">
        <v>709</v>
      </c>
      <c r="G1130" t="s">
        <v>93</v>
      </c>
      <c r="H1130">
        <v>4</v>
      </c>
      <c r="I1130">
        <v>11</v>
      </c>
      <c r="J1130">
        <v>2003</v>
      </c>
      <c r="K1130" t="s">
        <v>697</v>
      </c>
      <c r="L1130">
        <v>99</v>
      </c>
      <c r="M1130" t="s">
        <v>789</v>
      </c>
      <c r="N1130" t="s">
        <v>710</v>
      </c>
      <c r="O1130" t="s">
        <v>711</v>
      </c>
      <c r="P1130" t="s">
        <v>712</v>
      </c>
      <c r="R1130" t="s">
        <v>713</v>
      </c>
      <c r="S1130" t="s">
        <v>167</v>
      </c>
      <c r="T1130">
        <v>3150</v>
      </c>
      <c r="U1130" t="s">
        <v>168</v>
      </c>
      <c r="V1130" t="s">
        <v>169</v>
      </c>
      <c r="W1130" t="s">
        <v>714</v>
      </c>
      <c r="X1130" t="s">
        <v>715</v>
      </c>
      <c r="Y1130" t="s">
        <v>104</v>
      </c>
    </row>
    <row r="1131" spans="1:25">
      <c r="A1131">
        <v>10206</v>
      </c>
      <c r="B1131">
        <v>28</v>
      </c>
      <c r="C1131">
        <v>87.3</v>
      </c>
      <c r="D1131">
        <v>11</v>
      </c>
      <c r="E1131">
        <v>2444.4</v>
      </c>
      <c r="F1131" s="4">
        <v>37753</v>
      </c>
      <c r="G1131" t="s">
        <v>93</v>
      </c>
      <c r="H1131">
        <v>4</v>
      </c>
      <c r="I1131">
        <v>12</v>
      </c>
      <c r="J1131">
        <v>2003</v>
      </c>
      <c r="K1131" t="s">
        <v>697</v>
      </c>
      <c r="L1131">
        <v>99</v>
      </c>
      <c r="M1131" t="s">
        <v>789</v>
      </c>
      <c r="N1131" t="s">
        <v>316</v>
      </c>
      <c r="O1131" t="s">
        <v>317</v>
      </c>
      <c r="P1131" t="s">
        <v>318</v>
      </c>
      <c r="R1131" t="s">
        <v>319</v>
      </c>
      <c r="S1131" t="s">
        <v>320</v>
      </c>
      <c r="T1131" t="s">
        <v>321</v>
      </c>
      <c r="U1131" t="s">
        <v>322</v>
      </c>
      <c r="V1131" t="s">
        <v>101</v>
      </c>
      <c r="W1131" t="s">
        <v>323</v>
      </c>
      <c r="X1131" t="s">
        <v>324</v>
      </c>
      <c r="Y1131" t="s">
        <v>104</v>
      </c>
    </row>
    <row r="1132" spans="1:25">
      <c r="A1132">
        <v>10215</v>
      </c>
      <c r="B1132">
        <v>41</v>
      </c>
      <c r="C1132">
        <v>100</v>
      </c>
      <c r="D1132">
        <v>8</v>
      </c>
      <c r="E1132">
        <v>4555.92</v>
      </c>
      <c r="F1132" t="s">
        <v>325</v>
      </c>
      <c r="G1132" t="s">
        <v>93</v>
      </c>
      <c r="H1132">
        <v>1</v>
      </c>
      <c r="I1132">
        <v>1</v>
      </c>
      <c r="J1132">
        <v>2004</v>
      </c>
      <c r="K1132" t="s">
        <v>697</v>
      </c>
      <c r="L1132">
        <v>99</v>
      </c>
      <c r="M1132" t="s">
        <v>789</v>
      </c>
      <c r="N1132" t="s">
        <v>326</v>
      </c>
      <c r="O1132">
        <v>3105553722</v>
      </c>
      <c r="P1132" t="s">
        <v>327</v>
      </c>
      <c r="R1132" t="s">
        <v>328</v>
      </c>
      <c r="S1132" t="s">
        <v>124</v>
      </c>
      <c r="T1132">
        <v>94019</v>
      </c>
      <c r="U1132" t="s">
        <v>100</v>
      </c>
      <c r="V1132" t="s">
        <v>101</v>
      </c>
      <c r="W1132" t="s">
        <v>6</v>
      </c>
      <c r="X1132" t="s">
        <v>329</v>
      </c>
      <c r="Y1132" t="s">
        <v>119</v>
      </c>
    </row>
    <row r="1133" spans="1:25">
      <c r="A1133">
        <v>10227</v>
      </c>
      <c r="B1133">
        <v>33</v>
      </c>
      <c r="C1133">
        <v>100</v>
      </c>
      <c r="D1133">
        <v>1</v>
      </c>
      <c r="E1133">
        <v>3666.96</v>
      </c>
      <c r="F1133" s="4">
        <v>38020</v>
      </c>
      <c r="G1133" t="s">
        <v>93</v>
      </c>
      <c r="H1133">
        <v>1</v>
      </c>
      <c r="I1133">
        <v>3</v>
      </c>
      <c r="J1133">
        <v>2004</v>
      </c>
      <c r="K1133" t="s">
        <v>697</v>
      </c>
      <c r="L1133">
        <v>99</v>
      </c>
      <c r="M1133" t="s">
        <v>789</v>
      </c>
      <c r="N1133" t="s">
        <v>310</v>
      </c>
      <c r="O1133" t="s">
        <v>311</v>
      </c>
      <c r="P1133" t="s">
        <v>312</v>
      </c>
      <c r="R1133" t="s">
        <v>313</v>
      </c>
      <c r="T1133">
        <v>69004</v>
      </c>
      <c r="U1133" t="s">
        <v>109</v>
      </c>
      <c r="V1133" t="s">
        <v>110</v>
      </c>
      <c r="W1133" t="s">
        <v>314</v>
      </c>
      <c r="X1133" t="s">
        <v>315</v>
      </c>
      <c r="Y1133" t="s">
        <v>119</v>
      </c>
    </row>
    <row r="1134" spans="1:25">
      <c r="A1134">
        <v>10244</v>
      </c>
      <c r="B1134">
        <v>36</v>
      </c>
      <c r="C1134">
        <v>84.33</v>
      </c>
      <c r="D1134">
        <v>5</v>
      </c>
      <c r="E1134">
        <v>3035.88</v>
      </c>
      <c r="F1134" t="s">
        <v>716</v>
      </c>
      <c r="G1134" t="s">
        <v>93</v>
      </c>
      <c r="H1134">
        <v>2</v>
      </c>
      <c r="I1134">
        <v>4</v>
      </c>
      <c r="J1134">
        <v>2004</v>
      </c>
      <c r="K1134" t="s">
        <v>697</v>
      </c>
      <c r="L1134">
        <v>99</v>
      </c>
      <c r="M1134" t="s">
        <v>789</v>
      </c>
      <c r="N1134" t="s">
        <v>257</v>
      </c>
      <c r="O1134" t="s">
        <v>258</v>
      </c>
      <c r="P1134" t="s">
        <v>259</v>
      </c>
      <c r="R1134" t="s">
        <v>260</v>
      </c>
      <c r="T1134">
        <v>28034</v>
      </c>
      <c r="U1134" t="s">
        <v>261</v>
      </c>
      <c r="V1134" t="s">
        <v>110</v>
      </c>
      <c r="W1134" t="s">
        <v>262</v>
      </c>
      <c r="X1134" t="s">
        <v>263</v>
      </c>
      <c r="Y1134" t="s">
        <v>119</v>
      </c>
    </row>
    <row r="1135" spans="1:25">
      <c r="A1135">
        <v>10257</v>
      </c>
      <c r="B1135">
        <v>26</v>
      </c>
      <c r="C1135">
        <v>89.29</v>
      </c>
      <c r="D1135">
        <v>5</v>
      </c>
      <c r="E1135">
        <v>2321.54</v>
      </c>
      <c r="F1135" t="s">
        <v>772</v>
      </c>
      <c r="G1135" t="s">
        <v>93</v>
      </c>
      <c r="H1135">
        <v>2</v>
      </c>
      <c r="I1135">
        <v>6</v>
      </c>
      <c r="J1135">
        <v>2004</v>
      </c>
      <c r="K1135" t="s">
        <v>697</v>
      </c>
      <c r="L1135">
        <v>99</v>
      </c>
      <c r="M1135" t="s">
        <v>789</v>
      </c>
      <c r="N1135" t="s">
        <v>514</v>
      </c>
      <c r="O1135">
        <v>4085553659</v>
      </c>
      <c r="P1135" t="s">
        <v>515</v>
      </c>
      <c r="R1135" t="s">
        <v>516</v>
      </c>
      <c r="S1135" t="s">
        <v>124</v>
      </c>
      <c r="T1135">
        <v>94217</v>
      </c>
      <c r="U1135" t="s">
        <v>100</v>
      </c>
      <c r="V1135" t="s">
        <v>101</v>
      </c>
      <c r="W1135" t="s">
        <v>175</v>
      </c>
      <c r="X1135" t="s">
        <v>517</v>
      </c>
      <c r="Y1135" t="s">
        <v>104</v>
      </c>
    </row>
    <row r="1136" spans="1:25">
      <c r="A1136">
        <v>10280</v>
      </c>
      <c r="B1136">
        <v>34</v>
      </c>
      <c r="C1136">
        <v>100</v>
      </c>
      <c r="D1136">
        <v>7</v>
      </c>
      <c r="E1136">
        <v>3474.46</v>
      </c>
      <c r="F1136" t="s">
        <v>347</v>
      </c>
      <c r="G1136" t="s">
        <v>93</v>
      </c>
      <c r="H1136">
        <v>3</v>
      </c>
      <c r="I1136">
        <v>8</v>
      </c>
      <c r="J1136">
        <v>2004</v>
      </c>
      <c r="K1136" t="s">
        <v>697</v>
      </c>
      <c r="L1136">
        <v>99</v>
      </c>
      <c r="M1136" t="s">
        <v>789</v>
      </c>
      <c r="N1136" t="s">
        <v>348</v>
      </c>
      <c r="O1136" t="s">
        <v>349</v>
      </c>
      <c r="P1136" t="s">
        <v>350</v>
      </c>
      <c r="R1136" t="s">
        <v>351</v>
      </c>
      <c r="T1136">
        <v>10100</v>
      </c>
      <c r="U1136" t="s">
        <v>352</v>
      </c>
      <c r="V1136" t="s">
        <v>110</v>
      </c>
      <c r="W1136" t="s">
        <v>353</v>
      </c>
      <c r="X1136" t="s">
        <v>354</v>
      </c>
      <c r="Y1136" t="s">
        <v>119</v>
      </c>
    </row>
    <row r="1137" spans="1:25">
      <c r="A1137">
        <v>10290</v>
      </c>
      <c r="B1137">
        <v>26</v>
      </c>
      <c r="C1137">
        <v>96.23</v>
      </c>
      <c r="D1137">
        <v>2</v>
      </c>
      <c r="E1137">
        <v>2501.98</v>
      </c>
      <c r="F1137" s="4">
        <v>38177</v>
      </c>
      <c r="G1137" t="s">
        <v>93</v>
      </c>
      <c r="H1137">
        <v>3</v>
      </c>
      <c r="I1137">
        <v>9</v>
      </c>
      <c r="J1137">
        <v>2004</v>
      </c>
      <c r="K1137" t="s">
        <v>697</v>
      </c>
      <c r="L1137">
        <v>99</v>
      </c>
      <c r="M1137" t="s">
        <v>789</v>
      </c>
      <c r="N1137" t="s">
        <v>777</v>
      </c>
      <c r="O1137">
        <v>6175558428</v>
      </c>
      <c r="P1137" t="s">
        <v>778</v>
      </c>
      <c r="R1137" t="s">
        <v>381</v>
      </c>
      <c r="S1137" t="s">
        <v>200</v>
      </c>
      <c r="T1137">
        <v>58339</v>
      </c>
      <c r="U1137" t="s">
        <v>100</v>
      </c>
      <c r="V1137" t="s">
        <v>101</v>
      </c>
      <c r="W1137" t="s">
        <v>671</v>
      </c>
      <c r="X1137" t="s">
        <v>336</v>
      </c>
      <c r="Y1137" t="s">
        <v>104</v>
      </c>
    </row>
    <row r="1138" spans="1:25">
      <c r="A1138">
        <v>10304</v>
      </c>
      <c r="B1138">
        <v>38</v>
      </c>
      <c r="C1138">
        <v>100</v>
      </c>
      <c r="D1138">
        <v>11</v>
      </c>
      <c r="E1138">
        <v>3958.46</v>
      </c>
      <c r="F1138" s="4">
        <v>38301</v>
      </c>
      <c r="G1138" t="s">
        <v>93</v>
      </c>
      <c r="H1138">
        <v>4</v>
      </c>
      <c r="I1138">
        <v>10</v>
      </c>
      <c r="J1138">
        <v>2004</v>
      </c>
      <c r="K1138" t="s">
        <v>697</v>
      </c>
      <c r="L1138">
        <v>99</v>
      </c>
      <c r="M1138" t="s">
        <v>789</v>
      </c>
      <c r="N1138" t="s">
        <v>361</v>
      </c>
      <c r="O1138" t="s">
        <v>362</v>
      </c>
      <c r="P1138" t="s">
        <v>363</v>
      </c>
      <c r="R1138" t="s">
        <v>364</v>
      </c>
      <c r="T1138">
        <v>78000</v>
      </c>
      <c r="U1138" t="s">
        <v>109</v>
      </c>
      <c r="V1138" t="s">
        <v>110</v>
      </c>
      <c r="W1138" t="s">
        <v>365</v>
      </c>
      <c r="X1138" t="s">
        <v>118</v>
      </c>
      <c r="Y1138" t="s">
        <v>119</v>
      </c>
    </row>
    <row r="1139" spans="1:25">
      <c r="A1139">
        <v>10312</v>
      </c>
      <c r="B1139">
        <v>33</v>
      </c>
      <c r="C1139">
        <v>100</v>
      </c>
      <c r="D1139">
        <v>8</v>
      </c>
      <c r="E1139">
        <v>3535.95</v>
      </c>
      <c r="F1139" t="s">
        <v>366</v>
      </c>
      <c r="G1139" t="s">
        <v>93</v>
      </c>
      <c r="H1139">
        <v>4</v>
      </c>
      <c r="I1139">
        <v>10</v>
      </c>
      <c r="J1139">
        <v>2004</v>
      </c>
      <c r="K1139" t="s">
        <v>697</v>
      </c>
      <c r="L1139">
        <v>99</v>
      </c>
      <c r="M1139" t="s">
        <v>789</v>
      </c>
      <c r="N1139" t="s">
        <v>367</v>
      </c>
      <c r="O1139">
        <v>4155551450</v>
      </c>
      <c r="P1139" t="s">
        <v>368</v>
      </c>
      <c r="R1139" t="s">
        <v>369</v>
      </c>
      <c r="S1139" t="s">
        <v>124</v>
      </c>
      <c r="T1139">
        <v>97562</v>
      </c>
      <c r="U1139" t="s">
        <v>100</v>
      </c>
      <c r="V1139" t="s">
        <v>101</v>
      </c>
      <c r="W1139" t="s">
        <v>370</v>
      </c>
      <c r="X1139" t="s">
        <v>371</v>
      </c>
      <c r="Y1139" t="s">
        <v>119</v>
      </c>
    </row>
    <row r="1140" spans="1:25">
      <c r="A1140">
        <v>10323</v>
      </c>
      <c r="B1140">
        <v>33</v>
      </c>
      <c r="C1140">
        <v>91.27</v>
      </c>
      <c r="D1140">
        <v>2</v>
      </c>
      <c r="E1140">
        <v>3011.91</v>
      </c>
      <c r="F1140" s="4">
        <v>38118</v>
      </c>
      <c r="G1140" t="s">
        <v>93</v>
      </c>
      <c r="H1140">
        <v>4</v>
      </c>
      <c r="I1140">
        <v>11</v>
      </c>
      <c r="J1140">
        <v>2004</v>
      </c>
      <c r="K1140" t="s">
        <v>697</v>
      </c>
      <c r="L1140">
        <v>99</v>
      </c>
      <c r="M1140" t="s">
        <v>789</v>
      </c>
      <c r="N1140" t="s">
        <v>587</v>
      </c>
      <c r="O1140" t="s">
        <v>588</v>
      </c>
      <c r="P1140" t="s">
        <v>589</v>
      </c>
      <c r="R1140" t="s">
        <v>590</v>
      </c>
      <c r="T1140">
        <v>60528</v>
      </c>
      <c r="U1140" t="s">
        <v>566</v>
      </c>
      <c r="V1140" t="s">
        <v>110</v>
      </c>
      <c r="W1140" t="s">
        <v>591</v>
      </c>
      <c r="X1140" t="s">
        <v>532</v>
      </c>
      <c r="Y1140" t="s">
        <v>119</v>
      </c>
    </row>
    <row r="1141" spans="1:25">
      <c r="A1141">
        <v>10333</v>
      </c>
      <c r="B1141">
        <v>46</v>
      </c>
      <c r="C1141">
        <v>100</v>
      </c>
      <c r="D1141">
        <v>2</v>
      </c>
      <c r="E1141">
        <v>11336.7</v>
      </c>
      <c r="F1141" t="s">
        <v>376</v>
      </c>
      <c r="G1141" t="s">
        <v>93</v>
      </c>
      <c r="H1141">
        <v>4</v>
      </c>
      <c r="I1141">
        <v>11</v>
      </c>
      <c r="J1141">
        <v>2004</v>
      </c>
      <c r="K1141" t="s">
        <v>697</v>
      </c>
      <c r="L1141">
        <v>99</v>
      </c>
      <c r="M1141" t="s">
        <v>789</v>
      </c>
      <c r="N1141" t="s">
        <v>152</v>
      </c>
      <c r="O1141">
        <v>6505555787</v>
      </c>
      <c r="P1141" t="s">
        <v>153</v>
      </c>
      <c r="R1141" t="s">
        <v>129</v>
      </c>
      <c r="S1141" t="s">
        <v>124</v>
      </c>
      <c r="U1141" t="s">
        <v>100</v>
      </c>
      <c r="V1141" t="s">
        <v>101</v>
      </c>
      <c r="W1141" t="s">
        <v>154</v>
      </c>
      <c r="X1141" t="s">
        <v>126</v>
      </c>
      <c r="Y1141" t="s">
        <v>232</v>
      </c>
    </row>
    <row r="1142" spans="1:25">
      <c r="A1142">
        <v>10347</v>
      </c>
      <c r="B1142">
        <v>26</v>
      </c>
      <c r="C1142">
        <v>100</v>
      </c>
      <c r="D1142">
        <v>12</v>
      </c>
      <c r="E1142">
        <v>2656.94</v>
      </c>
      <c r="F1142" t="s">
        <v>377</v>
      </c>
      <c r="G1142" t="s">
        <v>93</v>
      </c>
      <c r="H1142">
        <v>4</v>
      </c>
      <c r="I1142">
        <v>11</v>
      </c>
      <c r="J1142">
        <v>2004</v>
      </c>
      <c r="K1142" t="s">
        <v>697</v>
      </c>
      <c r="L1142">
        <v>99</v>
      </c>
      <c r="M1142" t="s">
        <v>789</v>
      </c>
      <c r="N1142" t="s">
        <v>162</v>
      </c>
      <c r="O1142" t="s">
        <v>163</v>
      </c>
      <c r="P1142" t="s">
        <v>164</v>
      </c>
      <c r="Q1142" t="s">
        <v>165</v>
      </c>
      <c r="R1142" t="s">
        <v>166</v>
      </c>
      <c r="S1142" t="s">
        <v>167</v>
      </c>
      <c r="T1142">
        <v>3004</v>
      </c>
      <c r="U1142" t="s">
        <v>168</v>
      </c>
      <c r="V1142" t="s">
        <v>169</v>
      </c>
      <c r="W1142" t="s">
        <v>170</v>
      </c>
      <c r="X1142" t="s">
        <v>171</v>
      </c>
      <c r="Y1142" t="s">
        <v>104</v>
      </c>
    </row>
    <row r="1143" spans="1:25">
      <c r="A1143">
        <v>10357</v>
      </c>
      <c r="B1143">
        <v>25</v>
      </c>
      <c r="C1143">
        <v>100</v>
      </c>
      <c r="D1143">
        <v>3</v>
      </c>
      <c r="E1143">
        <v>2604.25</v>
      </c>
      <c r="F1143" s="4">
        <v>38272</v>
      </c>
      <c r="G1143" t="s">
        <v>93</v>
      </c>
      <c r="H1143">
        <v>4</v>
      </c>
      <c r="I1143">
        <v>12</v>
      </c>
      <c r="J1143">
        <v>2004</v>
      </c>
      <c r="K1143" t="s">
        <v>697</v>
      </c>
      <c r="L1143">
        <v>99</v>
      </c>
      <c r="M1143" t="s">
        <v>789</v>
      </c>
      <c r="N1143" t="s">
        <v>367</v>
      </c>
      <c r="O1143">
        <v>4155551450</v>
      </c>
      <c r="P1143" t="s">
        <v>368</v>
      </c>
      <c r="R1143" t="s">
        <v>369</v>
      </c>
      <c r="S1143" t="s">
        <v>124</v>
      </c>
      <c r="T1143">
        <v>97562</v>
      </c>
      <c r="U1143" t="s">
        <v>100</v>
      </c>
      <c r="V1143" t="s">
        <v>101</v>
      </c>
      <c r="W1143" t="s">
        <v>370</v>
      </c>
      <c r="X1143" t="s">
        <v>371</v>
      </c>
      <c r="Y1143" t="s">
        <v>104</v>
      </c>
    </row>
    <row r="1144" spans="1:25">
      <c r="A1144">
        <v>10369</v>
      </c>
      <c r="B1144">
        <v>45</v>
      </c>
      <c r="C1144">
        <v>73.08</v>
      </c>
      <c r="D1144">
        <v>4</v>
      </c>
      <c r="E1144">
        <v>3288.6</v>
      </c>
      <c r="F1144" t="s">
        <v>378</v>
      </c>
      <c r="G1144" t="s">
        <v>93</v>
      </c>
      <c r="H1144">
        <v>1</v>
      </c>
      <c r="I1144">
        <v>1</v>
      </c>
      <c r="J1144">
        <v>2005</v>
      </c>
      <c r="K1144" t="s">
        <v>697</v>
      </c>
      <c r="L1144">
        <v>99</v>
      </c>
      <c r="M1144" t="s">
        <v>789</v>
      </c>
      <c r="N1144" t="s">
        <v>379</v>
      </c>
      <c r="O1144">
        <v>6175558555</v>
      </c>
      <c r="P1144" t="s">
        <v>380</v>
      </c>
      <c r="R1144" t="s">
        <v>381</v>
      </c>
      <c r="S1144" t="s">
        <v>200</v>
      </c>
      <c r="T1144">
        <v>58339</v>
      </c>
      <c r="U1144" t="s">
        <v>100</v>
      </c>
      <c r="V1144" t="s">
        <v>101</v>
      </c>
      <c r="W1144" t="s">
        <v>370</v>
      </c>
      <c r="X1144" t="s">
        <v>382</v>
      </c>
      <c r="Y1144" t="s">
        <v>119</v>
      </c>
    </row>
    <row r="1145" spans="1:25">
      <c r="A1145">
        <v>10382</v>
      </c>
      <c r="B1145">
        <v>50</v>
      </c>
      <c r="C1145">
        <v>100</v>
      </c>
      <c r="D1145">
        <v>7</v>
      </c>
      <c r="E1145">
        <v>8935.5</v>
      </c>
      <c r="F1145" t="s">
        <v>383</v>
      </c>
      <c r="G1145" t="s">
        <v>93</v>
      </c>
      <c r="H1145">
        <v>1</v>
      </c>
      <c r="I1145">
        <v>2</v>
      </c>
      <c r="J1145">
        <v>2005</v>
      </c>
      <c r="K1145" t="s">
        <v>697</v>
      </c>
      <c r="L1145">
        <v>99</v>
      </c>
      <c r="M1145" t="s">
        <v>789</v>
      </c>
      <c r="N1145" t="s">
        <v>367</v>
      </c>
      <c r="O1145">
        <v>4155551450</v>
      </c>
      <c r="P1145" t="s">
        <v>368</v>
      </c>
      <c r="R1145" t="s">
        <v>369</v>
      </c>
      <c r="S1145" t="s">
        <v>124</v>
      </c>
      <c r="T1145">
        <v>97562</v>
      </c>
      <c r="U1145" t="s">
        <v>100</v>
      </c>
      <c r="V1145" t="s">
        <v>101</v>
      </c>
      <c r="W1145" t="s">
        <v>370</v>
      </c>
      <c r="X1145" t="s">
        <v>371</v>
      </c>
      <c r="Y1145" t="s">
        <v>232</v>
      </c>
    </row>
    <row r="1146" spans="1:25">
      <c r="A1146">
        <v>10392</v>
      </c>
      <c r="B1146">
        <v>36</v>
      </c>
      <c r="C1146">
        <v>100</v>
      </c>
      <c r="D1146">
        <v>1</v>
      </c>
      <c r="E1146">
        <v>4035.96</v>
      </c>
      <c r="F1146" s="4">
        <v>38628</v>
      </c>
      <c r="G1146" t="s">
        <v>93</v>
      </c>
      <c r="H1146">
        <v>1</v>
      </c>
      <c r="I1146">
        <v>3</v>
      </c>
      <c r="J1146">
        <v>2005</v>
      </c>
      <c r="K1146" t="s">
        <v>697</v>
      </c>
      <c r="L1146">
        <v>99</v>
      </c>
      <c r="M1146" t="s">
        <v>789</v>
      </c>
      <c r="N1146" t="s">
        <v>527</v>
      </c>
      <c r="O1146" t="s">
        <v>528</v>
      </c>
      <c r="P1146" t="s">
        <v>529</v>
      </c>
      <c r="R1146" t="s">
        <v>530</v>
      </c>
      <c r="T1146">
        <v>8010</v>
      </c>
      <c r="U1146" t="s">
        <v>229</v>
      </c>
      <c r="V1146" t="s">
        <v>110</v>
      </c>
      <c r="W1146" t="s">
        <v>531</v>
      </c>
      <c r="X1146" t="s">
        <v>532</v>
      </c>
      <c r="Y1146" t="s">
        <v>119</v>
      </c>
    </row>
    <row r="1147" spans="1:25">
      <c r="A1147">
        <v>10423</v>
      </c>
      <c r="B1147">
        <v>21</v>
      </c>
      <c r="C1147">
        <v>89.29</v>
      </c>
      <c r="D1147">
        <v>5</v>
      </c>
      <c r="E1147">
        <v>1875.09</v>
      </c>
      <c r="F1147" t="s">
        <v>718</v>
      </c>
      <c r="G1147" t="s">
        <v>400</v>
      </c>
      <c r="H1147">
        <v>2</v>
      </c>
      <c r="I1147">
        <v>5</v>
      </c>
      <c r="J1147">
        <v>2005</v>
      </c>
      <c r="K1147" t="s">
        <v>697</v>
      </c>
      <c r="L1147">
        <v>99</v>
      </c>
      <c r="M1147" t="s">
        <v>789</v>
      </c>
      <c r="N1147" t="s">
        <v>475</v>
      </c>
      <c r="O1147" t="s">
        <v>476</v>
      </c>
      <c r="P1147" t="s">
        <v>477</v>
      </c>
      <c r="R1147" t="s">
        <v>478</v>
      </c>
      <c r="T1147" t="s">
        <v>479</v>
      </c>
      <c r="U1147" t="s">
        <v>480</v>
      </c>
      <c r="V1147" t="s">
        <v>110</v>
      </c>
      <c r="W1147" t="s">
        <v>481</v>
      </c>
      <c r="X1147" t="s">
        <v>482</v>
      </c>
      <c r="Y1147" t="s">
        <v>104</v>
      </c>
    </row>
    <row r="1148" spans="1:25">
      <c r="A1148">
        <v>10108</v>
      </c>
      <c r="B1148">
        <v>29</v>
      </c>
      <c r="C1148">
        <v>100</v>
      </c>
      <c r="D1148">
        <v>8</v>
      </c>
      <c r="E1148">
        <v>4049.56</v>
      </c>
      <c r="F1148" s="4">
        <v>37683</v>
      </c>
      <c r="G1148" t="s">
        <v>93</v>
      </c>
      <c r="H1148">
        <v>1</v>
      </c>
      <c r="I1148">
        <v>3</v>
      </c>
      <c r="J1148">
        <v>2003</v>
      </c>
      <c r="K1148" t="s">
        <v>265</v>
      </c>
      <c r="L1148">
        <v>146</v>
      </c>
      <c r="M1148" t="s">
        <v>790</v>
      </c>
      <c r="N1148" t="s">
        <v>547</v>
      </c>
      <c r="O1148" t="s">
        <v>548</v>
      </c>
      <c r="P1148" t="s">
        <v>549</v>
      </c>
      <c r="R1148" t="s">
        <v>550</v>
      </c>
      <c r="T1148" t="s">
        <v>551</v>
      </c>
      <c r="U1148" t="s">
        <v>552</v>
      </c>
      <c r="V1148" t="s">
        <v>288</v>
      </c>
      <c r="W1148" t="s">
        <v>553</v>
      </c>
      <c r="X1148" t="s">
        <v>554</v>
      </c>
      <c r="Y1148" t="s">
        <v>119</v>
      </c>
    </row>
    <row r="1149" spans="1:25">
      <c r="A1149">
        <v>10122</v>
      </c>
      <c r="B1149">
        <v>21</v>
      </c>
      <c r="C1149">
        <v>100</v>
      </c>
      <c r="D1149">
        <v>12</v>
      </c>
      <c r="E1149">
        <v>2469.39</v>
      </c>
      <c r="F1149" s="4">
        <v>37838</v>
      </c>
      <c r="G1149" t="s">
        <v>93</v>
      </c>
      <c r="H1149">
        <v>2</v>
      </c>
      <c r="I1149">
        <v>5</v>
      </c>
      <c r="J1149">
        <v>2003</v>
      </c>
      <c r="K1149" t="s">
        <v>265</v>
      </c>
      <c r="L1149">
        <v>146</v>
      </c>
      <c r="M1149" t="s">
        <v>790</v>
      </c>
      <c r="N1149" t="s">
        <v>555</v>
      </c>
      <c r="O1149" t="s">
        <v>556</v>
      </c>
      <c r="P1149" t="s">
        <v>557</v>
      </c>
      <c r="R1149" t="s">
        <v>558</v>
      </c>
      <c r="T1149">
        <v>13008</v>
      </c>
      <c r="U1149" t="s">
        <v>109</v>
      </c>
      <c r="V1149" t="s">
        <v>110</v>
      </c>
      <c r="W1149" t="s">
        <v>559</v>
      </c>
      <c r="X1149" t="s">
        <v>560</v>
      </c>
      <c r="Y1149" t="s">
        <v>104</v>
      </c>
    </row>
    <row r="1150" spans="1:25">
      <c r="A1150">
        <v>10135</v>
      </c>
      <c r="B1150">
        <v>42</v>
      </c>
      <c r="C1150">
        <v>100</v>
      </c>
      <c r="D1150">
        <v>9</v>
      </c>
      <c r="E1150">
        <v>5432.7</v>
      </c>
      <c r="F1150" s="4">
        <v>37659</v>
      </c>
      <c r="G1150" t="s">
        <v>93</v>
      </c>
      <c r="H1150">
        <v>3</v>
      </c>
      <c r="I1150">
        <v>7</v>
      </c>
      <c r="J1150">
        <v>2003</v>
      </c>
      <c r="K1150" t="s">
        <v>265</v>
      </c>
      <c r="L1150">
        <v>146</v>
      </c>
      <c r="M1150" t="s">
        <v>790</v>
      </c>
      <c r="N1150" t="s">
        <v>367</v>
      </c>
      <c r="O1150">
        <v>4155551450</v>
      </c>
      <c r="P1150" t="s">
        <v>368</v>
      </c>
      <c r="R1150" t="s">
        <v>369</v>
      </c>
      <c r="S1150" t="s">
        <v>124</v>
      </c>
      <c r="T1150">
        <v>97562</v>
      </c>
      <c r="U1150" t="s">
        <v>100</v>
      </c>
      <c r="V1150" t="s">
        <v>101</v>
      </c>
      <c r="W1150" t="s">
        <v>370</v>
      </c>
      <c r="X1150" t="s">
        <v>371</v>
      </c>
      <c r="Y1150" t="s">
        <v>119</v>
      </c>
    </row>
    <row r="1151" spans="1:25">
      <c r="A1151">
        <v>10147</v>
      </c>
      <c r="B1151">
        <v>37</v>
      </c>
      <c r="C1151">
        <v>100</v>
      </c>
      <c r="D1151">
        <v>9</v>
      </c>
      <c r="E1151">
        <v>4405.22</v>
      </c>
      <c r="F1151" s="4">
        <v>37750</v>
      </c>
      <c r="G1151" t="s">
        <v>93</v>
      </c>
      <c r="H1151">
        <v>3</v>
      </c>
      <c r="I1151">
        <v>9</v>
      </c>
      <c r="J1151">
        <v>2003</v>
      </c>
      <c r="K1151" t="s">
        <v>265</v>
      </c>
      <c r="L1151">
        <v>146</v>
      </c>
      <c r="M1151" t="s">
        <v>790</v>
      </c>
      <c r="N1151" t="s">
        <v>379</v>
      </c>
      <c r="O1151">
        <v>6175558555</v>
      </c>
      <c r="P1151" t="s">
        <v>380</v>
      </c>
      <c r="R1151" t="s">
        <v>381</v>
      </c>
      <c r="S1151" t="s">
        <v>200</v>
      </c>
      <c r="T1151">
        <v>58339</v>
      </c>
      <c r="U1151" t="s">
        <v>100</v>
      </c>
      <c r="V1151" t="s">
        <v>101</v>
      </c>
      <c r="W1151" t="s">
        <v>370</v>
      </c>
      <c r="X1151" t="s">
        <v>382</v>
      </c>
      <c r="Y1151" t="s">
        <v>119</v>
      </c>
    </row>
    <row r="1152" spans="1:25">
      <c r="A1152">
        <v>10159</v>
      </c>
      <c r="B1152">
        <v>25</v>
      </c>
      <c r="C1152">
        <v>100</v>
      </c>
      <c r="D1152">
        <v>4</v>
      </c>
      <c r="E1152">
        <v>3638</v>
      </c>
      <c r="F1152" s="4">
        <v>37904</v>
      </c>
      <c r="G1152" t="s">
        <v>93</v>
      </c>
      <c r="H1152">
        <v>4</v>
      </c>
      <c r="I1152">
        <v>10</v>
      </c>
      <c r="J1152">
        <v>2003</v>
      </c>
      <c r="K1152" t="s">
        <v>265</v>
      </c>
      <c r="L1152">
        <v>146</v>
      </c>
      <c r="M1152" t="s">
        <v>790</v>
      </c>
      <c r="N1152" t="s">
        <v>127</v>
      </c>
      <c r="O1152">
        <v>6505551386</v>
      </c>
      <c r="P1152" t="s">
        <v>128</v>
      </c>
      <c r="R1152" t="s">
        <v>129</v>
      </c>
      <c r="S1152" t="s">
        <v>124</v>
      </c>
      <c r="U1152" t="s">
        <v>100</v>
      </c>
      <c r="V1152" t="s">
        <v>101</v>
      </c>
      <c r="W1152" t="s">
        <v>130</v>
      </c>
      <c r="X1152" t="s">
        <v>126</v>
      </c>
      <c r="Y1152" t="s">
        <v>119</v>
      </c>
    </row>
    <row r="1153" spans="1:25">
      <c r="A1153">
        <v>10169</v>
      </c>
      <c r="B1153">
        <v>36</v>
      </c>
      <c r="C1153">
        <v>100</v>
      </c>
      <c r="D1153">
        <v>4</v>
      </c>
      <c r="E1153">
        <v>4444.92</v>
      </c>
      <c r="F1153" s="4">
        <v>37722</v>
      </c>
      <c r="G1153" t="s">
        <v>93</v>
      </c>
      <c r="H1153">
        <v>4</v>
      </c>
      <c r="I1153">
        <v>11</v>
      </c>
      <c r="J1153">
        <v>2003</v>
      </c>
      <c r="K1153" t="s">
        <v>265</v>
      </c>
      <c r="L1153">
        <v>146</v>
      </c>
      <c r="M1153" t="s">
        <v>790</v>
      </c>
      <c r="N1153" t="s">
        <v>384</v>
      </c>
      <c r="O1153" t="s">
        <v>385</v>
      </c>
      <c r="P1153" t="s">
        <v>386</v>
      </c>
      <c r="Q1153" t="s">
        <v>387</v>
      </c>
      <c r="R1153" t="s">
        <v>388</v>
      </c>
      <c r="S1153" t="s">
        <v>239</v>
      </c>
      <c r="T1153">
        <v>2060</v>
      </c>
      <c r="U1153" t="s">
        <v>168</v>
      </c>
      <c r="V1153" t="s">
        <v>169</v>
      </c>
      <c r="W1153" t="s">
        <v>389</v>
      </c>
      <c r="X1153" t="s">
        <v>390</v>
      </c>
      <c r="Y1153" t="s">
        <v>119</v>
      </c>
    </row>
    <row r="1154" spans="1:25">
      <c r="A1154">
        <v>10181</v>
      </c>
      <c r="B1154">
        <v>22</v>
      </c>
      <c r="C1154">
        <v>100</v>
      </c>
      <c r="D1154">
        <v>16</v>
      </c>
      <c r="E1154">
        <v>3395.48</v>
      </c>
      <c r="F1154" s="4">
        <v>37966</v>
      </c>
      <c r="G1154" t="s">
        <v>93</v>
      </c>
      <c r="H1154">
        <v>4</v>
      </c>
      <c r="I1154">
        <v>11</v>
      </c>
      <c r="J1154">
        <v>2003</v>
      </c>
      <c r="K1154" t="s">
        <v>265</v>
      </c>
      <c r="L1154">
        <v>146</v>
      </c>
      <c r="M1154" t="s">
        <v>790</v>
      </c>
      <c r="N1154" t="s">
        <v>144</v>
      </c>
      <c r="O1154" t="s">
        <v>145</v>
      </c>
      <c r="P1154" t="s">
        <v>146</v>
      </c>
      <c r="R1154" t="s">
        <v>147</v>
      </c>
      <c r="T1154" t="s">
        <v>148</v>
      </c>
      <c r="U1154" t="s">
        <v>149</v>
      </c>
      <c r="V1154" t="s">
        <v>110</v>
      </c>
      <c r="W1154" t="s">
        <v>150</v>
      </c>
      <c r="X1154" t="s">
        <v>151</v>
      </c>
      <c r="Y1154" t="s">
        <v>119</v>
      </c>
    </row>
    <row r="1155" spans="1:25">
      <c r="A1155">
        <v>10191</v>
      </c>
      <c r="B1155">
        <v>23</v>
      </c>
      <c r="C1155">
        <v>100</v>
      </c>
      <c r="D1155">
        <v>5</v>
      </c>
      <c r="E1155">
        <v>3414.58</v>
      </c>
      <c r="F1155" t="s">
        <v>561</v>
      </c>
      <c r="G1155" t="s">
        <v>93</v>
      </c>
      <c r="H1155">
        <v>4</v>
      </c>
      <c r="I1155">
        <v>11</v>
      </c>
      <c r="J1155">
        <v>2003</v>
      </c>
      <c r="K1155" t="s">
        <v>265</v>
      </c>
      <c r="L1155">
        <v>146</v>
      </c>
      <c r="M1155" t="s">
        <v>790</v>
      </c>
      <c r="N1155" t="s">
        <v>562</v>
      </c>
      <c r="O1155" t="s">
        <v>563</v>
      </c>
      <c r="P1155" t="s">
        <v>564</v>
      </c>
      <c r="R1155" t="s">
        <v>565</v>
      </c>
      <c r="T1155">
        <v>50739</v>
      </c>
      <c r="U1155" t="s">
        <v>566</v>
      </c>
      <c r="V1155" t="s">
        <v>110</v>
      </c>
      <c r="W1155" t="s">
        <v>567</v>
      </c>
      <c r="X1155" t="s">
        <v>568</v>
      </c>
      <c r="Y1155" t="s">
        <v>119</v>
      </c>
    </row>
    <row r="1156" spans="1:25">
      <c r="A1156">
        <v>10203</v>
      </c>
      <c r="B1156">
        <v>32</v>
      </c>
      <c r="C1156">
        <v>100</v>
      </c>
      <c r="D1156">
        <v>10</v>
      </c>
      <c r="E1156">
        <v>5127.04</v>
      </c>
      <c r="F1156" s="4">
        <v>37664</v>
      </c>
      <c r="G1156" t="s">
        <v>93</v>
      </c>
      <c r="H1156">
        <v>4</v>
      </c>
      <c r="I1156">
        <v>12</v>
      </c>
      <c r="J1156">
        <v>2003</v>
      </c>
      <c r="K1156" t="s">
        <v>265</v>
      </c>
      <c r="L1156">
        <v>146</v>
      </c>
      <c r="M1156" t="s">
        <v>790</v>
      </c>
      <c r="N1156" t="s">
        <v>257</v>
      </c>
      <c r="O1156" t="s">
        <v>258</v>
      </c>
      <c r="P1156" t="s">
        <v>259</v>
      </c>
      <c r="R1156" t="s">
        <v>260</v>
      </c>
      <c r="T1156">
        <v>28034</v>
      </c>
      <c r="U1156" t="s">
        <v>261</v>
      </c>
      <c r="V1156" t="s">
        <v>110</v>
      </c>
      <c r="W1156" t="s">
        <v>262</v>
      </c>
      <c r="X1156" t="s">
        <v>263</v>
      </c>
      <c r="Y1156" t="s">
        <v>119</v>
      </c>
    </row>
    <row r="1157" spans="1:25">
      <c r="A1157">
        <v>10211</v>
      </c>
      <c r="B1157">
        <v>28</v>
      </c>
      <c r="C1157">
        <v>100</v>
      </c>
      <c r="D1157">
        <v>4</v>
      </c>
      <c r="E1157">
        <v>3745.28</v>
      </c>
      <c r="F1157" t="s">
        <v>155</v>
      </c>
      <c r="G1157" t="s">
        <v>93</v>
      </c>
      <c r="H1157">
        <v>1</v>
      </c>
      <c r="I1157">
        <v>1</v>
      </c>
      <c r="J1157">
        <v>2004</v>
      </c>
      <c r="K1157" t="s">
        <v>265</v>
      </c>
      <c r="L1157">
        <v>146</v>
      </c>
      <c r="M1157" t="s">
        <v>790</v>
      </c>
      <c r="N1157" t="s">
        <v>156</v>
      </c>
      <c r="O1157" t="s">
        <v>157</v>
      </c>
      <c r="P1157" t="s">
        <v>158</v>
      </c>
      <c r="R1157" t="s">
        <v>116</v>
      </c>
      <c r="T1157">
        <v>75016</v>
      </c>
      <c r="U1157" t="s">
        <v>109</v>
      </c>
      <c r="V1157" t="s">
        <v>110</v>
      </c>
      <c r="W1157" t="s">
        <v>159</v>
      </c>
      <c r="X1157" t="s">
        <v>160</v>
      </c>
      <c r="Y1157" t="s">
        <v>119</v>
      </c>
    </row>
    <row r="1158" spans="1:25">
      <c r="A1158">
        <v>10225</v>
      </c>
      <c r="B1158">
        <v>27</v>
      </c>
      <c r="C1158">
        <v>100</v>
      </c>
      <c r="D1158">
        <v>11</v>
      </c>
      <c r="E1158">
        <v>4564.08</v>
      </c>
      <c r="F1158" t="s">
        <v>569</v>
      </c>
      <c r="G1158" t="s">
        <v>93</v>
      </c>
      <c r="H1158">
        <v>1</v>
      </c>
      <c r="I1158">
        <v>2</v>
      </c>
      <c r="J1158">
        <v>2004</v>
      </c>
      <c r="K1158" t="s">
        <v>265</v>
      </c>
      <c r="L1158">
        <v>146</v>
      </c>
      <c r="M1158" t="s">
        <v>790</v>
      </c>
      <c r="N1158" t="s">
        <v>570</v>
      </c>
      <c r="O1158" t="s">
        <v>571</v>
      </c>
      <c r="P1158" t="s">
        <v>572</v>
      </c>
      <c r="R1158" t="s">
        <v>573</v>
      </c>
      <c r="T1158">
        <v>1203</v>
      </c>
      <c r="U1158" t="s">
        <v>574</v>
      </c>
      <c r="V1158" t="s">
        <v>110</v>
      </c>
      <c r="W1158" t="s">
        <v>575</v>
      </c>
      <c r="X1158" t="s">
        <v>176</v>
      </c>
      <c r="Y1158" t="s">
        <v>119</v>
      </c>
    </row>
    <row r="1159" spans="1:25">
      <c r="A1159">
        <v>10238</v>
      </c>
      <c r="B1159">
        <v>49</v>
      </c>
      <c r="C1159">
        <v>100</v>
      </c>
      <c r="D1159">
        <v>5</v>
      </c>
      <c r="E1159">
        <v>6554.24</v>
      </c>
      <c r="F1159" s="4">
        <v>38234</v>
      </c>
      <c r="G1159" t="s">
        <v>93</v>
      </c>
      <c r="H1159">
        <v>2</v>
      </c>
      <c r="I1159">
        <v>4</v>
      </c>
      <c r="J1159">
        <v>2004</v>
      </c>
      <c r="K1159" t="s">
        <v>265</v>
      </c>
      <c r="L1159">
        <v>146</v>
      </c>
      <c r="M1159" t="s">
        <v>790</v>
      </c>
      <c r="N1159" t="s">
        <v>425</v>
      </c>
      <c r="O1159" t="s">
        <v>426</v>
      </c>
      <c r="P1159" t="s">
        <v>427</v>
      </c>
      <c r="R1159" t="s">
        <v>428</v>
      </c>
      <c r="T1159">
        <v>1734</v>
      </c>
      <c r="U1159" t="s">
        <v>429</v>
      </c>
      <c r="V1159" t="s">
        <v>110</v>
      </c>
      <c r="W1159" t="s">
        <v>430</v>
      </c>
      <c r="X1159" t="s">
        <v>431</v>
      </c>
      <c r="Y1159" t="s">
        <v>119</v>
      </c>
    </row>
    <row r="1160" spans="1:25">
      <c r="A1160">
        <v>10252</v>
      </c>
      <c r="B1160">
        <v>41</v>
      </c>
      <c r="C1160">
        <v>100</v>
      </c>
      <c r="D1160">
        <v>1</v>
      </c>
      <c r="E1160">
        <v>6749.83</v>
      </c>
      <c r="F1160" t="s">
        <v>788</v>
      </c>
      <c r="G1160" t="s">
        <v>93</v>
      </c>
      <c r="H1160">
        <v>2</v>
      </c>
      <c r="I1160">
        <v>5</v>
      </c>
      <c r="J1160">
        <v>2004</v>
      </c>
      <c r="K1160" t="s">
        <v>265</v>
      </c>
      <c r="L1160">
        <v>146</v>
      </c>
      <c r="M1160" t="s">
        <v>790</v>
      </c>
      <c r="N1160" t="s">
        <v>156</v>
      </c>
      <c r="O1160" t="s">
        <v>157</v>
      </c>
      <c r="P1160" t="s">
        <v>158</v>
      </c>
      <c r="R1160" t="s">
        <v>116</v>
      </c>
      <c r="T1160">
        <v>75016</v>
      </c>
      <c r="U1160" t="s">
        <v>109</v>
      </c>
      <c r="V1160" t="s">
        <v>110</v>
      </c>
      <c r="W1160" t="s">
        <v>159</v>
      </c>
      <c r="X1160" t="s">
        <v>160</v>
      </c>
      <c r="Y1160" t="s">
        <v>119</v>
      </c>
    </row>
    <row r="1161" spans="1:25">
      <c r="A1161">
        <v>10265</v>
      </c>
      <c r="B1161">
        <v>49</v>
      </c>
      <c r="C1161">
        <v>100</v>
      </c>
      <c r="D1161">
        <v>1</v>
      </c>
      <c r="E1161">
        <v>8427.02</v>
      </c>
      <c r="F1161" s="4">
        <v>38024</v>
      </c>
      <c r="G1161" t="s">
        <v>93</v>
      </c>
      <c r="H1161">
        <v>3</v>
      </c>
      <c r="I1161">
        <v>7</v>
      </c>
      <c r="J1161">
        <v>2004</v>
      </c>
      <c r="K1161" t="s">
        <v>265</v>
      </c>
      <c r="L1161">
        <v>146</v>
      </c>
      <c r="M1161" t="s">
        <v>790</v>
      </c>
      <c r="N1161" t="s">
        <v>710</v>
      </c>
      <c r="O1161" t="s">
        <v>711</v>
      </c>
      <c r="P1161" t="s">
        <v>712</v>
      </c>
      <c r="R1161" t="s">
        <v>713</v>
      </c>
      <c r="S1161" t="s">
        <v>167</v>
      </c>
      <c r="T1161">
        <v>3150</v>
      </c>
      <c r="U1161" t="s">
        <v>168</v>
      </c>
      <c r="V1161" t="s">
        <v>169</v>
      </c>
      <c r="W1161" t="s">
        <v>714</v>
      </c>
      <c r="X1161" t="s">
        <v>715</v>
      </c>
      <c r="Y1161" t="s">
        <v>232</v>
      </c>
    </row>
    <row r="1162" spans="1:25">
      <c r="A1162">
        <v>10276</v>
      </c>
      <c r="B1162">
        <v>30</v>
      </c>
      <c r="C1162">
        <v>100</v>
      </c>
      <c r="D1162">
        <v>5</v>
      </c>
      <c r="E1162">
        <v>3924.6</v>
      </c>
      <c r="F1162" s="4">
        <v>38025</v>
      </c>
      <c r="G1162" t="s">
        <v>93</v>
      </c>
      <c r="H1162">
        <v>3</v>
      </c>
      <c r="I1162">
        <v>8</v>
      </c>
      <c r="J1162">
        <v>2004</v>
      </c>
      <c r="K1162" t="s">
        <v>265</v>
      </c>
      <c r="L1162">
        <v>146</v>
      </c>
      <c r="M1162" t="s">
        <v>790</v>
      </c>
      <c r="N1162" t="s">
        <v>582</v>
      </c>
      <c r="O1162">
        <v>6175557555</v>
      </c>
      <c r="P1162" t="s">
        <v>583</v>
      </c>
      <c r="R1162" t="s">
        <v>381</v>
      </c>
      <c r="S1162" t="s">
        <v>200</v>
      </c>
      <c r="T1162">
        <v>58339</v>
      </c>
      <c r="U1162" t="s">
        <v>100</v>
      </c>
      <c r="V1162" t="s">
        <v>101</v>
      </c>
      <c r="W1162" t="s">
        <v>584</v>
      </c>
      <c r="X1162" t="s">
        <v>585</v>
      </c>
      <c r="Y1162" t="s">
        <v>119</v>
      </c>
    </row>
    <row r="1163" spans="1:25">
      <c r="A1163">
        <v>10287</v>
      </c>
      <c r="B1163">
        <v>40</v>
      </c>
      <c r="C1163">
        <v>100</v>
      </c>
      <c r="D1163">
        <v>14</v>
      </c>
      <c r="E1163">
        <v>6761.6</v>
      </c>
      <c r="F1163" t="s">
        <v>586</v>
      </c>
      <c r="G1163" t="s">
        <v>93</v>
      </c>
      <c r="H1163">
        <v>3</v>
      </c>
      <c r="I1163">
        <v>8</v>
      </c>
      <c r="J1163">
        <v>2004</v>
      </c>
      <c r="K1163" t="s">
        <v>265</v>
      </c>
      <c r="L1163">
        <v>146</v>
      </c>
      <c r="M1163" t="s">
        <v>790</v>
      </c>
      <c r="N1163" t="s">
        <v>570</v>
      </c>
      <c r="O1163" t="s">
        <v>571</v>
      </c>
      <c r="P1163" t="s">
        <v>572</v>
      </c>
      <c r="R1163" t="s">
        <v>573</v>
      </c>
      <c r="T1163">
        <v>1203</v>
      </c>
      <c r="U1163" t="s">
        <v>574</v>
      </c>
      <c r="V1163" t="s">
        <v>110</v>
      </c>
      <c r="W1163" t="s">
        <v>575</v>
      </c>
      <c r="X1163" t="s">
        <v>176</v>
      </c>
      <c r="Y1163" t="s">
        <v>119</v>
      </c>
    </row>
    <row r="1164" spans="1:25">
      <c r="A1164">
        <v>10300</v>
      </c>
      <c r="B1164">
        <v>23</v>
      </c>
      <c r="C1164">
        <v>100</v>
      </c>
      <c r="D1164">
        <v>7</v>
      </c>
      <c r="E1164">
        <v>3786.49</v>
      </c>
      <c r="F1164" s="4">
        <v>37721</v>
      </c>
      <c r="G1164" t="s">
        <v>93</v>
      </c>
      <c r="H1164">
        <v>4</v>
      </c>
      <c r="I1164">
        <v>10</v>
      </c>
      <c r="J1164">
        <v>2003</v>
      </c>
      <c r="K1164" t="s">
        <v>265</v>
      </c>
      <c r="L1164">
        <v>146</v>
      </c>
      <c r="M1164" t="s">
        <v>790</v>
      </c>
      <c r="N1164" t="s">
        <v>587</v>
      </c>
      <c r="O1164" t="s">
        <v>588</v>
      </c>
      <c r="P1164" t="s">
        <v>589</v>
      </c>
      <c r="R1164" t="s">
        <v>590</v>
      </c>
      <c r="T1164">
        <v>60528</v>
      </c>
      <c r="U1164" t="s">
        <v>566</v>
      </c>
      <c r="V1164" t="s">
        <v>110</v>
      </c>
      <c r="W1164" t="s">
        <v>591</v>
      </c>
      <c r="X1164" t="s">
        <v>532</v>
      </c>
      <c r="Y1164" t="s">
        <v>119</v>
      </c>
    </row>
    <row r="1165" spans="1:25">
      <c r="A1165">
        <v>10310</v>
      </c>
      <c r="B1165">
        <v>49</v>
      </c>
      <c r="C1165">
        <v>100</v>
      </c>
      <c r="D1165">
        <v>12</v>
      </c>
      <c r="E1165">
        <v>6266.12</v>
      </c>
      <c r="F1165" t="s">
        <v>592</v>
      </c>
      <c r="G1165" t="s">
        <v>93</v>
      </c>
      <c r="H1165">
        <v>4</v>
      </c>
      <c r="I1165">
        <v>10</v>
      </c>
      <c r="J1165">
        <v>2004</v>
      </c>
      <c r="K1165" t="s">
        <v>265</v>
      </c>
      <c r="L1165">
        <v>146</v>
      </c>
      <c r="M1165" t="s">
        <v>790</v>
      </c>
      <c r="N1165" t="s">
        <v>562</v>
      </c>
      <c r="O1165" t="s">
        <v>563</v>
      </c>
      <c r="P1165" t="s">
        <v>564</v>
      </c>
      <c r="R1165" t="s">
        <v>565</v>
      </c>
      <c r="T1165">
        <v>50739</v>
      </c>
      <c r="U1165" t="s">
        <v>566</v>
      </c>
      <c r="V1165" t="s">
        <v>110</v>
      </c>
      <c r="W1165" t="s">
        <v>567</v>
      </c>
      <c r="X1165" t="s">
        <v>568</v>
      </c>
      <c r="Y1165" t="s">
        <v>119</v>
      </c>
    </row>
    <row r="1166" spans="1:25">
      <c r="A1166">
        <v>10320</v>
      </c>
      <c r="B1166">
        <v>25</v>
      </c>
      <c r="C1166">
        <v>100</v>
      </c>
      <c r="D1166">
        <v>5</v>
      </c>
      <c r="E1166">
        <v>3491</v>
      </c>
      <c r="F1166" s="4">
        <v>38057</v>
      </c>
      <c r="G1166" t="s">
        <v>93</v>
      </c>
      <c r="H1166">
        <v>4</v>
      </c>
      <c r="I1166">
        <v>11</v>
      </c>
      <c r="J1166">
        <v>2004</v>
      </c>
      <c r="K1166" t="s">
        <v>265</v>
      </c>
      <c r="L1166">
        <v>146</v>
      </c>
      <c r="M1166" t="s">
        <v>790</v>
      </c>
      <c r="N1166" t="s">
        <v>268</v>
      </c>
      <c r="O1166" t="s">
        <v>269</v>
      </c>
      <c r="P1166" t="s">
        <v>270</v>
      </c>
      <c r="R1166" t="s">
        <v>271</v>
      </c>
      <c r="T1166" t="s">
        <v>272</v>
      </c>
      <c r="U1166" t="s">
        <v>273</v>
      </c>
      <c r="V1166" t="s">
        <v>110</v>
      </c>
      <c r="W1166" t="s">
        <v>274</v>
      </c>
      <c r="X1166" t="s">
        <v>275</v>
      </c>
      <c r="Y1166" t="s">
        <v>119</v>
      </c>
    </row>
    <row r="1167" spans="1:25">
      <c r="A1167">
        <v>10330</v>
      </c>
      <c r="B1167">
        <v>37</v>
      </c>
      <c r="C1167">
        <v>100</v>
      </c>
      <c r="D1167">
        <v>3</v>
      </c>
      <c r="E1167">
        <v>4405.22</v>
      </c>
      <c r="F1167" t="s">
        <v>791</v>
      </c>
      <c r="G1167" t="s">
        <v>93</v>
      </c>
      <c r="H1167">
        <v>4</v>
      </c>
      <c r="I1167">
        <v>11</v>
      </c>
      <c r="J1167">
        <v>2004</v>
      </c>
      <c r="K1167" t="s">
        <v>265</v>
      </c>
      <c r="L1167">
        <v>146</v>
      </c>
      <c r="M1167" t="s">
        <v>790</v>
      </c>
      <c r="N1167" t="s">
        <v>547</v>
      </c>
      <c r="O1167" t="s">
        <v>548</v>
      </c>
      <c r="P1167" t="s">
        <v>549</v>
      </c>
      <c r="R1167" t="s">
        <v>550</v>
      </c>
      <c r="T1167" t="s">
        <v>551</v>
      </c>
      <c r="U1167" t="s">
        <v>552</v>
      </c>
      <c r="V1167" t="s">
        <v>288</v>
      </c>
      <c r="W1167" t="s">
        <v>553</v>
      </c>
      <c r="X1167" t="s">
        <v>554</v>
      </c>
      <c r="Y1167" t="s">
        <v>119</v>
      </c>
    </row>
    <row r="1168" spans="1:25">
      <c r="A1168">
        <v>10342</v>
      </c>
      <c r="B1168">
        <v>55</v>
      </c>
      <c r="C1168">
        <v>100</v>
      </c>
      <c r="D1168">
        <v>7</v>
      </c>
      <c r="E1168">
        <v>6548.3</v>
      </c>
      <c r="F1168" t="s">
        <v>224</v>
      </c>
      <c r="G1168" t="s">
        <v>93</v>
      </c>
      <c r="H1168">
        <v>4</v>
      </c>
      <c r="I1168">
        <v>11</v>
      </c>
      <c r="J1168">
        <v>2004</v>
      </c>
      <c r="K1168" t="s">
        <v>265</v>
      </c>
      <c r="L1168">
        <v>146</v>
      </c>
      <c r="M1168" t="s">
        <v>790</v>
      </c>
      <c r="N1168" t="s">
        <v>162</v>
      </c>
      <c r="O1168" t="s">
        <v>163</v>
      </c>
      <c r="P1168" t="s">
        <v>164</v>
      </c>
      <c r="Q1168" t="s">
        <v>165</v>
      </c>
      <c r="R1168" t="s">
        <v>166</v>
      </c>
      <c r="S1168" t="s">
        <v>167</v>
      </c>
      <c r="T1168">
        <v>3004</v>
      </c>
      <c r="U1168" t="s">
        <v>168</v>
      </c>
      <c r="V1168" t="s">
        <v>169</v>
      </c>
      <c r="W1168" t="s">
        <v>170</v>
      </c>
      <c r="X1168" t="s">
        <v>171</v>
      </c>
      <c r="Y1168" t="s">
        <v>119</v>
      </c>
    </row>
    <row r="1169" spans="1:25">
      <c r="A1169">
        <v>10355</v>
      </c>
      <c r="B1169">
        <v>23</v>
      </c>
      <c r="C1169">
        <v>100</v>
      </c>
      <c r="D1169">
        <v>7</v>
      </c>
      <c r="E1169">
        <v>3177.91</v>
      </c>
      <c r="F1169" s="4">
        <v>38180</v>
      </c>
      <c r="G1169" t="s">
        <v>93</v>
      </c>
      <c r="H1169">
        <v>4</v>
      </c>
      <c r="I1169">
        <v>12</v>
      </c>
      <c r="J1169">
        <v>2004</v>
      </c>
      <c r="K1169" t="s">
        <v>265</v>
      </c>
      <c r="L1169">
        <v>146</v>
      </c>
      <c r="M1169" t="s">
        <v>790</v>
      </c>
      <c r="N1169" t="s">
        <v>257</v>
      </c>
      <c r="O1169" t="s">
        <v>258</v>
      </c>
      <c r="P1169" t="s">
        <v>259</v>
      </c>
      <c r="R1169" t="s">
        <v>260</v>
      </c>
      <c r="T1169">
        <v>28034</v>
      </c>
      <c r="U1169" t="s">
        <v>261</v>
      </c>
      <c r="V1169" t="s">
        <v>110</v>
      </c>
      <c r="W1169" t="s">
        <v>262</v>
      </c>
      <c r="X1169" t="s">
        <v>263</v>
      </c>
      <c r="Y1169" t="s">
        <v>119</v>
      </c>
    </row>
    <row r="1170" spans="1:25">
      <c r="A1170">
        <v>10363</v>
      </c>
      <c r="B1170">
        <v>24</v>
      </c>
      <c r="C1170">
        <v>100</v>
      </c>
      <c r="D1170">
        <v>11</v>
      </c>
      <c r="E1170">
        <v>4142.6400000000003</v>
      </c>
      <c r="F1170" s="4">
        <v>38504</v>
      </c>
      <c r="G1170" t="s">
        <v>93</v>
      </c>
      <c r="H1170">
        <v>1</v>
      </c>
      <c r="I1170">
        <v>1</v>
      </c>
      <c r="J1170">
        <v>2005</v>
      </c>
      <c r="K1170" t="s">
        <v>265</v>
      </c>
      <c r="L1170">
        <v>146</v>
      </c>
      <c r="M1170" t="s">
        <v>790</v>
      </c>
      <c r="N1170" t="s">
        <v>593</v>
      </c>
      <c r="O1170" t="s">
        <v>594</v>
      </c>
      <c r="P1170" t="s">
        <v>595</v>
      </c>
      <c r="R1170" t="s">
        <v>596</v>
      </c>
      <c r="T1170" t="s">
        <v>597</v>
      </c>
      <c r="U1170" t="s">
        <v>208</v>
      </c>
      <c r="V1170" t="s">
        <v>110</v>
      </c>
      <c r="W1170" t="s">
        <v>598</v>
      </c>
      <c r="X1170" t="s">
        <v>599</v>
      </c>
      <c r="Y1170" t="s">
        <v>119</v>
      </c>
    </row>
    <row r="1171" spans="1:25">
      <c r="A1171">
        <v>10378</v>
      </c>
      <c r="B1171">
        <v>43</v>
      </c>
      <c r="C1171">
        <v>96.49</v>
      </c>
      <c r="D1171">
        <v>10</v>
      </c>
      <c r="E1171">
        <v>4149.07</v>
      </c>
      <c r="F1171" s="4">
        <v>38627</v>
      </c>
      <c r="G1171" t="s">
        <v>93</v>
      </c>
      <c r="H1171">
        <v>1</v>
      </c>
      <c r="I1171">
        <v>2</v>
      </c>
      <c r="J1171">
        <v>2005</v>
      </c>
      <c r="K1171" t="s">
        <v>265</v>
      </c>
      <c r="L1171">
        <v>146</v>
      </c>
      <c r="M1171" t="s">
        <v>790</v>
      </c>
      <c r="N1171" t="s">
        <v>257</v>
      </c>
      <c r="O1171" t="s">
        <v>258</v>
      </c>
      <c r="P1171" t="s">
        <v>259</v>
      </c>
      <c r="R1171" t="s">
        <v>260</v>
      </c>
      <c r="T1171">
        <v>28034</v>
      </c>
      <c r="U1171" t="s">
        <v>261</v>
      </c>
      <c r="V1171" t="s">
        <v>110</v>
      </c>
      <c r="W1171" t="s">
        <v>262</v>
      </c>
      <c r="X1171" t="s">
        <v>263</v>
      </c>
      <c r="Y1171" t="s">
        <v>119</v>
      </c>
    </row>
    <row r="1172" spans="1:25">
      <c r="A1172">
        <v>10390</v>
      </c>
      <c r="B1172">
        <v>50</v>
      </c>
      <c r="C1172">
        <v>100</v>
      </c>
      <c r="D1172">
        <v>1</v>
      </c>
      <c r="E1172">
        <v>7397</v>
      </c>
      <c r="F1172" s="4">
        <v>38445</v>
      </c>
      <c r="G1172" t="s">
        <v>93</v>
      </c>
      <c r="H1172">
        <v>1</v>
      </c>
      <c r="I1172">
        <v>3</v>
      </c>
      <c r="J1172">
        <v>2005</v>
      </c>
      <c r="K1172" t="s">
        <v>265</v>
      </c>
      <c r="L1172">
        <v>146</v>
      </c>
      <c r="M1172" t="s">
        <v>790</v>
      </c>
      <c r="N1172" t="s">
        <v>367</v>
      </c>
      <c r="O1172">
        <v>4155551450</v>
      </c>
      <c r="P1172" t="s">
        <v>368</v>
      </c>
      <c r="R1172" t="s">
        <v>369</v>
      </c>
      <c r="S1172" t="s">
        <v>124</v>
      </c>
      <c r="T1172">
        <v>97562</v>
      </c>
      <c r="U1172" t="s">
        <v>100</v>
      </c>
      <c r="V1172" t="s">
        <v>101</v>
      </c>
      <c r="W1172" t="s">
        <v>370</v>
      </c>
      <c r="X1172" t="s">
        <v>371</v>
      </c>
      <c r="Y1172" t="s">
        <v>232</v>
      </c>
    </row>
    <row r="1173" spans="1:25">
      <c r="A1173">
        <v>10109</v>
      </c>
      <c r="B1173">
        <v>47</v>
      </c>
      <c r="C1173">
        <v>100</v>
      </c>
      <c r="D1173">
        <v>2</v>
      </c>
      <c r="E1173">
        <v>6241.6</v>
      </c>
      <c r="F1173" s="4">
        <v>37897</v>
      </c>
      <c r="G1173" t="s">
        <v>93</v>
      </c>
      <c r="H1173">
        <v>1</v>
      </c>
      <c r="I1173">
        <v>3</v>
      </c>
      <c r="J1173">
        <v>2003</v>
      </c>
      <c r="K1173" t="s">
        <v>265</v>
      </c>
      <c r="L1173">
        <v>141</v>
      </c>
      <c r="M1173" t="s">
        <v>792</v>
      </c>
      <c r="N1173" t="s">
        <v>410</v>
      </c>
      <c r="O1173">
        <v>2155559857</v>
      </c>
      <c r="P1173" t="s">
        <v>411</v>
      </c>
      <c r="R1173" t="s">
        <v>306</v>
      </c>
      <c r="S1173" t="s">
        <v>221</v>
      </c>
      <c r="T1173">
        <v>71270</v>
      </c>
      <c r="U1173" t="s">
        <v>100</v>
      </c>
      <c r="V1173" t="s">
        <v>101</v>
      </c>
      <c r="W1173" t="s">
        <v>201</v>
      </c>
      <c r="X1173" t="s">
        <v>412</v>
      </c>
      <c r="Y1173" t="s">
        <v>119</v>
      </c>
    </row>
    <row r="1174" spans="1:25">
      <c r="A1174">
        <v>10123</v>
      </c>
      <c r="B1174">
        <v>34</v>
      </c>
      <c r="C1174">
        <v>100</v>
      </c>
      <c r="D1174">
        <v>4</v>
      </c>
      <c r="E1174">
        <v>5331.88</v>
      </c>
      <c r="F1174" t="s">
        <v>722</v>
      </c>
      <c r="G1174" t="s">
        <v>93</v>
      </c>
      <c r="H1174">
        <v>2</v>
      </c>
      <c r="I1174">
        <v>5</v>
      </c>
      <c r="J1174">
        <v>2003</v>
      </c>
      <c r="K1174" t="s">
        <v>265</v>
      </c>
      <c r="L1174">
        <v>141</v>
      </c>
      <c r="M1174" t="s">
        <v>792</v>
      </c>
      <c r="N1174" t="s">
        <v>414</v>
      </c>
      <c r="O1174" t="s">
        <v>415</v>
      </c>
      <c r="P1174" t="s">
        <v>416</v>
      </c>
      <c r="R1174" t="s">
        <v>193</v>
      </c>
      <c r="T1174">
        <v>44000</v>
      </c>
      <c r="U1174" t="s">
        <v>109</v>
      </c>
      <c r="V1174" t="s">
        <v>110</v>
      </c>
      <c r="W1174" t="s">
        <v>417</v>
      </c>
      <c r="X1174" t="s">
        <v>418</v>
      </c>
      <c r="Y1174" t="s">
        <v>119</v>
      </c>
    </row>
    <row r="1175" spans="1:25">
      <c r="A1175">
        <v>10137</v>
      </c>
      <c r="B1175">
        <v>31</v>
      </c>
      <c r="C1175">
        <v>100</v>
      </c>
      <c r="D1175">
        <v>4</v>
      </c>
      <c r="E1175">
        <v>5124.3</v>
      </c>
      <c r="F1175" s="4">
        <v>37901</v>
      </c>
      <c r="G1175" t="s">
        <v>93</v>
      </c>
      <c r="H1175">
        <v>3</v>
      </c>
      <c r="I1175">
        <v>7</v>
      </c>
      <c r="J1175">
        <v>2003</v>
      </c>
      <c r="K1175" t="s">
        <v>265</v>
      </c>
      <c r="L1175">
        <v>141</v>
      </c>
      <c r="M1175" t="s">
        <v>792</v>
      </c>
      <c r="N1175" t="s">
        <v>105</v>
      </c>
      <c r="O1175" t="s">
        <v>106</v>
      </c>
      <c r="P1175" t="s">
        <v>107</v>
      </c>
      <c r="R1175" t="s">
        <v>108</v>
      </c>
      <c r="T1175">
        <v>51100</v>
      </c>
      <c r="U1175" t="s">
        <v>109</v>
      </c>
      <c r="V1175" t="s">
        <v>110</v>
      </c>
      <c r="W1175" t="s">
        <v>111</v>
      </c>
      <c r="X1175" t="s">
        <v>112</v>
      </c>
      <c r="Y1175" t="s">
        <v>119</v>
      </c>
    </row>
    <row r="1176" spans="1:25">
      <c r="A1176">
        <v>10148</v>
      </c>
      <c r="B1176">
        <v>28</v>
      </c>
      <c r="C1176">
        <v>100</v>
      </c>
      <c r="D1176">
        <v>11</v>
      </c>
      <c r="E1176">
        <v>3639.44</v>
      </c>
      <c r="F1176" s="4">
        <v>37934</v>
      </c>
      <c r="G1176" t="s">
        <v>93</v>
      </c>
      <c r="H1176">
        <v>3</v>
      </c>
      <c r="I1176">
        <v>9</v>
      </c>
      <c r="J1176">
        <v>2003</v>
      </c>
      <c r="K1176" t="s">
        <v>265</v>
      </c>
      <c r="L1176">
        <v>141</v>
      </c>
      <c r="M1176" t="s">
        <v>792</v>
      </c>
      <c r="N1176" t="s">
        <v>384</v>
      </c>
      <c r="O1176" t="s">
        <v>385</v>
      </c>
      <c r="P1176" t="s">
        <v>386</v>
      </c>
      <c r="Q1176" t="s">
        <v>387</v>
      </c>
      <c r="R1176" t="s">
        <v>388</v>
      </c>
      <c r="S1176" t="s">
        <v>239</v>
      </c>
      <c r="T1176">
        <v>2060</v>
      </c>
      <c r="U1176" t="s">
        <v>168</v>
      </c>
      <c r="V1176" t="s">
        <v>169</v>
      </c>
      <c r="W1176" t="s">
        <v>389</v>
      </c>
      <c r="X1176" t="s">
        <v>390</v>
      </c>
      <c r="Y1176" t="s">
        <v>119</v>
      </c>
    </row>
    <row r="1177" spans="1:25">
      <c r="A1177">
        <v>10161</v>
      </c>
      <c r="B1177">
        <v>36</v>
      </c>
      <c r="C1177">
        <v>100</v>
      </c>
      <c r="D1177">
        <v>10</v>
      </c>
      <c r="E1177">
        <v>5544</v>
      </c>
      <c r="F1177" t="s">
        <v>682</v>
      </c>
      <c r="G1177" t="s">
        <v>93</v>
      </c>
      <c r="H1177">
        <v>4</v>
      </c>
      <c r="I1177">
        <v>10</v>
      </c>
      <c r="J1177">
        <v>2003</v>
      </c>
      <c r="K1177" t="s">
        <v>265</v>
      </c>
      <c r="L1177">
        <v>141</v>
      </c>
      <c r="M1177" t="s">
        <v>792</v>
      </c>
      <c r="N1177" t="s">
        <v>630</v>
      </c>
      <c r="O1177" t="s">
        <v>631</v>
      </c>
      <c r="P1177" t="s">
        <v>632</v>
      </c>
      <c r="R1177" t="s">
        <v>633</v>
      </c>
      <c r="T1177">
        <v>8200</v>
      </c>
      <c r="U1177" t="s">
        <v>429</v>
      </c>
      <c r="V1177" t="s">
        <v>110</v>
      </c>
      <c r="W1177" t="s">
        <v>634</v>
      </c>
      <c r="X1177" t="s">
        <v>635</v>
      </c>
      <c r="Y1177" t="s">
        <v>119</v>
      </c>
    </row>
    <row r="1178" spans="1:25">
      <c r="A1178">
        <v>10172</v>
      </c>
      <c r="B1178">
        <v>48</v>
      </c>
      <c r="C1178">
        <v>100</v>
      </c>
      <c r="D1178">
        <v>8</v>
      </c>
      <c r="E1178">
        <v>5493.12</v>
      </c>
      <c r="F1178" s="4">
        <v>37752</v>
      </c>
      <c r="G1178" t="s">
        <v>93</v>
      </c>
      <c r="H1178">
        <v>4</v>
      </c>
      <c r="I1178">
        <v>11</v>
      </c>
      <c r="J1178">
        <v>2003</v>
      </c>
      <c r="K1178" t="s">
        <v>265</v>
      </c>
      <c r="L1178">
        <v>141</v>
      </c>
      <c r="M1178" t="s">
        <v>792</v>
      </c>
      <c r="N1178" t="s">
        <v>184</v>
      </c>
      <c r="O1178">
        <v>2035552570</v>
      </c>
      <c r="P1178" t="s">
        <v>185</v>
      </c>
      <c r="R1178" t="s">
        <v>186</v>
      </c>
      <c r="S1178" t="s">
        <v>187</v>
      </c>
      <c r="T1178">
        <v>97562</v>
      </c>
      <c r="U1178" t="s">
        <v>100</v>
      </c>
      <c r="V1178" t="s">
        <v>101</v>
      </c>
      <c r="W1178" t="s">
        <v>188</v>
      </c>
      <c r="X1178" t="s">
        <v>126</v>
      </c>
      <c r="Y1178" t="s">
        <v>119</v>
      </c>
    </row>
    <row r="1179" spans="1:25">
      <c r="A1179">
        <v>10181</v>
      </c>
      <c r="B1179">
        <v>39</v>
      </c>
      <c r="C1179">
        <v>100</v>
      </c>
      <c r="D1179">
        <v>4</v>
      </c>
      <c r="E1179">
        <v>5785.26</v>
      </c>
      <c r="F1179" s="4">
        <v>37966</v>
      </c>
      <c r="G1179" t="s">
        <v>93</v>
      </c>
      <c r="H1179">
        <v>4</v>
      </c>
      <c r="I1179">
        <v>11</v>
      </c>
      <c r="J1179">
        <v>2003</v>
      </c>
      <c r="K1179" t="s">
        <v>265</v>
      </c>
      <c r="L1179">
        <v>141</v>
      </c>
      <c r="M1179" t="s">
        <v>792</v>
      </c>
      <c r="N1179" t="s">
        <v>144</v>
      </c>
      <c r="O1179" t="s">
        <v>145</v>
      </c>
      <c r="P1179" t="s">
        <v>146</v>
      </c>
      <c r="R1179" t="s">
        <v>147</v>
      </c>
      <c r="T1179" t="s">
        <v>148</v>
      </c>
      <c r="U1179" t="s">
        <v>149</v>
      </c>
      <c r="V1179" t="s">
        <v>110</v>
      </c>
      <c r="W1179" t="s">
        <v>150</v>
      </c>
      <c r="X1179" t="s">
        <v>151</v>
      </c>
      <c r="Y1179" t="s">
        <v>119</v>
      </c>
    </row>
    <row r="1180" spans="1:25">
      <c r="A1180">
        <v>10192</v>
      </c>
      <c r="B1180">
        <v>45</v>
      </c>
      <c r="C1180">
        <v>100</v>
      </c>
      <c r="D1180">
        <v>9</v>
      </c>
      <c r="E1180">
        <v>5340.6</v>
      </c>
      <c r="F1180" t="s">
        <v>561</v>
      </c>
      <c r="G1180" t="s">
        <v>93</v>
      </c>
      <c r="H1180">
        <v>4</v>
      </c>
      <c r="I1180">
        <v>11</v>
      </c>
      <c r="J1180">
        <v>2003</v>
      </c>
      <c r="K1180" t="s">
        <v>265</v>
      </c>
      <c r="L1180">
        <v>141</v>
      </c>
      <c r="M1180" t="s">
        <v>792</v>
      </c>
      <c r="N1180" t="s">
        <v>372</v>
      </c>
      <c r="O1180">
        <v>6035558647</v>
      </c>
      <c r="P1180" t="s">
        <v>373</v>
      </c>
      <c r="R1180" t="s">
        <v>374</v>
      </c>
      <c r="S1180" t="s">
        <v>375</v>
      </c>
      <c r="T1180">
        <v>62005</v>
      </c>
      <c r="U1180" t="s">
        <v>100</v>
      </c>
      <c r="V1180" t="s">
        <v>101</v>
      </c>
      <c r="W1180" t="s">
        <v>125</v>
      </c>
      <c r="X1180" t="s">
        <v>371</v>
      </c>
      <c r="Y1180" t="s">
        <v>119</v>
      </c>
    </row>
    <row r="1181" spans="1:25">
      <c r="A1181">
        <v>10204</v>
      </c>
      <c r="B1181">
        <v>35</v>
      </c>
      <c r="C1181">
        <v>100</v>
      </c>
      <c r="D1181">
        <v>15</v>
      </c>
      <c r="E1181">
        <v>5735.8</v>
      </c>
      <c r="F1181" s="4">
        <v>37664</v>
      </c>
      <c r="G1181" t="s">
        <v>93</v>
      </c>
      <c r="H1181">
        <v>4</v>
      </c>
      <c r="I1181">
        <v>12</v>
      </c>
      <c r="J1181">
        <v>2003</v>
      </c>
      <c r="K1181" t="s">
        <v>265</v>
      </c>
      <c r="L1181">
        <v>141</v>
      </c>
      <c r="M1181" t="s">
        <v>792</v>
      </c>
      <c r="N1181" t="s">
        <v>603</v>
      </c>
      <c r="O1181">
        <v>2125557413</v>
      </c>
      <c r="P1181" t="s">
        <v>604</v>
      </c>
      <c r="Q1181" t="s">
        <v>605</v>
      </c>
      <c r="R1181" t="s">
        <v>98</v>
      </c>
      <c r="S1181" t="s">
        <v>99</v>
      </c>
      <c r="T1181">
        <v>10022</v>
      </c>
      <c r="U1181" t="s">
        <v>100</v>
      </c>
      <c r="V1181" t="s">
        <v>101</v>
      </c>
      <c r="W1181" t="s">
        <v>125</v>
      </c>
      <c r="X1181" t="s">
        <v>606</v>
      </c>
      <c r="Y1181" t="s">
        <v>119</v>
      </c>
    </row>
    <row r="1182" spans="1:25">
      <c r="A1182">
        <v>10212</v>
      </c>
      <c r="B1182">
        <v>45</v>
      </c>
      <c r="C1182">
        <v>100</v>
      </c>
      <c r="D1182">
        <v>8</v>
      </c>
      <c r="E1182">
        <v>6357.6</v>
      </c>
      <c r="F1182" t="s">
        <v>653</v>
      </c>
      <c r="G1182" t="s">
        <v>93</v>
      </c>
      <c r="H1182">
        <v>1</v>
      </c>
      <c r="I1182">
        <v>1</v>
      </c>
      <c r="J1182">
        <v>2004</v>
      </c>
      <c r="K1182" t="s">
        <v>265</v>
      </c>
      <c r="L1182">
        <v>141</v>
      </c>
      <c r="M1182" t="s">
        <v>792</v>
      </c>
      <c r="N1182" t="s">
        <v>257</v>
      </c>
      <c r="O1182" t="s">
        <v>258</v>
      </c>
      <c r="P1182" t="s">
        <v>259</v>
      </c>
      <c r="R1182" t="s">
        <v>260</v>
      </c>
      <c r="T1182">
        <v>28034</v>
      </c>
      <c r="U1182" t="s">
        <v>261</v>
      </c>
      <c r="V1182" t="s">
        <v>110</v>
      </c>
      <c r="W1182" t="s">
        <v>262</v>
      </c>
      <c r="X1182" t="s">
        <v>263</v>
      </c>
      <c r="Y1182" t="s">
        <v>119</v>
      </c>
    </row>
    <row r="1183" spans="1:25">
      <c r="A1183">
        <v>10226</v>
      </c>
      <c r="B1183">
        <v>46</v>
      </c>
      <c r="C1183">
        <v>100</v>
      </c>
      <c r="D1183">
        <v>6</v>
      </c>
      <c r="E1183">
        <v>7343.9</v>
      </c>
      <c r="F1183" t="s">
        <v>723</v>
      </c>
      <c r="G1183" t="s">
        <v>93</v>
      </c>
      <c r="H1183">
        <v>1</v>
      </c>
      <c r="I1183">
        <v>2</v>
      </c>
      <c r="J1183">
        <v>2004</v>
      </c>
      <c r="K1183" t="s">
        <v>265</v>
      </c>
      <c r="L1183">
        <v>141</v>
      </c>
      <c r="M1183" t="s">
        <v>792</v>
      </c>
      <c r="N1183" t="s">
        <v>470</v>
      </c>
      <c r="O1183">
        <v>7605558146</v>
      </c>
      <c r="P1183" t="s">
        <v>471</v>
      </c>
      <c r="R1183" t="s">
        <v>472</v>
      </c>
      <c r="S1183" t="s">
        <v>124</v>
      </c>
      <c r="T1183">
        <v>91217</v>
      </c>
      <c r="U1183" t="s">
        <v>100</v>
      </c>
      <c r="V1183" t="s">
        <v>101</v>
      </c>
      <c r="W1183" t="s">
        <v>6</v>
      </c>
      <c r="X1183" t="s">
        <v>371</v>
      </c>
      <c r="Y1183" t="s">
        <v>232</v>
      </c>
    </row>
    <row r="1184" spans="1:25">
      <c r="A1184">
        <v>10240</v>
      </c>
      <c r="B1184">
        <v>37</v>
      </c>
      <c r="C1184">
        <v>100</v>
      </c>
      <c r="D1184">
        <v>1</v>
      </c>
      <c r="E1184">
        <v>5959.22</v>
      </c>
      <c r="F1184" t="s">
        <v>683</v>
      </c>
      <c r="G1184" t="s">
        <v>93</v>
      </c>
      <c r="H1184">
        <v>2</v>
      </c>
      <c r="I1184">
        <v>4</v>
      </c>
      <c r="J1184">
        <v>2004</v>
      </c>
      <c r="K1184" t="s">
        <v>265</v>
      </c>
      <c r="L1184">
        <v>141</v>
      </c>
      <c r="M1184" t="s">
        <v>792</v>
      </c>
      <c r="N1184" t="s">
        <v>403</v>
      </c>
      <c r="O1184" t="s">
        <v>404</v>
      </c>
      <c r="P1184" t="s">
        <v>405</v>
      </c>
      <c r="R1184" t="s">
        <v>406</v>
      </c>
      <c r="S1184" t="s">
        <v>406</v>
      </c>
      <c r="T1184" t="s">
        <v>407</v>
      </c>
      <c r="U1184" t="s">
        <v>288</v>
      </c>
      <c r="V1184" t="s">
        <v>288</v>
      </c>
      <c r="W1184" t="s">
        <v>408</v>
      </c>
      <c r="X1184" t="s">
        <v>409</v>
      </c>
      <c r="Y1184" t="s">
        <v>119</v>
      </c>
    </row>
    <row r="1185" spans="1:25">
      <c r="A1185">
        <v>10253</v>
      </c>
      <c r="B1185">
        <v>31</v>
      </c>
      <c r="C1185">
        <v>100</v>
      </c>
      <c r="D1185">
        <v>3</v>
      </c>
      <c r="E1185">
        <v>4029.38</v>
      </c>
      <c r="F1185" s="4">
        <v>37992</v>
      </c>
      <c r="G1185" t="s">
        <v>444</v>
      </c>
      <c r="H1185">
        <v>2</v>
      </c>
      <c r="I1185">
        <v>6</v>
      </c>
      <c r="J1185">
        <v>2004</v>
      </c>
      <c r="K1185" t="s">
        <v>265</v>
      </c>
      <c r="L1185">
        <v>141</v>
      </c>
      <c r="M1185" t="s">
        <v>792</v>
      </c>
      <c r="N1185" t="s">
        <v>247</v>
      </c>
      <c r="O1185" t="s">
        <v>248</v>
      </c>
      <c r="P1185" t="s">
        <v>249</v>
      </c>
      <c r="R1185" t="s">
        <v>250</v>
      </c>
      <c r="T1185" t="s">
        <v>251</v>
      </c>
      <c r="U1185" t="s">
        <v>252</v>
      </c>
      <c r="V1185" t="s">
        <v>110</v>
      </c>
      <c r="W1185" t="s">
        <v>253</v>
      </c>
      <c r="X1185" t="s">
        <v>254</v>
      </c>
      <c r="Y1185" t="s">
        <v>119</v>
      </c>
    </row>
    <row r="1186" spans="1:25">
      <c r="A1186">
        <v>10266</v>
      </c>
      <c r="B1186">
        <v>33</v>
      </c>
      <c r="C1186">
        <v>100</v>
      </c>
      <c r="D1186">
        <v>4</v>
      </c>
      <c r="E1186">
        <v>5035.1400000000003</v>
      </c>
      <c r="F1186" s="4">
        <v>38145</v>
      </c>
      <c r="G1186" t="s">
        <v>93</v>
      </c>
      <c r="H1186">
        <v>3</v>
      </c>
      <c r="I1186">
        <v>7</v>
      </c>
      <c r="J1186">
        <v>2004</v>
      </c>
      <c r="K1186" t="s">
        <v>265</v>
      </c>
      <c r="L1186">
        <v>141</v>
      </c>
      <c r="M1186" t="s">
        <v>792</v>
      </c>
      <c r="N1186" t="s">
        <v>576</v>
      </c>
      <c r="O1186" t="s">
        <v>577</v>
      </c>
      <c r="P1186" t="s">
        <v>578</v>
      </c>
      <c r="R1186" t="s">
        <v>579</v>
      </c>
      <c r="T1186">
        <v>42100</v>
      </c>
      <c r="U1186" t="s">
        <v>352</v>
      </c>
      <c r="V1186" t="s">
        <v>110</v>
      </c>
      <c r="W1186" t="s">
        <v>580</v>
      </c>
      <c r="X1186" t="s">
        <v>581</v>
      </c>
      <c r="Y1186" t="s">
        <v>119</v>
      </c>
    </row>
    <row r="1187" spans="1:25">
      <c r="A1187">
        <v>10278</v>
      </c>
      <c r="B1187">
        <v>31</v>
      </c>
      <c r="C1187">
        <v>100</v>
      </c>
      <c r="D1187">
        <v>4</v>
      </c>
      <c r="E1187">
        <v>4116.8</v>
      </c>
      <c r="F1187" s="4">
        <v>38146</v>
      </c>
      <c r="G1187" t="s">
        <v>93</v>
      </c>
      <c r="H1187">
        <v>3</v>
      </c>
      <c r="I1187">
        <v>8</v>
      </c>
      <c r="J1187">
        <v>2004</v>
      </c>
      <c r="K1187" t="s">
        <v>265</v>
      </c>
      <c r="L1187">
        <v>141</v>
      </c>
      <c r="M1187" t="s">
        <v>792</v>
      </c>
      <c r="N1187" t="s">
        <v>684</v>
      </c>
      <c r="O1187">
        <v>7025551838</v>
      </c>
      <c r="P1187" t="s">
        <v>685</v>
      </c>
      <c r="R1187" t="s">
        <v>686</v>
      </c>
      <c r="S1187" t="s">
        <v>687</v>
      </c>
      <c r="T1187">
        <v>83030</v>
      </c>
      <c r="U1187" t="s">
        <v>100</v>
      </c>
      <c r="V1187" t="s">
        <v>101</v>
      </c>
      <c r="W1187" t="s">
        <v>188</v>
      </c>
      <c r="X1187" t="s">
        <v>517</v>
      </c>
      <c r="Y1187" t="s">
        <v>119</v>
      </c>
    </row>
    <row r="1188" spans="1:25">
      <c r="A1188">
        <v>10287</v>
      </c>
      <c r="B1188">
        <v>27</v>
      </c>
      <c r="C1188">
        <v>100</v>
      </c>
      <c r="D1188">
        <v>2</v>
      </c>
      <c r="E1188">
        <v>4310.55</v>
      </c>
      <c r="F1188" t="s">
        <v>586</v>
      </c>
      <c r="G1188" t="s">
        <v>93</v>
      </c>
      <c r="H1188">
        <v>3</v>
      </c>
      <c r="I1188">
        <v>8</v>
      </c>
      <c r="J1188">
        <v>2004</v>
      </c>
      <c r="K1188" t="s">
        <v>265</v>
      </c>
      <c r="L1188">
        <v>141</v>
      </c>
      <c r="M1188" t="s">
        <v>792</v>
      </c>
      <c r="N1188" t="s">
        <v>570</v>
      </c>
      <c r="O1188" t="s">
        <v>571</v>
      </c>
      <c r="P1188" t="s">
        <v>572</v>
      </c>
      <c r="R1188" t="s">
        <v>573</v>
      </c>
      <c r="T1188">
        <v>1203</v>
      </c>
      <c r="U1188" t="s">
        <v>574</v>
      </c>
      <c r="V1188" t="s">
        <v>110</v>
      </c>
      <c r="W1188" t="s">
        <v>575</v>
      </c>
      <c r="X1188" t="s">
        <v>176</v>
      </c>
      <c r="Y1188" t="s">
        <v>119</v>
      </c>
    </row>
    <row r="1189" spans="1:25">
      <c r="A1189">
        <v>10301</v>
      </c>
      <c r="B1189">
        <v>39</v>
      </c>
      <c r="C1189">
        <v>100</v>
      </c>
      <c r="D1189">
        <v>6</v>
      </c>
      <c r="E1189">
        <v>6446.7</v>
      </c>
      <c r="F1189" s="4">
        <v>37751</v>
      </c>
      <c r="G1189" t="s">
        <v>93</v>
      </c>
      <c r="H1189">
        <v>4</v>
      </c>
      <c r="I1189">
        <v>10</v>
      </c>
      <c r="J1189">
        <v>2003</v>
      </c>
      <c r="K1189" t="s">
        <v>265</v>
      </c>
      <c r="L1189">
        <v>141</v>
      </c>
      <c r="M1189" t="s">
        <v>792</v>
      </c>
      <c r="N1189" t="s">
        <v>688</v>
      </c>
      <c r="O1189" t="s">
        <v>689</v>
      </c>
      <c r="P1189" t="s">
        <v>690</v>
      </c>
      <c r="R1189" t="s">
        <v>691</v>
      </c>
      <c r="T1189" t="s">
        <v>692</v>
      </c>
      <c r="U1189" t="s">
        <v>149</v>
      </c>
      <c r="V1189" t="s">
        <v>110</v>
      </c>
      <c r="W1189" t="s">
        <v>693</v>
      </c>
      <c r="X1189" t="s">
        <v>694</v>
      </c>
      <c r="Y1189" t="s">
        <v>119</v>
      </c>
    </row>
    <row r="1190" spans="1:25">
      <c r="A1190">
        <v>10311</v>
      </c>
      <c r="B1190">
        <v>32</v>
      </c>
      <c r="C1190">
        <v>100</v>
      </c>
      <c r="D1190">
        <v>11</v>
      </c>
      <c r="E1190">
        <v>3616.64</v>
      </c>
      <c r="F1190" t="s">
        <v>592</v>
      </c>
      <c r="G1190" t="s">
        <v>93</v>
      </c>
      <c r="H1190">
        <v>4</v>
      </c>
      <c r="I1190">
        <v>10</v>
      </c>
      <c r="J1190">
        <v>2004</v>
      </c>
      <c r="K1190" t="s">
        <v>265</v>
      </c>
      <c r="L1190">
        <v>141</v>
      </c>
      <c r="M1190" t="s">
        <v>792</v>
      </c>
      <c r="N1190" t="s">
        <v>257</v>
      </c>
      <c r="O1190" t="s">
        <v>258</v>
      </c>
      <c r="P1190" t="s">
        <v>259</v>
      </c>
      <c r="R1190" t="s">
        <v>260</v>
      </c>
      <c r="T1190">
        <v>28034</v>
      </c>
      <c r="U1190" t="s">
        <v>261</v>
      </c>
      <c r="V1190" t="s">
        <v>110</v>
      </c>
      <c r="W1190" t="s">
        <v>262</v>
      </c>
      <c r="X1190" t="s">
        <v>263</v>
      </c>
      <c r="Y1190" t="s">
        <v>119</v>
      </c>
    </row>
    <row r="1191" spans="1:25">
      <c r="A1191">
        <v>10321</v>
      </c>
      <c r="B1191">
        <v>28</v>
      </c>
      <c r="C1191">
        <v>100</v>
      </c>
      <c r="D1191">
        <v>8</v>
      </c>
      <c r="E1191">
        <v>4232.76</v>
      </c>
      <c r="F1191" s="4">
        <v>38088</v>
      </c>
      <c r="G1191" t="s">
        <v>93</v>
      </c>
      <c r="H1191">
        <v>4</v>
      </c>
      <c r="I1191">
        <v>11</v>
      </c>
      <c r="J1191">
        <v>2004</v>
      </c>
      <c r="K1191" t="s">
        <v>265</v>
      </c>
      <c r="L1191">
        <v>141</v>
      </c>
      <c r="M1191" t="s">
        <v>792</v>
      </c>
      <c r="N1191" t="s">
        <v>242</v>
      </c>
      <c r="O1191">
        <v>5085552555</v>
      </c>
      <c r="P1191" t="s">
        <v>243</v>
      </c>
      <c r="R1191" t="s">
        <v>244</v>
      </c>
      <c r="S1191" t="s">
        <v>200</v>
      </c>
      <c r="T1191">
        <v>50553</v>
      </c>
      <c r="U1191" t="s">
        <v>100</v>
      </c>
      <c r="V1191" t="s">
        <v>101</v>
      </c>
      <c r="W1191" t="s">
        <v>245</v>
      </c>
      <c r="X1191" t="s">
        <v>246</v>
      </c>
      <c r="Y1191" t="s">
        <v>119</v>
      </c>
    </row>
    <row r="1192" spans="1:25">
      <c r="A1192">
        <v>10331</v>
      </c>
      <c r="B1192">
        <v>26</v>
      </c>
      <c r="C1192">
        <v>67.91</v>
      </c>
      <c r="D1192">
        <v>12</v>
      </c>
      <c r="E1192">
        <v>1765.66</v>
      </c>
      <c r="F1192" t="s">
        <v>695</v>
      </c>
      <c r="G1192" t="s">
        <v>93</v>
      </c>
      <c r="H1192">
        <v>4</v>
      </c>
      <c r="I1192">
        <v>11</v>
      </c>
      <c r="J1192">
        <v>2004</v>
      </c>
      <c r="K1192" t="s">
        <v>265</v>
      </c>
      <c r="L1192">
        <v>141</v>
      </c>
      <c r="M1192" t="s">
        <v>792</v>
      </c>
      <c r="N1192" t="s">
        <v>410</v>
      </c>
      <c r="O1192">
        <v>2155559857</v>
      </c>
      <c r="P1192" t="s">
        <v>411</v>
      </c>
      <c r="R1192" t="s">
        <v>306</v>
      </c>
      <c r="S1192" t="s">
        <v>221</v>
      </c>
      <c r="T1192">
        <v>71270</v>
      </c>
      <c r="U1192" t="s">
        <v>100</v>
      </c>
      <c r="V1192" t="s">
        <v>101</v>
      </c>
      <c r="W1192" t="s">
        <v>201</v>
      </c>
      <c r="X1192" t="s">
        <v>412</v>
      </c>
      <c r="Y1192" t="s">
        <v>104</v>
      </c>
    </row>
    <row r="1193" spans="1:25">
      <c r="A1193">
        <v>10343</v>
      </c>
      <c r="B1193">
        <v>44</v>
      </c>
      <c r="C1193">
        <v>84.88</v>
      </c>
      <c r="D1193">
        <v>2</v>
      </c>
      <c r="E1193">
        <v>3734.72</v>
      </c>
      <c r="F1193" t="s">
        <v>224</v>
      </c>
      <c r="G1193" t="s">
        <v>93</v>
      </c>
      <c r="H1193">
        <v>4</v>
      </c>
      <c r="I1193">
        <v>11</v>
      </c>
      <c r="J1193">
        <v>2004</v>
      </c>
      <c r="K1193" t="s">
        <v>265</v>
      </c>
      <c r="L1193">
        <v>141</v>
      </c>
      <c r="M1193" t="s">
        <v>792</v>
      </c>
      <c r="N1193" t="s">
        <v>105</v>
      </c>
      <c r="O1193" t="s">
        <v>106</v>
      </c>
      <c r="P1193" t="s">
        <v>107</v>
      </c>
      <c r="R1193" t="s">
        <v>108</v>
      </c>
      <c r="T1193">
        <v>51100</v>
      </c>
      <c r="U1193" t="s">
        <v>109</v>
      </c>
      <c r="V1193" t="s">
        <v>110</v>
      </c>
      <c r="W1193" t="s">
        <v>111</v>
      </c>
      <c r="X1193" t="s">
        <v>112</v>
      </c>
      <c r="Y1193" t="s">
        <v>119</v>
      </c>
    </row>
    <row r="1194" spans="1:25">
      <c r="A1194">
        <v>10367</v>
      </c>
      <c r="B1194">
        <v>46</v>
      </c>
      <c r="C1194">
        <v>100</v>
      </c>
      <c r="D1194">
        <v>6</v>
      </c>
      <c r="E1194">
        <v>4808.38</v>
      </c>
      <c r="F1194" s="4">
        <v>38687</v>
      </c>
      <c r="G1194" t="s">
        <v>526</v>
      </c>
      <c r="H1194">
        <v>1</v>
      </c>
      <c r="I1194">
        <v>1</v>
      </c>
      <c r="J1194">
        <v>2005</v>
      </c>
      <c r="K1194" t="s">
        <v>265</v>
      </c>
      <c r="L1194">
        <v>141</v>
      </c>
      <c r="M1194" t="s">
        <v>792</v>
      </c>
      <c r="N1194" t="s">
        <v>121</v>
      </c>
      <c r="O1194">
        <v>6265557265</v>
      </c>
      <c r="P1194" t="s">
        <v>122</v>
      </c>
      <c r="R1194" t="s">
        <v>123</v>
      </c>
      <c r="S1194" t="s">
        <v>124</v>
      </c>
      <c r="T1194">
        <v>90003</v>
      </c>
      <c r="U1194" t="s">
        <v>100</v>
      </c>
      <c r="V1194" t="s">
        <v>101</v>
      </c>
      <c r="W1194" t="s">
        <v>125</v>
      </c>
      <c r="X1194" t="s">
        <v>126</v>
      </c>
      <c r="Y1194" t="s">
        <v>119</v>
      </c>
    </row>
    <row r="1195" spans="1:25">
      <c r="A1195">
        <v>10379</v>
      </c>
      <c r="B1195">
        <v>32</v>
      </c>
      <c r="C1195">
        <v>70.83</v>
      </c>
      <c r="D1195">
        <v>4</v>
      </c>
      <c r="E1195">
        <v>2266.56</v>
      </c>
      <c r="F1195" s="4">
        <v>38627</v>
      </c>
      <c r="G1195" t="s">
        <v>93</v>
      </c>
      <c r="H1195">
        <v>1</v>
      </c>
      <c r="I1195">
        <v>2</v>
      </c>
      <c r="J1195">
        <v>2005</v>
      </c>
      <c r="K1195" t="s">
        <v>265</v>
      </c>
      <c r="L1195">
        <v>141</v>
      </c>
      <c r="M1195" t="s">
        <v>792</v>
      </c>
      <c r="N1195" t="s">
        <v>257</v>
      </c>
      <c r="O1195" t="s">
        <v>258</v>
      </c>
      <c r="P1195" t="s">
        <v>259</v>
      </c>
      <c r="R1195" t="s">
        <v>260</v>
      </c>
      <c r="T1195">
        <v>28034</v>
      </c>
      <c r="U1195" t="s">
        <v>261</v>
      </c>
      <c r="V1195" t="s">
        <v>110</v>
      </c>
      <c r="W1195" t="s">
        <v>262</v>
      </c>
      <c r="X1195" t="s">
        <v>263</v>
      </c>
      <c r="Y1195" t="s">
        <v>104</v>
      </c>
    </row>
    <row r="1196" spans="1:25">
      <c r="A1196">
        <v>10406</v>
      </c>
      <c r="B1196">
        <v>65</v>
      </c>
      <c r="C1196">
        <v>100</v>
      </c>
      <c r="D1196">
        <v>1</v>
      </c>
      <c r="E1196">
        <v>10468.9</v>
      </c>
      <c r="F1196" t="s">
        <v>696</v>
      </c>
      <c r="G1196" t="s">
        <v>256</v>
      </c>
      <c r="H1196">
        <v>2</v>
      </c>
      <c r="I1196">
        <v>4</v>
      </c>
      <c r="J1196">
        <v>2005</v>
      </c>
      <c r="K1196" t="s">
        <v>265</v>
      </c>
      <c r="L1196">
        <v>141</v>
      </c>
      <c r="M1196" t="s">
        <v>792</v>
      </c>
      <c r="N1196" t="s">
        <v>425</v>
      </c>
      <c r="O1196" t="s">
        <v>426</v>
      </c>
      <c r="P1196" t="s">
        <v>427</v>
      </c>
      <c r="R1196" t="s">
        <v>428</v>
      </c>
      <c r="T1196">
        <v>1734</v>
      </c>
      <c r="U1196" t="s">
        <v>429</v>
      </c>
      <c r="V1196" t="s">
        <v>110</v>
      </c>
      <c r="W1196" t="s">
        <v>430</v>
      </c>
      <c r="X1196" t="s">
        <v>431</v>
      </c>
      <c r="Y1196" t="s">
        <v>232</v>
      </c>
    </row>
    <row r="1197" spans="1:25">
      <c r="A1197">
        <v>10419</v>
      </c>
      <c r="B1197">
        <v>43</v>
      </c>
      <c r="C1197">
        <v>100</v>
      </c>
      <c r="D1197">
        <v>3</v>
      </c>
      <c r="E1197">
        <v>5589.14</v>
      </c>
      <c r="F1197" t="s">
        <v>600</v>
      </c>
      <c r="G1197" t="s">
        <v>93</v>
      </c>
      <c r="H1197">
        <v>2</v>
      </c>
      <c r="I1197">
        <v>5</v>
      </c>
      <c r="J1197">
        <v>2005</v>
      </c>
      <c r="K1197" t="s">
        <v>265</v>
      </c>
      <c r="L1197">
        <v>141</v>
      </c>
      <c r="M1197" t="s">
        <v>792</v>
      </c>
      <c r="N1197" t="s">
        <v>225</v>
      </c>
      <c r="O1197" t="s">
        <v>226</v>
      </c>
      <c r="P1197" t="s">
        <v>227</v>
      </c>
      <c r="R1197" t="s">
        <v>228</v>
      </c>
      <c r="T1197">
        <v>5020</v>
      </c>
      <c r="U1197" t="s">
        <v>229</v>
      </c>
      <c r="V1197" t="s">
        <v>110</v>
      </c>
      <c r="W1197" t="s">
        <v>230</v>
      </c>
      <c r="X1197" t="s">
        <v>231</v>
      </c>
      <c r="Y1197" t="s">
        <v>119</v>
      </c>
    </row>
    <row r="1198" spans="1:25">
      <c r="A1198">
        <v>10108</v>
      </c>
      <c r="B1198">
        <v>43</v>
      </c>
      <c r="C1198">
        <v>67.77</v>
      </c>
      <c r="D1198">
        <v>12</v>
      </c>
      <c r="E1198">
        <v>2914.11</v>
      </c>
      <c r="F1198" s="4">
        <v>37683</v>
      </c>
      <c r="G1198" t="s">
        <v>93</v>
      </c>
      <c r="H1198">
        <v>1</v>
      </c>
      <c r="I1198">
        <v>3</v>
      </c>
      <c r="J1198">
        <v>2003</v>
      </c>
      <c r="K1198" t="s">
        <v>94</v>
      </c>
      <c r="L1198">
        <v>62</v>
      </c>
      <c r="M1198" t="s">
        <v>793</v>
      </c>
      <c r="N1198" t="s">
        <v>547</v>
      </c>
      <c r="O1198" t="s">
        <v>548</v>
      </c>
      <c r="P1198" t="s">
        <v>549</v>
      </c>
      <c r="R1198" t="s">
        <v>550</v>
      </c>
      <c r="T1198" t="s">
        <v>551</v>
      </c>
      <c r="U1198" t="s">
        <v>552</v>
      </c>
      <c r="V1198" t="s">
        <v>288</v>
      </c>
      <c r="W1198" t="s">
        <v>553</v>
      </c>
      <c r="X1198" t="s">
        <v>554</v>
      </c>
      <c r="Y1198" t="s">
        <v>104</v>
      </c>
    </row>
    <row r="1199" spans="1:25">
      <c r="A1199">
        <v>10122</v>
      </c>
      <c r="B1199">
        <v>35</v>
      </c>
      <c r="C1199">
        <v>49.74</v>
      </c>
      <c r="D1199">
        <v>16</v>
      </c>
      <c r="E1199">
        <v>1740.9</v>
      </c>
      <c r="F1199" s="4">
        <v>37838</v>
      </c>
      <c r="G1199" t="s">
        <v>93</v>
      </c>
      <c r="H1199">
        <v>2</v>
      </c>
      <c r="I1199">
        <v>5</v>
      </c>
      <c r="J1199">
        <v>2003</v>
      </c>
      <c r="K1199" t="s">
        <v>94</v>
      </c>
      <c r="L1199">
        <v>62</v>
      </c>
      <c r="M1199" t="s">
        <v>793</v>
      </c>
      <c r="N1199" t="s">
        <v>555</v>
      </c>
      <c r="O1199" t="s">
        <v>556</v>
      </c>
      <c r="P1199" t="s">
        <v>557</v>
      </c>
      <c r="R1199" t="s">
        <v>558</v>
      </c>
      <c r="T1199">
        <v>13008</v>
      </c>
      <c r="U1199" t="s">
        <v>109</v>
      </c>
      <c r="V1199" t="s">
        <v>110</v>
      </c>
      <c r="W1199" t="s">
        <v>559</v>
      </c>
      <c r="X1199" t="s">
        <v>560</v>
      </c>
      <c r="Y1199" t="s">
        <v>104</v>
      </c>
    </row>
    <row r="1200" spans="1:25">
      <c r="A1200">
        <v>10135</v>
      </c>
      <c r="B1200">
        <v>45</v>
      </c>
      <c r="C1200">
        <v>50.36</v>
      </c>
      <c r="D1200">
        <v>13</v>
      </c>
      <c r="E1200">
        <v>2266.1999999999998</v>
      </c>
      <c r="F1200" s="4">
        <v>37659</v>
      </c>
      <c r="G1200" t="s">
        <v>93</v>
      </c>
      <c r="H1200">
        <v>3</v>
      </c>
      <c r="I1200">
        <v>7</v>
      </c>
      <c r="J1200">
        <v>2003</v>
      </c>
      <c r="K1200" t="s">
        <v>94</v>
      </c>
      <c r="L1200">
        <v>62</v>
      </c>
      <c r="M1200" t="s">
        <v>793</v>
      </c>
      <c r="N1200" t="s">
        <v>367</v>
      </c>
      <c r="O1200">
        <v>4155551450</v>
      </c>
      <c r="P1200" t="s">
        <v>368</v>
      </c>
      <c r="R1200" t="s">
        <v>369</v>
      </c>
      <c r="S1200" t="s">
        <v>124</v>
      </c>
      <c r="T1200">
        <v>97562</v>
      </c>
      <c r="U1200" t="s">
        <v>100</v>
      </c>
      <c r="V1200" t="s">
        <v>101</v>
      </c>
      <c r="W1200" t="s">
        <v>370</v>
      </c>
      <c r="X1200" t="s">
        <v>371</v>
      </c>
      <c r="Y1200" t="s">
        <v>104</v>
      </c>
    </row>
    <row r="1201" spans="1:25">
      <c r="A1201">
        <v>10146</v>
      </c>
      <c r="B1201">
        <v>47</v>
      </c>
      <c r="C1201">
        <v>67.14</v>
      </c>
      <c r="D1201">
        <v>2</v>
      </c>
      <c r="E1201">
        <v>3155.58</v>
      </c>
      <c r="F1201" s="4">
        <v>37689</v>
      </c>
      <c r="G1201" t="s">
        <v>93</v>
      </c>
      <c r="H1201">
        <v>3</v>
      </c>
      <c r="I1201">
        <v>9</v>
      </c>
      <c r="J1201">
        <v>2003</v>
      </c>
      <c r="K1201" t="s">
        <v>94</v>
      </c>
      <c r="L1201">
        <v>62</v>
      </c>
      <c r="M1201" t="s">
        <v>793</v>
      </c>
      <c r="N1201" t="s">
        <v>729</v>
      </c>
      <c r="O1201">
        <v>2035554407</v>
      </c>
      <c r="P1201" t="s">
        <v>730</v>
      </c>
      <c r="R1201" t="s">
        <v>656</v>
      </c>
      <c r="S1201" t="s">
        <v>187</v>
      </c>
      <c r="T1201">
        <v>97561</v>
      </c>
      <c r="U1201" t="s">
        <v>100</v>
      </c>
      <c r="V1201" t="s">
        <v>101</v>
      </c>
      <c r="W1201" t="s">
        <v>731</v>
      </c>
      <c r="X1201" t="s">
        <v>732</v>
      </c>
      <c r="Y1201" t="s">
        <v>119</v>
      </c>
    </row>
    <row r="1202" spans="1:25">
      <c r="A1202">
        <v>10159</v>
      </c>
      <c r="B1202">
        <v>21</v>
      </c>
      <c r="C1202">
        <v>64.66</v>
      </c>
      <c r="D1202">
        <v>8</v>
      </c>
      <c r="E1202">
        <v>1357.86</v>
      </c>
      <c r="F1202" s="4">
        <v>37904</v>
      </c>
      <c r="G1202" t="s">
        <v>93</v>
      </c>
      <c r="H1202">
        <v>4</v>
      </c>
      <c r="I1202">
        <v>10</v>
      </c>
      <c r="J1202">
        <v>2003</v>
      </c>
      <c r="K1202" t="s">
        <v>94</v>
      </c>
      <c r="L1202">
        <v>62</v>
      </c>
      <c r="M1202" t="s">
        <v>793</v>
      </c>
      <c r="N1202" t="s">
        <v>127</v>
      </c>
      <c r="O1202">
        <v>6505551386</v>
      </c>
      <c r="P1202" t="s">
        <v>128</v>
      </c>
      <c r="R1202" t="s">
        <v>129</v>
      </c>
      <c r="S1202" t="s">
        <v>124</v>
      </c>
      <c r="U1202" t="s">
        <v>100</v>
      </c>
      <c r="V1202" t="s">
        <v>101</v>
      </c>
      <c r="W1202" t="s">
        <v>130</v>
      </c>
      <c r="X1202" t="s">
        <v>126</v>
      </c>
      <c r="Y1202" t="s">
        <v>104</v>
      </c>
    </row>
    <row r="1203" spans="1:25">
      <c r="A1203">
        <v>10169</v>
      </c>
      <c r="B1203">
        <v>38</v>
      </c>
      <c r="C1203">
        <v>68.39</v>
      </c>
      <c r="D1203">
        <v>8</v>
      </c>
      <c r="E1203">
        <v>2598.8200000000002</v>
      </c>
      <c r="F1203" s="4">
        <v>37722</v>
      </c>
      <c r="G1203" t="s">
        <v>93</v>
      </c>
      <c r="H1203">
        <v>4</v>
      </c>
      <c r="I1203">
        <v>11</v>
      </c>
      <c r="J1203">
        <v>2003</v>
      </c>
      <c r="K1203" t="s">
        <v>94</v>
      </c>
      <c r="L1203">
        <v>62</v>
      </c>
      <c r="M1203" t="s">
        <v>793</v>
      </c>
      <c r="N1203" t="s">
        <v>384</v>
      </c>
      <c r="O1203" t="s">
        <v>385</v>
      </c>
      <c r="P1203" t="s">
        <v>386</v>
      </c>
      <c r="Q1203" t="s">
        <v>387</v>
      </c>
      <c r="R1203" t="s">
        <v>388</v>
      </c>
      <c r="S1203" t="s">
        <v>239</v>
      </c>
      <c r="T1203">
        <v>2060</v>
      </c>
      <c r="U1203" t="s">
        <v>168</v>
      </c>
      <c r="V1203" t="s">
        <v>169</v>
      </c>
      <c r="W1203" t="s">
        <v>389</v>
      </c>
      <c r="X1203" t="s">
        <v>390</v>
      </c>
      <c r="Y1203" t="s">
        <v>104</v>
      </c>
    </row>
    <row r="1204" spans="1:25">
      <c r="A1204">
        <v>10180</v>
      </c>
      <c r="B1204">
        <v>21</v>
      </c>
      <c r="C1204">
        <v>50.36</v>
      </c>
      <c r="D1204">
        <v>3</v>
      </c>
      <c r="E1204">
        <v>1057.56</v>
      </c>
      <c r="F1204" s="4">
        <v>37936</v>
      </c>
      <c r="G1204" t="s">
        <v>93</v>
      </c>
      <c r="H1204">
        <v>4</v>
      </c>
      <c r="I1204">
        <v>11</v>
      </c>
      <c r="J1204">
        <v>2003</v>
      </c>
      <c r="K1204" t="s">
        <v>94</v>
      </c>
      <c r="L1204">
        <v>62</v>
      </c>
      <c r="M1204" t="s">
        <v>793</v>
      </c>
      <c r="N1204" t="s">
        <v>137</v>
      </c>
      <c r="O1204" t="s">
        <v>138</v>
      </c>
      <c r="P1204" t="s">
        <v>139</v>
      </c>
      <c r="R1204" t="s">
        <v>140</v>
      </c>
      <c r="T1204">
        <v>59000</v>
      </c>
      <c r="U1204" t="s">
        <v>109</v>
      </c>
      <c r="V1204" t="s">
        <v>110</v>
      </c>
      <c r="W1204" t="s">
        <v>141</v>
      </c>
      <c r="X1204" t="s">
        <v>142</v>
      </c>
      <c r="Y1204" t="s">
        <v>104</v>
      </c>
    </row>
    <row r="1205" spans="1:25">
      <c r="A1205">
        <v>10191</v>
      </c>
      <c r="B1205">
        <v>43</v>
      </c>
      <c r="C1205">
        <v>72.739999999999995</v>
      </c>
      <c r="D1205">
        <v>9</v>
      </c>
      <c r="E1205">
        <v>3127.82</v>
      </c>
      <c r="F1205" t="s">
        <v>561</v>
      </c>
      <c r="G1205" t="s">
        <v>93</v>
      </c>
      <c r="H1205">
        <v>4</v>
      </c>
      <c r="I1205">
        <v>11</v>
      </c>
      <c r="J1205">
        <v>2003</v>
      </c>
      <c r="K1205" t="s">
        <v>94</v>
      </c>
      <c r="L1205">
        <v>62</v>
      </c>
      <c r="M1205" t="s">
        <v>793</v>
      </c>
      <c r="N1205" t="s">
        <v>562</v>
      </c>
      <c r="O1205" t="s">
        <v>563</v>
      </c>
      <c r="P1205" t="s">
        <v>564</v>
      </c>
      <c r="R1205" t="s">
        <v>565</v>
      </c>
      <c r="T1205">
        <v>50739</v>
      </c>
      <c r="U1205" t="s">
        <v>566</v>
      </c>
      <c r="V1205" t="s">
        <v>110</v>
      </c>
      <c r="W1205" t="s">
        <v>567</v>
      </c>
      <c r="X1205" t="s">
        <v>568</v>
      </c>
      <c r="Y1205" t="s">
        <v>119</v>
      </c>
    </row>
    <row r="1206" spans="1:25">
      <c r="A1206">
        <v>10211</v>
      </c>
      <c r="B1206">
        <v>46</v>
      </c>
      <c r="C1206">
        <v>54.09</v>
      </c>
      <c r="D1206">
        <v>8</v>
      </c>
      <c r="E1206">
        <v>2488.14</v>
      </c>
      <c r="F1206" t="s">
        <v>155</v>
      </c>
      <c r="G1206" t="s">
        <v>93</v>
      </c>
      <c r="H1206">
        <v>1</v>
      </c>
      <c r="I1206">
        <v>1</v>
      </c>
      <c r="J1206">
        <v>2004</v>
      </c>
      <c r="K1206" t="s">
        <v>94</v>
      </c>
      <c r="L1206">
        <v>62</v>
      </c>
      <c r="M1206" t="s">
        <v>793</v>
      </c>
      <c r="N1206" t="s">
        <v>156</v>
      </c>
      <c r="O1206" t="s">
        <v>157</v>
      </c>
      <c r="P1206" t="s">
        <v>158</v>
      </c>
      <c r="R1206" t="s">
        <v>116</v>
      </c>
      <c r="T1206">
        <v>75016</v>
      </c>
      <c r="U1206" t="s">
        <v>109</v>
      </c>
      <c r="V1206" t="s">
        <v>110</v>
      </c>
      <c r="W1206" t="s">
        <v>159</v>
      </c>
      <c r="X1206" t="s">
        <v>160</v>
      </c>
      <c r="Y1206" t="s">
        <v>104</v>
      </c>
    </row>
    <row r="1207" spans="1:25">
      <c r="A1207">
        <v>10224</v>
      </c>
      <c r="B1207">
        <v>38</v>
      </c>
      <c r="C1207">
        <v>58.44</v>
      </c>
      <c r="D1207">
        <v>1</v>
      </c>
      <c r="E1207">
        <v>2220.7199999999998</v>
      </c>
      <c r="F1207" t="s">
        <v>642</v>
      </c>
      <c r="G1207" t="s">
        <v>93</v>
      </c>
      <c r="H1207">
        <v>1</v>
      </c>
      <c r="I1207">
        <v>2</v>
      </c>
      <c r="J1207">
        <v>2004</v>
      </c>
      <c r="K1207" t="s">
        <v>94</v>
      </c>
      <c r="L1207">
        <v>62</v>
      </c>
      <c r="M1207" t="s">
        <v>793</v>
      </c>
      <c r="N1207" t="s">
        <v>137</v>
      </c>
      <c r="O1207" t="s">
        <v>138</v>
      </c>
      <c r="P1207" t="s">
        <v>139</v>
      </c>
      <c r="R1207" t="s">
        <v>140</v>
      </c>
      <c r="T1207">
        <v>59000</v>
      </c>
      <c r="U1207" t="s">
        <v>109</v>
      </c>
      <c r="V1207" t="s">
        <v>110</v>
      </c>
      <c r="W1207" t="s">
        <v>141</v>
      </c>
      <c r="X1207" t="s">
        <v>142</v>
      </c>
      <c r="Y1207" t="s">
        <v>104</v>
      </c>
    </row>
    <row r="1208" spans="1:25">
      <c r="A1208">
        <v>10237</v>
      </c>
      <c r="B1208">
        <v>26</v>
      </c>
      <c r="C1208">
        <v>52.22</v>
      </c>
      <c r="D1208">
        <v>1</v>
      </c>
      <c r="E1208">
        <v>1357.72</v>
      </c>
      <c r="F1208" s="4">
        <v>38111</v>
      </c>
      <c r="G1208" t="s">
        <v>93</v>
      </c>
      <c r="H1208">
        <v>2</v>
      </c>
      <c r="I1208">
        <v>4</v>
      </c>
      <c r="J1208">
        <v>2004</v>
      </c>
      <c r="K1208" t="s">
        <v>94</v>
      </c>
      <c r="L1208">
        <v>62</v>
      </c>
      <c r="M1208" t="s">
        <v>793</v>
      </c>
      <c r="N1208" t="s">
        <v>172</v>
      </c>
      <c r="O1208">
        <v>2125551500</v>
      </c>
      <c r="P1208" t="s">
        <v>173</v>
      </c>
      <c r="Q1208" t="s">
        <v>174</v>
      </c>
      <c r="R1208" t="s">
        <v>98</v>
      </c>
      <c r="S1208" t="s">
        <v>99</v>
      </c>
      <c r="T1208">
        <v>10022</v>
      </c>
      <c r="U1208" t="s">
        <v>100</v>
      </c>
      <c r="V1208" t="s">
        <v>101</v>
      </c>
      <c r="W1208" t="s">
        <v>175</v>
      </c>
      <c r="X1208" t="s">
        <v>176</v>
      </c>
      <c r="Y1208" t="s">
        <v>104</v>
      </c>
    </row>
    <row r="1209" spans="1:25">
      <c r="A1209">
        <v>10252</v>
      </c>
      <c r="B1209">
        <v>31</v>
      </c>
      <c r="C1209">
        <v>52.84</v>
      </c>
      <c r="D1209">
        <v>5</v>
      </c>
      <c r="E1209">
        <v>1638.04</v>
      </c>
      <c r="F1209" t="s">
        <v>788</v>
      </c>
      <c r="G1209" t="s">
        <v>93</v>
      </c>
      <c r="H1209">
        <v>2</v>
      </c>
      <c r="I1209">
        <v>5</v>
      </c>
      <c r="J1209">
        <v>2004</v>
      </c>
      <c r="K1209" t="s">
        <v>94</v>
      </c>
      <c r="L1209">
        <v>62</v>
      </c>
      <c r="M1209" t="s">
        <v>793</v>
      </c>
      <c r="N1209" t="s">
        <v>156</v>
      </c>
      <c r="O1209" t="s">
        <v>157</v>
      </c>
      <c r="P1209" t="s">
        <v>158</v>
      </c>
      <c r="R1209" t="s">
        <v>116</v>
      </c>
      <c r="T1209">
        <v>75016</v>
      </c>
      <c r="U1209" t="s">
        <v>109</v>
      </c>
      <c r="V1209" t="s">
        <v>110</v>
      </c>
      <c r="W1209" t="s">
        <v>159</v>
      </c>
      <c r="X1209" t="s">
        <v>160</v>
      </c>
      <c r="Y1209" t="s">
        <v>104</v>
      </c>
    </row>
    <row r="1210" spans="1:25">
      <c r="A1210">
        <v>10264</v>
      </c>
      <c r="B1210">
        <v>48</v>
      </c>
      <c r="C1210">
        <v>54.71</v>
      </c>
      <c r="D1210">
        <v>3</v>
      </c>
      <c r="E1210">
        <v>2626.08</v>
      </c>
      <c r="F1210" t="s">
        <v>794</v>
      </c>
      <c r="G1210" t="s">
        <v>93</v>
      </c>
      <c r="H1210">
        <v>2</v>
      </c>
      <c r="I1210">
        <v>6</v>
      </c>
      <c r="J1210">
        <v>2004</v>
      </c>
      <c r="K1210" t="s">
        <v>94</v>
      </c>
      <c r="L1210">
        <v>62</v>
      </c>
      <c r="M1210" t="s">
        <v>793</v>
      </c>
      <c r="N1210" t="s">
        <v>490</v>
      </c>
      <c r="O1210">
        <v>6175559555</v>
      </c>
      <c r="P1210" t="s">
        <v>491</v>
      </c>
      <c r="R1210" t="s">
        <v>492</v>
      </c>
      <c r="S1210" t="s">
        <v>200</v>
      </c>
      <c r="T1210">
        <v>51003</v>
      </c>
      <c r="U1210" t="s">
        <v>100</v>
      </c>
      <c r="V1210" t="s">
        <v>101</v>
      </c>
      <c r="W1210" t="s">
        <v>493</v>
      </c>
      <c r="X1210" t="s">
        <v>136</v>
      </c>
      <c r="Y1210" t="s">
        <v>104</v>
      </c>
    </row>
    <row r="1211" spans="1:25">
      <c r="A1211">
        <v>10276</v>
      </c>
      <c r="B1211">
        <v>33</v>
      </c>
      <c r="C1211">
        <v>50.36</v>
      </c>
      <c r="D1211">
        <v>9</v>
      </c>
      <c r="E1211">
        <v>1661.88</v>
      </c>
      <c r="F1211" s="4">
        <v>38025</v>
      </c>
      <c r="G1211" t="s">
        <v>93</v>
      </c>
      <c r="H1211">
        <v>3</v>
      </c>
      <c r="I1211">
        <v>8</v>
      </c>
      <c r="J1211">
        <v>2004</v>
      </c>
      <c r="K1211" t="s">
        <v>94</v>
      </c>
      <c r="L1211">
        <v>62</v>
      </c>
      <c r="M1211" t="s">
        <v>793</v>
      </c>
      <c r="N1211" t="s">
        <v>582</v>
      </c>
      <c r="O1211">
        <v>6175557555</v>
      </c>
      <c r="P1211" t="s">
        <v>583</v>
      </c>
      <c r="R1211" t="s">
        <v>381</v>
      </c>
      <c r="S1211" t="s">
        <v>200</v>
      </c>
      <c r="T1211">
        <v>58339</v>
      </c>
      <c r="U1211" t="s">
        <v>100</v>
      </c>
      <c r="V1211" t="s">
        <v>101</v>
      </c>
      <c r="W1211" t="s">
        <v>584</v>
      </c>
      <c r="X1211" t="s">
        <v>585</v>
      </c>
      <c r="Y1211" t="s">
        <v>104</v>
      </c>
    </row>
    <row r="1212" spans="1:25">
      <c r="A1212">
        <v>10286</v>
      </c>
      <c r="B1212">
        <v>38</v>
      </c>
      <c r="C1212">
        <v>57.2</v>
      </c>
      <c r="D1212">
        <v>1</v>
      </c>
      <c r="E1212">
        <v>2173.6</v>
      </c>
      <c r="F1212" t="s">
        <v>795</v>
      </c>
      <c r="G1212" t="s">
        <v>93</v>
      </c>
      <c r="H1212">
        <v>3</v>
      </c>
      <c r="I1212">
        <v>8</v>
      </c>
      <c r="J1212">
        <v>2004</v>
      </c>
      <c r="K1212" t="s">
        <v>94</v>
      </c>
      <c r="L1212">
        <v>62</v>
      </c>
      <c r="M1212" t="s">
        <v>793</v>
      </c>
      <c r="N1212" t="s">
        <v>520</v>
      </c>
      <c r="O1212" t="s">
        <v>521</v>
      </c>
      <c r="P1212" t="s">
        <v>522</v>
      </c>
      <c r="R1212" t="s">
        <v>116</v>
      </c>
      <c r="T1212">
        <v>75012</v>
      </c>
      <c r="U1212" t="s">
        <v>109</v>
      </c>
      <c r="V1212" t="s">
        <v>110</v>
      </c>
      <c r="W1212" t="s">
        <v>523</v>
      </c>
      <c r="X1212" t="s">
        <v>524</v>
      </c>
      <c r="Y1212" t="s">
        <v>104</v>
      </c>
    </row>
    <row r="1213" spans="1:25">
      <c r="A1213">
        <v>10299</v>
      </c>
      <c r="B1213">
        <v>39</v>
      </c>
      <c r="C1213">
        <v>55.95</v>
      </c>
      <c r="D1213">
        <v>3</v>
      </c>
      <c r="E1213">
        <v>2182.0500000000002</v>
      </c>
      <c r="F1213" t="s">
        <v>203</v>
      </c>
      <c r="G1213" t="s">
        <v>93</v>
      </c>
      <c r="H1213">
        <v>3</v>
      </c>
      <c r="I1213">
        <v>9</v>
      </c>
      <c r="J1213">
        <v>2004</v>
      </c>
      <c r="K1213" t="s">
        <v>94</v>
      </c>
      <c r="L1213">
        <v>62</v>
      </c>
      <c r="M1213" t="s">
        <v>793</v>
      </c>
      <c r="N1213" t="s">
        <v>204</v>
      </c>
      <c r="O1213" t="s">
        <v>205</v>
      </c>
      <c r="P1213" t="s">
        <v>206</v>
      </c>
      <c r="R1213" t="s">
        <v>207</v>
      </c>
      <c r="T1213">
        <v>21240</v>
      </c>
      <c r="U1213" t="s">
        <v>208</v>
      </c>
      <c r="V1213" t="s">
        <v>110</v>
      </c>
      <c r="W1213" t="s">
        <v>209</v>
      </c>
      <c r="X1213" t="s">
        <v>210</v>
      </c>
      <c r="Y1213" t="s">
        <v>104</v>
      </c>
    </row>
    <row r="1214" spans="1:25">
      <c r="A1214">
        <v>10310</v>
      </c>
      <c r="B1214">
        <v>42</v>
      </c>
      <c r="C1214">
        <v>67.14</v>
      </c>
      <c r="D1214">
        <v>16</v>
      </c>
      <c r="E1214">
        <v>2819.88</v>
      </c>
      <c r="F1214" t="s">
        <v>592</v>
      </c>
      <c r="G1214" t="s">
        <v>93</v>
      </c>
      <c r="H1214">
        <v>4</v>
      </c>
      <c r="I1214">
        <v>10</v>
      </c>
      <c r="J1214">
        <v>2004</v>
      </c>
      <c r="K1214" t="s">
        <v>94</v>
      </c>
      <c r="L1214">
        <v>62</v>
      </c>
      <c r="M1214" t="s">
        <v>793</v>
      </c>
      <c r="N1214" t="s">
        <v>562</v>
      </c>
      <c r="O1214" t="s">
        <v>563</v>
      </c>
      <c r="P1214" t="s">
        <v>564</v>
      </c>
      <c r="R1214" t="s">
        <v>565</v>
      </c>
      <c r="T1214">
        <v>50739</v>
      </c>
      <c r="U1214" t="s">
        <v>566</v>
      </c>
      <c r="V1214" t="s">
        <v>110</v>
      </c>
      <c r="W1214" t="s">
        <v>567</v>
      </c>
      <c r="X1214" t="s">
        <v>568</v>
      </c>
      <c r="Y1214" t="s">
        <v>104</v>
      </c>
    </row>
    <row r="1215" spans="1:25">
      <c r="A1215">
        <v>10319</v>
      </c>
      <c r="B1215">
        <v>44</v>
      </c>
      <c r="C1215">
        <v>59.06</v>
      </c>
      <c r="D1215">
        <v>4</v>
      </c>
      <c r="E1215">
        <v>2598.64</v>
      </c>
      <c r="F1215" s="4">
        <v>38057</v>
      </c>
      <c r="G1215" t="s">
        <v>93</v>
      </c>
      <c r="H1215">
        <v>4</v>
      </c>
      <c r="I1215">
        <v>11</v>
      </c>
      <c r="J1215">
        <v>2004</v>
      </c>
      <c r="K1215" t="s">
        <v>94</v>
      </c>
      <c r="L1215">
        <v>62</v>
      </c>
      <c r="M1215" t="s">
        <v>793</v>
      </c>
      <c r="N1215" t="s">
        <v>643</v>
      </c>
      <c r="O1215">
        <v>2125551957</v>
      </c>
      <c r="P1215" t="s">
        <v>644</v>
      </c>
      <c r="Q1215" t="s">
        <v>645</v>
      </c>
      <c r="R1215" t="s">
        <v>98</v>
      </c>
      <c r="S1215" t="s">
        <v>99</v>
      </c>
      <c r="T1215">
        <v>10022</v>
      </c>
      <c r="U1215" t="s">
        <v>100</v>
      </c>
      <c r="V1215" t="s">
        <v>101</v>
      </c>
      <c r="W1215" t="s">
        <v>646</v>
      </c>
      <c r="X1215" t="s">
        <v>647</v>
      </c>
      <c r="Y1215" t="s">
        <v>104</v>
      </c>
    </row>
    <row r="1216" spans="1:25">
      <c r="A1216">
        <v>10330</v>
      </c>
      <c r="B1216">
        <v>29</v>
      </c>
      <c r="C1216">
        <v>69.63</v>
      </c>
      <c r="D1216">
        <v>2</v>
      </c>
      <c r="E1216">
        <v>2019.27</v>
      </c>
      <c r="F1216" t="s">
        <v>791</v>
      </c>
      <c r="G1216" t="s">
        <v>93</v>
      </c>
      <c r="H1216">
        <v>4</v>
      </c>
      <c r="I1216">
        <v>11</v>
      </c>
      <c r="J1216">
        <v>2004</v>
      </c>
      <c r="K1216" t="s">
        <v>94</v>
      </c>
      <c r="L1216">
        <v>62</v>
      </c>
      <c r="M1216" t="s">
        <v>793</v>
      </c>
      <c r="N1216" t="s">
        <v>547</v>
      </c>
      <c r="O1216" t="s">
        <v>548</v>
      </c>
      <c r="P1216" t="s">
        <v>549</v>
      </c>
      <c r="R1216" t="s">
        <v>550</v>
      </c>
      <c r="T1216" t="s">
        <v>551</v>
      </c>
      <c r="U1216" t="s">
        <v>552</v>
      </c>
      <c r="V1216" t="s">
        <v>288</v>
      </c>
      <c r="W1216" t="s">
        <v>553</v>
      </c>
      <c r="X1216" t="s">
        <v>554</v>
      </c>
      <c r="Y1216" t="s">
        <v>104</v>
      </c>
    </row>
    <row r="1217" spans="1:25">
      <c r="A1217">
        <v>10342</v>
      </c>
      <c r="B1217">
        <v>26</v>
      </c>
      <c r="C1217">
        <v>55.95</v>
      </c>
      <c r="D1217">
        <v>8</v>
      </c>
      <c r="E1217">
        <v>1454.7</v>
      </c>
      <c r="F1217" t="s">
        <v>224</v>
      </c>
      <c r="G1217" t="s">
        <v>93</v>
      </c>
      <c r="H1217">
        <v>4</v>
      </c>
      <c r="I1217">
        <v>11</v>
      </c>
      <c r="J1217">
        <v>2004</v>
      </c>
      <c r="K1217" t="s">
        <v>94</v>
      </c>
      <c r="L1217">
        <v>62</v>
      </c>
      <c r="M1217" t="s">
        <v>793</v>
      </c>
      <c r="N1217" t="s">
        <v>162</v>
      </c>
      <c r="O1217" t="s">
        <v>163</v>
      </c>
      <c r="P1217" t="s">
        <v>164</v>
      </c>
      <c r="Q1217" t="s">
        <v>165</v>
      </c>
      <c r="R1217" t="s">
        <v>166</v>
      </c>
      <c r="S1217" t="s">
        <v>167</v>
      </c>
      <c r="T1217">
        <v>3004</v>
      </c>
      <c r="U1217" t="s">
        <v>168</v>
      </c>
      <c r="V1217" t="s">
        <v>169</v>
      </c>
      <c r="W1217" t="s">
        <v>170</v>
      </c>
      <c r="X1217" t="s">
        <v>171</v>
      </c>
      <c r="Y1217" t="s">
        <v>104</v>
      </c>
    </row>
    <row r="1218" spans="1:25">
      <c r="A1218">
        <v>10355</v>
      </c>
      <c r="B1218">
        <v>31</v>
      </c>
      <c r="C1218">
        <v>53.47</v>
      </c>
      <c r="D1218">
        <v>1</v>
      </c>
      <c r="E1218">
        <v>1657.57</v>
      </c>
      <c r="F1218" s="4">
        <v>38180</v>
      </c>
      <c r="G1218" t="s">
        <v>93</v>
      </c>
      <c r="H1218">
        <v>4</v>
      </c>
      <c r="I1218">
        <v>12</v>
      </c>
      <c r="J1218">
        <v>2004</v>
      </c>
      <c r="K1218" t="s">
        <v>94</v>
      </c>
      <c r="L1218">
        <v>62</v>
      </c>
      <c r="M1218" t="s">
        <v>793</v>
      </c>
      <c r="N1218" t="s">
        <v>257</v>
      </c>
      <c r="O1218" t="s">
        <v>258</v>
      </c>
      <c r="P1218" t="s">
        <v>259</v>
      </c>
      <c r="R1218" t="s">
        <v>260</v>
      </c>
      <c r="T1218">
        <v>28034</v>
      </c>
      <c r="U1218" t="s">
        <v>261</v>
      </c>
      <c r="V1218" t="s">
        <v>110</v>
      </c>
      <c r="W1218" t="s">
        <v>262</v>
      </c>
      <c r="X1218" t="s">
        <v>263</v>
      </c>
      <c r="Y1218" t="s">
        <v>104</v>
      </c>
    </row>
    <row r="1219" spans="1:25">
      <c r="A1219">
        <v>10363</v>
      </c>
      <c r="B1219">
        <v>32</v>
      </c>
      <c r="C1219">
        <v>89.12</v>
      </c>
      <c r="D1219">
        <v>12</v>
      </c>
      <c r="E1219">
        <v>2851.84</v>
      </c>
      <c r="F1219" s="4">
        <v>38504</v>
      </c>
      <c r="G1219" t="s">
        <v>93</v>
      </c>
      <c r="H1219">
        <v>1</v>
      </c>
      <c r="I1219">
        <v>1</v>
      </c>
      <c r="J1219">
        <v>2005</v>
      </c>
      <c r="K1219" t="s">
        <v>94</v>
      </c>
      <c r="L1219">
        <v>62</v>
      </c>
      <c r="M1219" t="s">
        <v>793</v>
      </c>
      <c r="N1219" t="s">
        <v>593</v>
      </c>
      <c r="O1219" t="s">
        <v>594</v>
      </c>
      <c r="P1219" t="s">
        <v>595</v>
      </c>
      <c r="R1219" t="s">
        <v>596</v>
      </c>
      <c r="T1219" t="s">
        <v>597</v>
      </c>
      <c r="U1219" t="s">
        <v>208</v>
      </c>
      <c r="V1219" t="s">
        <v>110</v>
      </c>
      <c r="W1219" t="s">
        <v>598</v>
      </c>
      <c r="X1219" t="s">
        <v>599</v>
      </c>
      <c r="Y1219" t="s">
        <v>104</v>
      </c>
    </row>
    <row r="1220" spans="1:25">
      <c r="A1220">
        <v>10378</v>
      </c>
      <c r="B1220">
        <v>28</v>
      </c>
      <c r="C1220">
        <v>100</v>
      </c>
      <c r="D1220">
        <v>9</v>
      </c>
      <c r="E1220">
        <v>4609.6400000000003</v>
      </c>
      <c r="F1220" s="4">
        <v>38627</v>
      </c>
      <c r="G1220" t="s">
        <v>93</v>
      </c>
      <c r="H1220">
        <v>1</v>
      </c>
      <c r="I1220">
        <v>2</v>
      </c>
      <c r="J1220">
        <v>2005</v>
      </c>
      <c r="K1220" t="s">
        <v>94</v>
      </c>
      <c r="L1220">
        <v>62</v>
      </c>
      <c r="M1220" t="s">
        <v>793</v>
      </c>
      <c r="N1220" t="s">
        <v>257</v>
      </c>
      <c r="O1220" t="s">
        <v>258</v>
      </c>
      <c r="P1220" t="s">
        <v>259</v>
      </c>
      <c r="R1220" t="s">
        <v>260</v>
      </c>
      <c r="T1220">
        <v>28034</v>
      </c>
      <c r="U1220" t="s">
        <v>261</v>
      </c>
      <c r="V1220" t="s">
        <v>110</v>
      </c>
      <c r="W1220" t="s">
        <v>262</v>
      </c>
      <c r="X1220" t="s">
        <v>263</v>
      </c>
      <c r="Y1220" t="s">
        <v>119</v>
      </c>
    </row>
    <row r="1221" spans="1:25">
      <c r="A1221">
        <v>10390</v>
      </c>
      <c r="B1221">
        <v>36</v>
      </c>
      <c r="C1221">
        <v>100</v>
      </c>
      <c r="D1221">
        <v>2</v>
      </c>
      <c r="E1221">
        <v>5079.96</v>
      </c>
      <c r="F1221" s="4">
        <v>38445</v>
      </c>
      <c r="G1221" t="s">
        <v>93</v>
      </c>
      <c r="H1221">
        <v>1</v>
      </c>
      <c r="I1221">
        <v>3</v>
      </c>
      <c r="J1221">
        <v>2005</v>
      </c>
      <c r="K1221" t="s">
        <v>94</v>
      </c>
      <c r="L1221">
        <v>62</v>
      </c>
      <c r="M1221" t="s">
        <v>793</v>
      </c>
      <c r="N1221" t="s">
        <v>367</v>
      </c>
      <c r="O1221">
        <v>4155551450</v>
      </c>
      <c r="P1221" t="s">
        <v>368</v>
      </c>
      <c r="R1221" t="s">
        <v>369</v>
      </c>
      <c r="S1221" t="s">
        <v>124</v>
      </c>
      <c r="T1221">
        <v>97562</v>
      </c>
      <c r="U1221" t="s">
        <v>100</v>
      </c>
      <c r="V1221" t="s">
        <v>101</v>
      </c>
      <c r="W1221" t="s">
        <v>370</v>
      </c>
      <c r="X1221" t="s">
        <v>371</v>
      </c>
      <c r="Y1221" t="s">
        <v>119</v>
      </c>
    </row>
    <row r="1222" spans="1:25">
      <c r="A1222">
        <v>10403</v>
      </c>
      <c r="B1222">
        <v>36</v>
      </c>
      <c r="C1222">
        <v>52.22</v>
      </c>
      <c r="D1222">
        <v>1</v>
      </c>
      <c r="E1222">
        <v>1879.92</v>
      </c>
      <c r="F1222" s="4">
        <v>38568</v>
      </c>
      <c r="G1222" t="s">
        <v>93</v>
      </c>
      <c r="H1222">
        <v>2</v>
      </c>
      <c r="I1222">
        <v>4</v>
      </c>
      <c r="J1222">
        <v>2005</v>
      </c>
      <c r="K1222" t="s">
        <v>94</v>
      </c>
      <c r="L1222">
        <v>62</v>
      </c>
      <c r="M1222" t="s">
        <v>793</v>
      </c>
      <c r="N1222" t="s">
        <v>247</v>
      </c>
      <c r="O1222" t="s">
        <v>248</v>
      </c>
      <c r="P1222" t="s">
        <v>249</v>
      </c>
      <c r="R1222" t="s">
        <v>250</v>
      </c>
      <c r="T1222" t="s">
        <v>251</v>
      </c>
      <c r="U1222" t="s">
        <v>252</v>
      </c>
      <c r="V1222" t="s">
        <v>110</v>
      </c>
      <c r="W1222" t="s">
        <v>253</v>
      </c>
      <c r="X1222" t="s">
        <v>254</v>
      </c>
      <c r="Y1222" t="s">
        <v>104</v>
      </c>
    </row>
    <row r="1223" spans="1:25">
      <c r="A1223">
        <v>10106</v>
      </c>
      <c r="B1223">
        <v>41</v>
      </c>
      <c r="C1223">
        <v>100</v>
      </c>
      <c r="D1223">
        <v>17</v>
      </c>
      <c r="E1223">
        <v>4774.8599999999997</v>
      </c>
      <c r="F1223" t="s">
        <v>725</v>
      </c>
      <c r="G1223" t="s">
        <v>93</v>
      </c>
      <c r="H1223">
        <v>1</v>
      </c>
      <c r="I1223">
        <v>2</v>
      </c>
      <c r="J1223">
        <v>2003</v>
      </c>
      <c r="K1223" t="s">
        <v>697</v>
      </c>
      <c r="L1223">
        <v>105</v>
      </c>
      <c r="M1223" t="s">
        <v>796</v>
      </c>
      <c r="N1223" t="s">
        <v>703</v>
      </c>
      <c r="O1223" t="s">
        <v>704</v>
      </c>
      <c r="P1223" t="s">
        <v>705</v>
      </c>
      <c r="R1223" t="s">
        <v>706</v>
      </c>
      <c r="T1223">
        <v>24100</v>
      </c>
      <c r="U1223" t="s">
        <v>352</v>
      </c>
      <c r="V1223" t="s">
        <v>110</v>
      </c>
      <c r="W1223" t="s">
        <v>707</v>
      </c>
      <c r="X1223" t="s">
        <v>708</v>
      </c>
      <c r="Y1223" t="s">
        <v>119</v>
      </c>
    </row>
    <row r="1224" spans="1:25">
      <c r="A1224">
        <v>10119</v>
      </c>
      <c r="B1224">
        <v>27</v>
      </c>
      <c r="C1224">
        <v>99.52</v>
      </c>
      <c r="D1224">
        <v>8</v>
      </c>
      <c r="E1224">
        <v>2687.04</v>
      </c>
      <c r="F1224" t="s">
        <v>432</v>
      </c>
      <c r="G1224" t="s">
        <v>93</v>
      </c>
      <c r="H1224">
        <v>2</v>
      </c>
      <c r="I1224">
        <v>4</v>
      </c>
      <c r="J1224">
        <v>2003</v>
      </c>
      <c r="K1224" t="s">
        <v>697</v>
      </c>
      <c r="L1224">
        <v>105</v>
      </c>
      <c r="M1224" t="s">
        <v>796</v>
      </c>
      <c r="N1224" t="s">
        <v>225</v>
      </c>
      <c r="O1224" t="s">
        <v>226</v>
      </c>
      <c r="P1224" t="s">
        <v>227</v>
      </c>
      <c r="R1224" t="s">
        <v>228</v>
      </c>
      <c r="T1224">
        <v>5020</v>
      </c>
      <c r="U1224" t="s">
        <v>229</v>
      </c>
      <c r="V1224" t="s">
        <v>110</v>
      </c>
      <c r="W1224" t="s">
        <v>230</v>
      </c>
      <c r="X1224" t="s">
        <v>231</v>
      </c>
      <c r="Y1224" t="s">
        <v>104</v>
      </c>
    </row>
    <row r="1225" spans="1:25">
      <c r="A1225">
        <v>10130</v>
      </c>
      <c r="B1225">
        <v>33</v>
      </c>
      <c r="C1225">
        <v>100</v>
      </c>
      <c r="D1225">
        <v>1</v>
      </c>
      <c r="E1225">
        <v>3423.75</v>
      </c>
      <c r="F1225" t="s">
        <v>728</v>
      </c>
      <c r="G1225" t="s">
        <v>93</v>
      </c>
      <c r="H1225">
        <v>2</v>
      </c>
      <c r="I1225">
        <v>6</v>
      </c>
      <c r="J1225">
        <v>2003</v>
      </c>
      <c r="K1225" t="s">
        <v>697</v>
      </c>
      <c r="L1225">
        <v>105</v>
      </c>
      <c r="M1225" t="s">
        <v>796</v>
      </c>
      <c r="N1225" t="s">
        <v>777</v>
      </c>
      <c r="O1225">
        <v>6175558428</v>
      </c>
      <c r="P1225" t="s">
        <v>778</v>
      </c>
      <c r="R1225" t="s">
        <v>381</v>
      </c>
      <c r="S1225" t="s">
        <v>200</v>
      </c>
      <c r="T1225">
        <v>58339</v>
      </c>
      <c r="U1225" t="s">
        <v>100</v>
      </c>
      <c r="V1225" t="s">
        <v>101</v>
      </c>
      <c r="W1225" t="s">
        <v>671</v>
      </c>
      <c r="X1225" t="s">
        <v>336</v>
      </c>
      <c r="Y1225" t="s">
        <v>119</v>
      </c>
    </row>
    <row r="1226" spans="1:25">
      <c r="A1226">
        <v>10143</v>
      </c>
      <c r="B1226">
        <v>34</v>
      </c>
      <c r="C1226">
        <v>100</v>
      </c>
      <c r="D1226">
        <v>12</v>
      </c>
      <c r="E1226">
        <v>3455.76</v>
      </c>
      <c r="F1226" s="4">
        <v>37902</v>
      </c>
      <c r="G1226" t="s">
        <v>93</v>
      </c>
      <c r="H1226">
        <v>3</v>
      </c>
      <c r="I1226">
        <v>8</v>
      </c>
      <c r="J1226">
        <v>2003</v>
      </c>
      <c r="K1226" t="s">
        <v>697</v>
      </c>
      <c r="L1226">
        <v>105</v>
      </c>
      <c r="M1226" t="s">
        <v>796</v>
      </c>
      <c r="N1226" t="s">
        <v>439</v>
      </c>
      <c r="O1226">
        <v>5085559555</v>
      </c>
      <c r="P1226" t="s">
        <v>440</v>
      </c>
      <c r="R1226" t="s">
        <v>244</v>
      </c>
      <c r="S1226" t="s">
        <v>200</v>
      </c>
      <c r="T1226">
        <v>50553</v>
      </c>
      <c r="U1226" t="s">
        <v>100</v>
      </c>
      <c r="V1226" t="s">
        <v>101</v>
      </c>
      <c r="W1226" t="s">
        <v>441</v>
      </c>
      <c r="X1226" t="s">
        <v>442</v>
      </c>
      <c r="Y1226" t="s">
        <v>119</v>
      </c>
    </row>
    <row r="1227" spans="1:25">
      <c r="A1227">
        <v>10155</v>
      </c>
      <c r="B1227">
        <v>29</v>
      </c>
      <c r="C1227">
        <v>100</v>
      </c>
      <c r="D1227">
        <v>10</v>
      </c>
      <c r="E1227">
        <v>3622.97</v>
      </c>
      <c r="F1227" s="4">
        <v>37782</v>
      </c>
      <c r="G1227" t="s">
        <v>93</v>
      </c>
      <c r="H1227">
        <v>4</v>
      </c>
      <c r="I1227">
        <v>10</v>
      </c>
      <c r="J1227">
        <v>2003</v>
      </c>
      <c r="K1227" t="s">
        <v>697</v>
      </c>
      <c r="L1227">
        <v>105</v>
      </c>
      <c r="M1227" t="s">
        <v>796</v>
      </c>
      <c r="N1227" t="s">
        <v>204</v>
      </c>
      <c r="O1227" t="s">
        <v>205</v>
      </c>
      <c r="P1227" t="s">
        <v>206</v>
      </c>
      <c r="R1227" t="s">
        <v>207</v>
      </c>
      <c r="T1227">
        <v>21240</v>
      </c>
      <c r="U1227" t="s">
        <v>208</v>
      </c>
      <c r="V1227" t="s">
        <v>110</v>
      </c>
      <c r="W1227" t="s">
        <v>209</v>
      </c>
      <c r="X1227" t="s">
        <v>210</v>
      </c>
      <c r="Y1227" t="s">
        <v>119</v>
      </c>
    </row>
    <row r="1228" spans="1:25">
      <c r="A1228">
        <v>10167</v>
      </c>
      <c r="B1228">
        <v>34</v>
      </c>
      <c r="C1228">
        <v>100</v>
      </c>
      <c r="D1228">
        <v>6</v>
      </c>
      <c r="E1228">
        <v>3599.58</v>
      </c>
      <c r="F1228" t="s">
        <v>443</v>
      </c>
      <c r="G1228" t="s">
        <v>444</v>
      </c>
      <c r="H1228">
        <v>4</v>
      </c>
      <c r="I1228">
        <v>10</v>
      </c>
      <c r="J1228">
        <v>2003</v>
      </c>
      <c r="K1228" t="s">
        <v>697</v>
      </c>
      <c r="L1228">
        <v>105</v>
      </c>
      <c r="M1228" t="s">
        <v>796</v>
      </c>
      <c r="N1228" t="s">
        <v>355</v>
      </c>
      <c r="O1228" t="s">
        <v>356</v>
      </c>
      <c r="P1228" t="s">
        <v>357</v>
      </c>
      <c r="R1228" t="s">
        <v>358</v>
      </c>
      <c r="T1228" t="s">
        <v>359</v>
      </c>
      <c r="U1228" t="s">
        <v>273</v>
      </c>
      <c r="V1228" t="s">
        <v>110</v>
      </c>
      <c r="W1228" t="s">
        <v>360</v>
      </c>
      <c r="X1228" t="s">
        <v>295</v>
      </c>
      <c r="Y1228" t="s">
        <v>119</v>
      </c>
    </row>
    <row r="1229" spans="1:25">
      <c r="A1229">
        <v>10178</v>
      </c>
      <c r="B1229">
        <v>48</v>
      </c>
      <c r="C1229">
        <v>100</v>
      </c>
      <c r="D1229">
        <v>9</v>
      </c>
      <c r="E1229">
        <v>5386.56</v>
      </c>
      <c r="F1229" s="4">
        <v>37844</v>
      </c>
      <c r="G1229" t="s">
        <v>93</v>
      </c>
      <c r="H1229">
        <v>4</v>
      </c>
      <c r="I1229">
        <v>11</v>
      </c>
      <c r="J1229">
        <v>2003</v>
      </c>
      <c r="K1229" t="s">
        <v>697</v>
      </c>
      <c r="L1229">
        <v>105</v>
      </c>
      <c r="M1229" t="s">
        <v>796</v>
      </c>
      <c r="N1229" t="s">
        <v>445</v>
      </c>
      <c r="O1229" t="s">
        <v>446</v>
      </c>
      <c r="P1229" t="s">
        <v>447</v>
      </c>
      <c r="R1229" t="s">
        <v>448</v>
      </c>
      <c r="T1229">
        <v>31000</v>
      </c>
      <c r="U1229" t="s">
        <v>109</v>
      </c>
      <c r="V1229" t="s">
        <v>110</v>
      </c>
      <c r="W1229" t="s">
        <v>449</v>
      </c>
      <c r="X1229" t="s">
        <v>450</v>
      </c>
      <c r="Y1229" t="s">
        <v>119</v>
      </c>
    </row>
    <row r="1230" spans="1:25">
      <c r="A1230">
        <v>10186</v>
      </c>
      <c r="B1230">
        <v>46</v>
      </c>
      <c r="C1230">
        <v>100</v>
      </c>
      <c r="D1230">
        <v>6</v>
      </c>
      <c r="E1230">
        <v>4918.78</v>
      </c>
      <c r="F1230" t="s">
        <v>451</v>
      </c>
      <c r="G1230" t="s">
        <v>93</v>
      </c>
      <c r="H1230">
        <v>4</v>
      </c>
      <c r="I1230">
        <v>11</v>
      </c>
      <c r="J1230">
        <v>2003</v>
      </c>
      <c r="K1230" t="s">
        <v>697</v>
      </c>
      <c r="L1230">
        <v>105</v>
      </c>
      <c r="M1230" t="s">
        <v>796</v>
      </c>
      <c r="N1230" t="s">
        <v>452</v>
      </c>
      <c r="O1230" t="s">
        <v>453</v>
      </c>
      <c r="P1230" t="s">
        <v>454</v>
      </c>
      <c r="R1230" t="s">
        <v>436</v>
      </c>
      <c r="T1230" t="s">
        <v>455</v>
      </c>
      <c r="U1230" t="s">
        <v>252</v>
      </c>
      <c r="V1230" t="s">
        <v>110</v>
      </c>
      <c r="W1230" t="s">
        <v>456</v>
      </c>
      <c r="X1230" t="s">
        <v>457</v>
      </c>
      <c r="Y1230" t="s">
        <v>119</v>
      </c>
    </row>
    <row r="1231" spans="1:25">
      <c r="A1231">
        <v>10197</v>
      </c>
      <c r="B1231">
        <v>22</v>
      </c>
      <c r="C1231">
        <v>100</v>
      </c>
      <c r="D1231">
        <v>3</v>
      </c>
      <c r="E1231">
        <v>2538.8000000000002</v>
      </c>
      <c r="F1231" t="s">
        <v>458</v>
      </c>
      <c r="G1231" t="s">
        <v>93</v>
      </c>
      <c r="H1231">
        <v>4</v>
      </c>
      <c r="I1231">
        <v>11</v>
      </c>
      <c r="J1231">
        <v>2003</v>
      </c>
      <c r="K1231" t="s">
        <v>697</v>
      </c>
      <c r="L1231">
        <v>105</v>
      </c>
      <c r="M1231" t="s">
        <v>796</v>
      </c>
      <c r="N1231" t="s">
        <v>459</v>
      </c>
      <c r="O1231" t="s">
        <v>460</v>
      </c>
      <c r="P1231" t="s">
        <v>461</v>
      </c>
      <c r="R1231" t="s">
        <v>462</v>
      </c>
      <c r="T1231">
        <v>8022</v>
      </c>
      <c r="U1231" t="s">
        <v>261</v>
      </c>
      <c r="V1231" t="s">
        <v>110</v>
      </c>
      <c r="W1231" t="s">
        <v>463</v>
      </c>
      <c r="X1231" t="s">
        <v>464</v>
      </c>
      <c r="Y1231" t="s">
        <v>104</v>
      </c>
    </row>
    <row r="1232" spans="1:25">
      <c r="A1232">
        <v>10209</v>
      </c>
      <c r="B1232">
        <v>20</v>
      </c>
      <c r="C1232">
        <v>100</v>
      </c>
      <c r="D1232">
        <v>5</v>
      </c>
      <c r="E1232">
        <v>2498.6</v>
      </c>
      <c r="F1232" s="4">
        <v>38231</v>
      </c>
      <c r="G1232" t="s">
        <v>93</v>
      </c>
      <c r="H1232">
        <v>1</v>
      </c>
      <c r="I1232">
        <v>1</v>
      </c>
      <c r="J1232">
        <v>2004</v>
      </c>
      <c r="K1232" t="s">
        <v>697</v>
      </c>
      <c r="L1232">
        <v>105</v>
      </c>
      <c r="M1232" t="s">
        <v>796</v>
      </c>
      <c r="N1232" t="s">
        <v>465</v>
      </c>
      <c r="O1232">
        <v>2155554369</v>
      </c>
      <c r="P1232" t="s">
        <v>466</v>
      </c>
      <c r="R1232" t="s">
        <v>467</v>
      </c>
      <c r="S1232" t="s">
        <v>124</v>
      </c>
      <c r="U1232" t="s">
        <v>100</v>
      </c>
      <c r="V1232" t="s">
        <v>101</v>
      </c>
      <c r="W1232" t="s">
        <v>468</v>
      </c>
      <c r="X1232" t="s">
        <v>176</v>
      </c>
      <c r="Y1232" t="s">
        <v>104</v>
      </c>
    </row>
    <row r="1233" spans="1:25">
      <c r="A1233">
        <v>10222</v>
      </c>
      <c r="B1233">
        <v>45</v>
      </c>
      <c r="C1233">
        <v>85.75</v>
      </c>
      <c r="D1233">
        <v>9</v>
      </c>
      <c r="E1233">
        <v>3858.75</v>
      </c>
      <c r="F1233" t="s">
        <v>469</v>
      </c>
      <c r="G1233" t="s">
        <v>93</v>
      </c>
      <c r="H1233">
        <v>1</v>
      </c>
      <c r="I1233">
        <v>2</v>
      </c>
      <c r="J1233">
        <v>2004</v>
      </c>
      <c r="K1233" t="s">
        <v>697</v>
      </c>
      <c r="L1233">
        <v>105</v>
      </c>
      <c r="M1233" t="s">
        <v>796</v>
      </c>
      <c r="N1233" t="s">
        <v>470</v>
      </c>
      <c r="O1233">
        <v>7605558146</v>
      </c>
      <c r="P1233" t="s">
        <v>471</v>
      </c>
      <c r="R1233" t="s">
        <v>472</v>
      </c>
      <c r="S1233" t="s">
        <v>124</v>
      </c>
      <c r="T1233">
        <v>91217</v>
      </c>
      <c r="U1233" t="s">
        <v>100</v>
      </c>
      <c r="V1233" t="s">
        <v>101</v>
      </c>
      <c r="W1233" t="s">
        <v>6</v>
      </c>
      <c r="X1233" t="s">
        <v>371</v>
      </c>
      <c r="Y1233" t="s">
        <v>119</v>
      </c>
    </row>
    <row r="1234" spans="1:25">
      <c r="A1234">
        <v>10249</v>
      </c>
      <c r="B1234">
        <v>46</v>
      </c>
      <c r="C1234">
        <v>100</v>
      </c>
      <c r="D1234">
        <v>5</v>
      </c>
      <c r="E1234">
        <v>5600.5</v>
      </c>
      <c r="F1234" s="4">
        <v>38204</v>
      </c>
      <c r="G1234" t="s">
        <v>93</v>
      </c>
      <c r="H1234">
        <v>2</v>
      </c>
      <c r="I1234">
        <v>5</v>
      </c>
      <c r="J1234">
        <v>2004</v>
      </c>
      <c r="K1234" t="s">
        <v>697</v>
      </c>
      <c r="L1234">
        <v>105</v>
      </c>
      <c r="M1234" t="s">
        <v>796</v>
      </c>
      <c r="N1234" t="s">
        <v>330</v>
      </c>
      <c r="O1234">
        <v>6175555555</v>
      </c>
      <c r="P1234" t="s">
        <v>331</v>
      </c>
      <c r="R1234" t="s">
        <v>199</v>
      </c>
      <c r="S1234" t="s">
        <v>200</v>
      </c>
      <c r="T1234">
        <v>51247</v>
      </c>
      <c r="U1234" t="s">
        <v>100</v>
      </c>
      <c r="V1234" t="s">
        <v>101</v>
      </c>
      <c r="W1234" t="s">
        <v>332</v>
      </c>
      <c r="X1234" t="s">
        <v>222</v>
      </c>
      <c r="Y1234" t="s">
        <v>119</v>
      </c>
    </row>
    <row r="1235" spans="1:25">
      <c r="A1235">
        <v>10262</v>
      </c>
      <c r="B1235">
        <v>34</v>
      </c>
      <c r="C1235">
        <v>100</v>
      </c>
      <c r="D1235">
        <v>14</v>
      </c>
      <c r="E1235">
        <v>4103.46</v>
      </c>
      <c r="F1235" t="s">
        <v>734</v>
      </c>
      <c r="G1235" t="s">
        <v>444</v>
      </c>
      <c r="H1235">
        <v>2</v>
      </c>
      <c r="I1235">
        <v>6</v>
      </c>
      <c r="J1235">
        <v>2004</v>
      </c>
      <c r="K1235" t="s">
        <v>697</v>
      </c>
      <c r="L1235">
        <v>105</v>
      </c>
      <c r="M1235" t="s">
        <v>796</v>
      </c>
      <c r="N1235" t="s">
        <v>257</v>
      </c>
      <c r="O1235" t="s">
        <v>258</v>
      </c>
      <c r="P1235" t="s">
        <v>259</v>
      </c>
      <c r="R1235" t="s">
        <v>260</v>
      </c>
      <c r="T1235">
        <v>28034</v>
      </c>
      <c r="U1235" t="s">
        <v>261</v>
      </c>
      <c r="V1235" t="s">
        <v>110</v>
      </c>
      <c r="W1235" t="s">
        <v>262</v>
      </c>
      <c r="X1235" t="s">
        <v>263</v>
      </c>
      <c r="Y1235" t="s">
        <v>119</v>
      </c>
    </row>
    <row r="1236" spans="1:25">
      <c r="A1236">
        <v>10273</v>
      </c>
      <c r="B1236">
        <v>50</v>
      </c>
      <c r="C1236">
        <v>85.75</v>
      </c>
      <c r="D1236">
        <v>1</v>
      </c>
      <c r="E1236">
        <v>4287.5</v>
      </c>
      <c r="F1236" t="s">
        <v>474</v>
      </c>
      <c r="G1236" t="s">
        <v>93</v>
      </c>
      <c r="H1236">
        <v>3</v>
      </c>
      <c r="I1236">
        <v>7</v>
      </c>
      <c r="J1236">
        <v>2004</v>
      </c>
      <c r="K1236" t="s">
        <v>697</v>
      </c>
      <c r="L1236">
        <v>105</v>
      </c>
      <c r="M1236" t="s">
        <v>796</v>
      </c>
      <c r="N1236" t="s">
        <v>475</v>
      </c>
      <c r="O1236" t="s">
        <v>476</v>
      </c>
      <c r="P1236" t="s">
        <v>477</v>
      </c>
      <c r="R1236" t="s">
        <v>478</v>
      </c>
      <c r="T1236" t="s">
        <v>479</v>
      </c>
      <c r="U1236" t="s">
        <v>480</v>
      </c>
      <c r="V1236" t="s">
        <v>110</v>
      </c>
      <c r="W1236" t="s">
        <v>481</v>
      </c>
      <c r="X1236" t="s">
        <v>482</v>
      </c>
      <c r="Y1236" t="s">
        <v>119</v>
      </c>
    </row>
    <row r="1237" spans="1:25">
      <c r="A1237">
        <v>10283</v>
      </c>
      <c r="B1237">
        <v>46</v>
      </c>
      <c r="C1237">
        <v>100</v>
      </c>
      <c r="D1237">
        <v>3</v>
      </c>
      <c r="E1237">
        <v>5795.54</v>
      </c>
      <c r="F1237" t="s">
        <v>483</v>
      </c>
      <c r="G1237" t="s">
        <v>93</v>
      </c>
      <c r="H1237">
        <v>3</v>
      </c>
      <c r="I1237">
        <v>8</v>
      </c>
      <c r="J1237">
        <v>2004</v>
      </c>
      <c r="K1237" t="s">
        <v>697</v>
      </c>
      <c r="L1237">
        <v>105</v>
      </c>
      <c r="M1237" t="s">
        <v>796</v>
      </c>
      <c r="N1237" t="s">
        <v>484</v>
      </c>
      <c r="O1237" t="s">
        <v>485</v>
      </c>
      <c r="P1237" t="s">
        <v>486</v>
      </c>
      <c r="R1237" t="s">
        <v>487</v>
      </c>
      <c r="S1237" t="s">
        <v>320</v>
      </c>
      <c r="T1237" t="s">
        <v>488</v>
      </c>
      <c r="U1237" t="s">
        <v>322</v>
      </c>
      <c r="V1237" t="s">
        <v>101</v>
      </c>
      <c r="W1237" t="s">
        <v>489</v>
      </c>
      <c r="X1237" t="s">
        <v>254</v>
      </c>
      <c r="Y1237" t="s">
        <v>119</v>
      </c>
    </row>
    <row r="1238" spans="1:25">
      <c r="A1238">
        <v>10296</v>
      </c>
      <c r="B1238">
        <v>22</v>
      </c>
      <c r="C1238">
        <v>84.7</v>
      </c>
      <c r="D1238">
        <v>12</v>
      </c>
      <c r="E1238">
        <v>1863.4</v>
      </c>
      <c r="F1238" t="s">
        <v>736</v>
      </c>
      <c r="G1238" t="s">
        <v>93</v>
      </c>
      <c r="H1238">
        <v>3</v>
      </c>
      <c r="I1238">
        <v>9</v>
      </c>
      <c r="J1238">
        <v>2004</v>
      </c>
      <c r="K1238" t="s">
        <v>697</v>
      </c>
      <c r="L1238">
        <v>105</v>
      </c>
      <c r="M1238" t="s">
        <v>796</v>
      </c>
      <c r="N1238" t="s">
        <v>737</v>
      </c>
      <c r="O1238" t="s">
        <v>738</v>
      </c>
      <c r="P1238" t="s">
        <v>739</v>
      </c>
      <c r="R1238" t="s">
        <v>740</v>
      </c>
      <c r="T1238">
        <v>80686</v>
      </c>
      <c r="U1238" t="s">
        <v>566</v>
      </c>
      <c r="V1238" t="s">
        <v>110</v>
      </c>
      <c r="W1238" t="s">
        <v>741</v>
      </c>
      <c r="X1238" t="s">
        <v>176</v>
      </c>
      <c r="Y1238" t="s">
        <v>104</v>
      </c>
    </row>
    <row r="1239" spans="1:25">
      <c r="A1239">
        <v>10307</v>
      </c>
      <c r="B1239">
        <v>48</v>
      </c>
      <c r="C1239">
        <v>86.81</v>
      </c>
      <c r="D1239">
        <v>6</v>
      </c>
      <c r="E1239">
        <v>4166.88</v>
      </c>
      <c r="F1239" t="s">
        <v>494</v>
      </c>
      <c r="G1239" t="s">
        <v>93</v>
      </c>
      <c r="H1239">
        <v>4</v>
      </c>
      <c r="I1239">
        <v>10</v>
      </c>
      <c r="J1239">
        <v>2004</v>
      </c>
      <c r="K1239" t="s">
        <v>697</v>
      </c>
      <c r="L1239">
        <v>105</v>
      </c>
      <c r="M1239" t="s">
        <v>796</v>
      </c>
      <c r="N1239" t="s">
        <v>304</v>
      </c>
      <c r="O1239">
        <v>2155554695</v>
      </c>
      <c r="P1239" t="s">
        <v>305</v>
      </c>
      <c r="R1239" t="s">
        <v>306</v>
      </c>
      <c r="S1239" t="s">
        <v>221</v>
      </c>
      <c r="T1239">
        <v>71270</v>
      </c>
      <c r="U1239" t="s">
        <v>100</v>
      </c>
      <c r="V1239" t="s">
        <v>101</v>
      </c>
      <c r="W1239" t="s">
        <v>307</v>
      </c>
      <c r="X1239" t="s">
        <v>308</v>
      </c>
      <c r="Y1239" t="s">
        <v>119</v>
      </c>
    </row>
    <row r="1240" spans="1:25">
      <c r="A1240">
        <v>10316</v>
      </c>
      <c r="B1240">
        <v>47</v>
      </c>
      <c r="C1240">
        <v>86.81</v>
      </c>
      <c r="D1240">
        <v>14</v>
      </c>
      <c r="E1240">
        <v>4080.07</v>
      </c>
      <c r="F1240" s="4">
        <v>37997</v>
      </c>
      <c r="G1240" t="s">
        <v>93</v>
      </c>
      <c r="H1240">
        <v>4</v>
      </c>
      <c r="I1240">
        <v>11</v>
      </c>
      <c r="J1240">
        <v>2004</v>
      </c>
      <c r="K1240" t="s">
        <v>697</v>
      </c>
      <c r="L1240">
        <v>105</v>
      </c>
      <c r="M1240" t="s">
        <v>796</v>
      </c>
      <c r="N1240" t="s">
        <v>495</v>
      </c>
      <c r="O1240" t="s">
        <v>496</v>
      </c>
      <c r="P1240" t="s">
        <v>497</v>
      </c>
      <c r="R1240" t="s">
        <v>498</v>
      </c>
      <c r="S1240" t="s">
        <v>499</v>
      </c>
      <c r="T1240" t="s">
        <v>500</v>
      </c>
      <c r="U1240" t="s">
        <v>252</v>
      </c>
      <c r="V1240" t="s">
        <v>110</v>
      </c>
      <c r="W1240" t="s">
        <v>501</v>
      </c>
      <c r="X1240" t="s">
        <v>502</v>
      </c>
      <c r="Y1240" t="s">
        <v>119</v>
      </c>
    </row>
    <row r="1241" spans="1:25">
      <c r="A1241">
        <v>10328</v>
      </c>
      <c r="B1241">
        <v>34</v>
      </c>
      <c r="C1241">
        <v>100</v>
      </c>
      <c r="D1241">
        <v>6</v>
      </c>
      <c r="E1241">
        <v>3815.48</v>
      </c>
      <c r="F1241" s="4">
        <v>38332</v>
      </c>
      <c r="G1241" t="s">
        <v>93</v>
      </c>
      <c r="H1241">
        <v>4</v>
      </c>
      <c r="I1241">
        <v>11</v>
      </c>
      <c r="J1241">
        <v>2004</v>
      </c>
      <c r="K1241" t="s">
        <v>697</v>
      </c>
      <c r="L1241">
        <v>105</v>
      </c>
      <c r="M1241" t="s">
        <v>796</v>
      </c>
      <c r="N1241" t="s">
        <v>703</v>
      </c>
      <c r="O1241" t="s">
        <v>704</v>
      </c>
      <c r="P1241" t="s">
        <v>705</v>
      </c>
      <c r="R1241" t="s">
        <v>706</v>
      </c>
      <c r="T1241">
        <v>24100</v>
      </c>
      <c r="U1241" t="s">
        <v>352</v>
      </c>
      <c r="V1241" t="s">
        <v>110</v>
      </c>
      <c r="W1241" t="s">
        <v>707</v>
      </c>
      <c r="X1241" t="s">
        <v>708</v>
      </c>
      <c r="Y1241" t="s">
        <v>119</v>
      </c>
    </row>
    <row r="1242" spans="1:25">
      <c r="A1242">
        <v>10338</v>
      </c>
      <c r="B1242">
        <v>45</v>
      </c>
      <c r="C1242">
        <v>100</v>
      </c>
      <c r="D1242">
        <v>2</v>
      </c>
      <c r="E1242">
        <v>5526.45</v>
      </c>
      <c r="F1242" t="s">
        <v>742</v>
      </c>
      <c r="G1242" t="s">
        <v>93</v>
      </c>
      <c r="H1242">
        <v>4</v>
      </c>
      <c r="I1242">
        <v>11</v>
      </c>
      <c r="J1242">
        <v>2004</v>
      </c>
      <c r="K1242" t="s">
        <v>697</v>
      </c>
      <c r="L1242">
        <v>105</v>
      </c>
      <c r="M1242" t="s">
        <v>796</v>
      </c>
      <c r="N1242" t="s">
        <v>743</v>
      </c>
      <c r="O1242" t="s">
        <v>744</v>
      </c>
      <c r="P1242" t="s">
        <v>745</v>
      </c>
      <c r="R1242" t="s">
        <v>746</v>
      </c>
      <c r="T1242" t="s">
        <v>747</v>
      </c>
      <c r="U1242" t="s">
        <v>480</v>
      </c>
      <c r="V1242" t="s">
        <v>110</v>
      </c>
      <c r="W1242" t="s">
        <v>748</v>
      </c>
      <c r="X1242" t="s">
        <v>749</v>
      </c>
      <c r="Y1242" t="s">
        <v>119</v>
      </c>
    </row>
    <row r="1243" spans="1:25">
      <c r="A1243">
        <v>10351</v>
      </c>
      <c r="B1243">
        <v>20</v>
      </c>
      <c r="C1243">
        <v>100</v>
      </c>
      <c r="D1243">
        <v>2</v>
      </c>
      <c r="E1243">
        <v>3374.6</v>
      </c>
      <c r="F1243" s="4">
        <v>38058</v>
      </c>
      <c r="G1243" t="s">
        <v>93</v>
      </c>
      <c r="H1243">
        <v>4</v>
      </c>
      <c r="I1243">
        <v>12</v>
      </c>
      <c r="J1243">
        <v>2004</v>
      </c>
      <c r="K1243" t="s">
        <v>697</v>
      </c>
      <c r="L1243">
        <v>105</v>
      </c>
      <c r="M1243" t="s">
        <v>796</v>
      </c>
      <c r="N1243" t="s">
        <v>433</v>
      </c>
      <c r="O1243" t="s">
        <v>434</v>
      </c>
      <c r="P1243" t="s">
        <v>435</v>
      </c>
      <c r="R1243" t="s">
        <v>436</v>
      </c>
      <c r="T1243" t="s">
        <v>437</v>
      </c>
      <c r="U1243" t="s">
        <v>252</v>
      </c>
      <c r="V1243" t="s">
        <v>110</v>
      </c>
      <c r="W1243" t="s">
        <v>130</v>
      </c>
      <c r="X1243" t="s">
        <v>438</v>
      </c>
      <c r="Y1243" t="s">
        <v>119</v>
      </c>
    </row>
    <row r="1244" spans="1:25">
      <c r="A1244">
        <v>10373</v>
      </c>
      <c r="B1244">
        <v>50</v>
      </c>
      <c r="C1244">
        <v>60.49</v>
      </c>
      <c r="D1244">
        <v>6</v>
      </c>
      <c r="E1244">
        <v>3024.5</v>
      </c>
      <c r="F1244" t="s">
        <v>505</v>
      </c>
      <c r="G1244" t="s">
        <v>93</v>
      </c>
      <c r="H1244">
        <v>1</v>
      </c>
      <c r="I1244">
        <v>1</v>
      </c>
      <c r="J1244">
        <v>2005</v>
      </c>
      <c r="K1244" t="s">
        <v>697</v>
      </c>
      <c r="L1244">
        <v>105</v>
      </c>
      <c r="M1244" t="s">
        <v>796</v>
      </c>
      <c r="N1244" t="s">
        <v>506</v>
      </c>
      <c r="O1244" t="s">
        <v>507</v>
      </c>
      <c r="P1244" t="s">
        <v>508</v>
      </c>
      <c r="R1244" t="s">
        <v>509</v>
      </c>
      <c r="T1244">
        <v>90110</v>
      </c>
      <c r="U1244" t="s">
        <v>208</v>
      </c>
      <c r="V1244" t="s">
        <v>110</v>
      </c>
      <c r="W1244" t="s">
        <v>510</v>
      </c>
      <c r="X1244" t="s">
        <v>511</v>
      </c>
      <c r="Y1244" t="s">
        <v>119</v>
      </c>
    </row>
    <row r="1245" spans="1:25">
      <c r="A1245">
        <v>10386</v>
      </c>
      <c r="B1245">
        <v>22</v>
      </c>
      <c r="C1245">
        <v>57.55</v>
      </c>
      <c r="D1245">
        <v>6</v>
      </c>
      <c r="E1245">
        <v>1266.0999999999999</v>
      </c>
      <c r="F1245" s="4">
        <v>38355</v>
      </c>
      <c r="G1245" t="s">
        <v>526</v>
      </c>
      <c r="H1245">
        <v>1</v>
      </c>
      <c r="I1245">
        <v>3</v>
      </c>
      <c r="J1245">
        <v>2005</v>
      </c>
      <c r="K1245" t="s">
        <v>697</v>
      </c>
      <c r="L1245">
        <v>105</v>
      </c>
      <c r="M1245" t="s">
        <v>796</v>
      </c>
      <c r="N1245" t="s">
        <v>257</v>
      </c>
      <c r="O1245" t="s">
        <v>258</v>
      </c>
      <c r="P1245" t="s">
        <v>259</v>
      </c>
      <c r="R1245" t="s">
        <v>260</v>
      </c>
      <c r="T1245">
        <v>28034</v>
      </c>
      <c r="U1245" t="s">
        <v>261</v>
      </c>
      <c r="V1245" t="s">
        <v>110</v>
      </c>
      <c r="W1245" t="s">
        <v>262</v>
      </c>
      <c r="X1245" t="s">
        <v>263</v>
      </c>
      <c r="Y1245" t="s">
        <v>104</v>
      </c>
    </row>
    <row r="1246" spans="1:25">
      <c r="A1246">
        <v>10398</v>
      </c>
      <c r="B1246">
        <v>45</v>
      </c>
      <c r="C1246">
        <v>100</v>
      </c>
      <c r="D1246">
        <v>17</v>
      </c>
      <c r="E1246">
        <v>4811.8500000000004</v>
      </c>
      <c r="F1246" t="s">
        <v>750</v>
      </c>
      <c r="G1246" t="s">
        <v>93</v>
      </c>
      <c r="H1246">
        <v>1</v>
      </c>
      <c r="I1246">
        <v>3</v>
      </c>
      <c r="J1246">
        <v>2005</v>
      </c>
      <c r="K1246" t="s">
        <v>697</v>
      </c>
      <c r="L1246">
        <v>105</v>
      </c>
      <c r="M1246" t="s">
        <v>796</v>
      </c>
      <c r="N1246" t="s">
        <v>105</v>
      </c>
      <c r="O1246" t="s">
        <v>106</v>
      </c>
      <c r="P1246" t="s">
        <v>107</v>
      </c>
      <c r="R1246" t="s">
        <v>108</v>
      </c>
      <c r="T1246">
        <v>51100</v>
      </c>
      <c r="U1246" t="s">
        <v>109</v>
      </c>
      <c r="V1246" t="s">
        <v>110</v>
      </c>
      <c r="W1246" t="s">
        <v>111</v>
      </c>
      <c r="X1246" t="s">
        <v>112</v>
      </c>
      <c r="Y1246" t="s">
        <v>119</v>
      </c>
    </row>
    <row r="1247" spans="1:25">
      <c r="A1247">
        <v>10400</v>
      </c>
      <c r="B1247">
        <v>58</v>
      </c>
      <c r="C1247">
        <v>100</v>
      </c>
      <c r="D1247">
        <v>6</v>
      </c>
      <c r="E1247">
        <v>7307.42</v>
      </c>
      <c r="F1247" s="4">
        <v>38356</v>
      </c>
      <c r="G1247" t="s">
        <v>93</v>
      </c>
      <c r="H1247">
        <v>2</v>
      </c>
      <c r="I1247">
        <v>4</v>
      </c>
      <c r="J1247">
        <v>2005</v>
      </c>
      <c r="K1247" t="s">
        <v>697</v>
      </c>
      <c r="L1247">
        <v>105</v>
      </c>
      <c r="M1247" t="s">
        <v>796</v>
      </c>
      <c r="N1247" t="s">
        <v>514</v>
      </c>
      <c r="O1247">
        <v>4085553659</v>
      </c>
      <c r="P1247" t="s">
        <v>515</v>
      </c>
      <c r="R1247" t="s">
        <v>516</v>
      </c>
      <c r="S1247" t="s">
        <v>124</v>
      </c>
      <c r="T1247">
        <v>94217</v>
      </c>
      <c r="U1247" t="s">
        <v>100</v>
      </c>
      <c r="V1247" t="s">
        <v>101</v>
      </c>
      <c r="W1247" t="s">
        <v>175</v>
      </c>
      <c r="X1247" t="s">
        <v>517</v>
      </c>
      <c r="Y1247" t="s">
        <v>232</v>
      </c>
    </row>
    <row r="1248" spans="1:25">
      <c r="A1248">
        <v>10415</v>
      </c>
      <c r="B1248">
        <v>51</v>
      </c>
      <c r="C1248">
        <v>100</v>
      </c>
      <c r="D1248">
        <v>5</v>
      </c>
      <c r="E1248">
        <v>6209.25</v>
      </c>
      <c r="F1248" s="4">
        <v>38600</v>
      </c>
      <c r="G1248" t="s">
        <v>256</v>
      </c>
      <c r="H1248">
        <v>2</v>
      </c>
      <c r="I1248">
        <v>5</v>
      </c>
      <c r="J1248">
        <v>2005</v>
      </c>
      <c r="K1248" t="s">
        <v>697</v>
      </c>
      <c r="L1248">
        <v>105</v>
      </c>
      <c r="M1248" t="s">
        <v>796</v>
      </c>
      <c r="N1248" t="s">
        <v>710</v>
      </c>
      <c r="O1248" t="s">
        <v>711</v>
      </c>
      <c r="P1248" t="s">
        <v>712</v>
      </c>
      <c r="R1248" t="s">
        <v>713</v>
      </c>
      <c r="S1248" t="s">
        <v>167</v>
      </c>
      <c r="T1248">
        <v>3150</v>
      </c>
      <c r="U1248" t="s">
        <v>168</v>
      </c>
      <c r="V1248" t="s">
        <v>169</v>
      </c>
      <c r="W1248" t="s">
        <v>714</v>
      </c>
      <c r="X1248" t="s">
        <v>715</v>
      </c>
      <c r="Y1248" t="s">
        <v>119</v>
      </c>
    </row>
    <row r="1249" spans="1:25">
      <c r="A1249">
        <v>10104</v>
      </c>
      <c r="B1249">
        <v>38</v>
      </c>
      <c r="C1249">
        <v>100</v>
      </c>
      <c r="D1249">
        <v>3</v>
      </c>
      <c r="E1249">
        <v>5348.5</v>
      </c>
      <c r="F1249" t="s">
        <v>648</v>
      </c>
      <c r="G1249" t="s">
        <v>93</v>
      </c>
      <c r="H1249">
        <v>1</v>
      </c>
      <c r="I1249">
        <v>1</v>
      </c>
      <c r="J1249">
        <v>2003</v>
      </c>
      <c r="K1249" t="s">
        <v>265</v>
      </c>
      <c r="L1249">
        <v>143</v>
      </c>
      <c r="M1249" t="s">
        <v>797</v>
      </c>
      <c r="N1249" t="s">
        <v>257</v>
      </c>
      <c r="O1249" t="s">
        <v>258</v>
      </c>
      <c r="P1249" t="s">
        <v>259</v>
      </c>
      <c r="R1249" t="s">
        <v>260</v>
      </c>
      <c r="T1249">
        <v>28034</v>
      </c>
      <c r="U1249" t="s">
        <v>261</v>
      </c>
      <c r="V1249" t="s">
        <v>110</v>
      </c>
      <c r="W1249" t="s">
        <v>262</v>
      </c>
      <c r="X1249" t="s">
        <v>263</v>
      </c>
      <c r="Y1249" t="s">
        <v>119</v>
      </c>
    </row>
    <row r="1250" spans="1:25">
      <c r="A1250">
        <v>10117</v>
      </c>
      <c r="B1250">
        <v>22</v>
      </c>
      <c r="C1250">
        <v>100</v>
      </c>
      <c r="D1250">
        <v>12</v>
      </c>
      <c r="E1250">
        <v>2780.58</v>
      </c>
      <c r="F1250" t="s">
        <v>602</v>
      </c>
      <c r="G1250" t="s">
        <v>93</v>
      </c>
      <c r="H1250">
        <v>2</v>
      </c>
      <c r="I1250">
        <v>4</v>
      </c>
      <c r="J1250">
        <v>2003</v>
      </c>
      <c r="K1250" t="s">
        <v>265</v>
      </c>
      <c r="L1250">
        <v>143</v>
      </c>
      <c r="M1250" t="s">
        <v>797</v>
      </c>
      <c r="N1250" t="s">
        <v>284</v>
      </c>
      <c r="O1250" t="s">
        <v>285</v>
      </c>
      <c r="P1250" t="s">
        <v>286</v>
      </c>
      <c r="R1250" t="s">
        <v>287</v>
      </c>
      <c r="T1250">
        <v>79903</v>
      </c>
      <c r="U1250" t="s">
        <v>287</v>
      </c>
      <c r="V1250" t="s">
        <v>288</v>
      </c>
      <c r="W1250" t="s">
        <v>289</v>
      </c>
      <c r="X1250" t="s">
        <v>290</v>
      </c>
      <c r="Y1250" t="s">
        <v>104</v>
      </c>
    </row>
    <row r="1251" spans="1:25">
      <c r="A1251">
        <v>10127</v>
      </c>
      <c r="B1251">
        <v>25</v>
      </c>
      <c r="C1251">
        <v>100</v>
      </c>
      <c r="D1251">
        <v>5</v>
      </c>
      <c r="E1251">
        <v>3447</v>
      </c>
      <c r="F1251" s="4">
        <v>37686</v>
      </c>
      <c r="G1251" t="s">
        <v>93</v>
      </c>
      <c r="H1251">
        <v>2</v>
      </c>
      <c r="I1251">
        <v>6</v>
      </c>
      <c r="J1251">
        <v>2003</v>
      </c>
      <c r="K1251" t="s">
        <v>265</v>
      </c>
      <c r="L1251">
        <v>143</v>
      </c>
      <c r="M1251" t="s">
        <v>797</v>
      </c>
      <c r="N1251" t="s">
        <v>603</v>
      </c>
      <c r="O1251">
        <v>2125557413</v>
      </c>
      <c r="P1251" t="s">
        <v>604</v>
      </c>
      <c r="Q1251" t="s">
        <v>605</v>
      </c>
      <c r="R1251" t="s">
        <v>98</v>
      </c>
      <c r="S1251" t="s">
        <v>99</v>
      </c>
      <c r="T1251">
        <v>10022</v>
      </c>
      <c r="U1251" t="s">
        <v>100</v>
      </c>
      <c r="V1251" t="s">
        <v>101</v>
      </c>
      <c r="W1251" t="s">
        <v>125</v>
      </c>
      <c r="X1251" t="s">
        <v>606</v>
      </c>
      <c r="Y1251" t="s">
        <v>119</v>
      </c>
    </row>
    <row r="1252" spans="1:25">
      <c r="A1252">
        <v>10142</v>
      </c>
      <c r="B1252">
        <v>24</v>
      </c>
      <c r="C1252">
        <v>100</v>
      </c>
      <c r="D1252">
        <v>15</v>
      </c>
      <c r="E1252">
        <v>3791.52</v>
      </c>
      <c r="F1252" s="4">
        <v>37841</v>
      </c>
      <c r="G1252" t="s">
        <v>93</v>
      </c>
      <c r="H1252">
        <v>3</v>
      </c>
      <c r="I1252">
        <v>8</v>
      </c>
      <c r="J1252">
        <v>2003</v>
      </c>
      <c r="K1252" t="s">
        <v>265</v>
      </c>
      <c r="L1252">
        <v>143</v>
      </c>
      <c r="M1252" t="s">
        <v>797</v>
      </c>
      <c r="N1252" t="s">
        <v>367</v>
      </c>
      <c r="O1252">
        <v>4155551450</v>
      </c>
      <c r="P1252" t="s">
        <v>368</v>
      </c>
      <c r="R1252" t="s">
        <v>369</v>
      </c>
      <c r="S1252" t="s">
        <v>124</v>
      </c>
      <c r="T1252">
        <v>97562</v>
      </c>
      <c r="U1252" t="s">
        <v>100</v>
      </c>
      <c r="V1252" t="s">
        <v>101</v>
      </c>
      <c r="W1252" t="s">
        <v>370</v>
      </c>
      <c r="X1252" t="s">
        <v>371</v>
      </c>
      <c r="Y1252" t="s">
        <v>119</v>
      </c>
    </row>
    <row r="1253" spans="1:25">
      <c r="A1253">
        <v>10152</v>
      </c>
      <c r="B1253">
        <v>35</v>
      </c>
      <c r="C1253">
        <v>100</v>
      </c>
      <c r="D1253">
        <v>1</v>
      </c>
      <c r="E1253">
        <v>4524.1000000000004</v>
      </c>
      <c r="F1253" t="s">
        <v>798</v>
      </c>
      <c r="G1253" t="s">
        <v>93</v>
      </c>
      <c r="H1253">
        <v>3</v>
      </c>
      <c r="I1253">
        <v>9</v>
      </c>
      <c r="J1253">
        <v>2003</v>
      </c>
      <c r="K1253" t="s">
        <v>265</v>
      </c>
      <c r="L1253">
        <v>143</v>
      </c>
      <c r="M1253" t="s">
        <v>797</v>
      </c>
      <c r="N1253" t="s">
        <v>296</v>
      </c>
      <c r="O1253" t="s">
        <v>297</v>
      </c>
      <c r="P1253" t="s">
        <v>298</v>
      </c>
      <c r="R1253" t="s">
        <v>299</v>
      </c>
      <c r="S1253" t="s">
        <v>300</v>
      </c>
      <c r="T1253">
        <v>4101</v>
      </c>
      <c r="U1253" t="s">
        <v>168</v>
      </c>
      <c r="V1253" t="s">
        <v>169</v>
      </c>
      <c r="W1253" t="s">
        <v>301</v>
      </c>
      <c r="X1253" t="s">
        <v>302</v>
      </c>
      <c r="Y1253" t="s">
        <v>119</v>
      </c>
    </row>
    <row r="1254" spans="1:25">
      <c r="A1254">
        <v>10165</v>
      </c>
      <c r="B1254">
        <v>28</v>
      </c>
      <c r="C1254">
        <v>100</v>
      </c>
      <c r="D1254">
        <v>6</v>
      </c>
      <c r="E1254">
        <v>3337.6</v>
      </c>
      <c r="F1254" t="s">
        <v>608</v>
      </c>
      <c r="G1254" t="s">
        <v>93</v>
      </c>
      <c r="H1254">
        <v>4</v>
      </c>
      <c r="I1254">
        <v>10</v>
      </c>
      <c r="J1254">
        <v>2003</v>
      </c>
      <c r="K1254" t="s">
        <v>265</v>
      </c>
      <c r="L1254">
        <v>143</v>
      </c>
      <c r="M1254" t="s">
        <v>797</v>
      </c>
      <c r="N1254" t="s">
        <v>284</v>
      </c>
      <c r="O1254" t="s">
        <v>285</v>
      </c>
      <c r="P1254" t="s">
        <v>286</v>
      </c>
      <c r="R1254" t="s">
        <v>287</v>
      </c>
      <c r="T1254">
        <v>79903</v>
      </c>
      <c r="U1254" t="s">
        <v>287</v>
      </c>
      <c r="V1254" t="s">
        <v>288</v>
      </c>
      <c r="W1254" t="s">
        <v>289</v>
      </c>
      <c r="X1254" t="s">
        <v>290</v>
      </c>
      <c r="Y1254" t="s">
        <v>119</v>
      </c>
    </row>
    <row r="1255" spans="1:25">
      <c r="A1255">
        <v>10176</v>
      </c>
      <c r="B1255">
        <v>36</v>
      </c>
      <c r="C1255">
        <v>100</v>
      </c>
      <c r="D1255">
        <v>5</v>
      </c>
      <c r="E1255">
        <v>5532.12</v>
      </c>
      <c r="F1255" s="4">
        <v>37783</v>
      </c>
      <c r="G1255" t="s">
        <v>93</v>
      </c>
      <c r="H1255">
        <v>4</v>
      </c>
      <c r="I1255">
        <v>11</v>
      </c>
      <c r="J1255">
        <v>2003</v>
      </c>
      <c r="K1255" t="s">
        <v>265</v>
      </c>
      <c r="L1255">
        <v>143</v>
      </c>
      <c r="M1255" t="s">
        <v>797</v>
      </c>
      <c r="N1255" t="s">
        <v>576</v>
      </c>
      <c r="O1255" t="s">
        <v>577</v>
      </c>
      <c r="P1255" t="s">
        <v>578</v>
      </c>
      <c r="R1255" t="s">
        <v>579</v>
      </c>
      <c r="T1255">
        <v>42100</v>
      </c>
      <c r="U1255" t="s">
        <v>352</v>
      </c>
      <c r="V1255" t="s">
        <v>110</v>
      </c>
      <c r="W1255" t="s">
        <v>580</v>
      </c>
      <c r="X1255" t="s">
        <v>581</v>
      </c>
      <c r="Y1255" t="s">
        <v>119</v>
      </c>
    </row>
    <row r="1256" spans="1:25">
      <c r="A1256">
        <v>10185</v>
      </c>
      <c r="B1256">
        <v>39</v>
      </c>
      <c r="C1256">
        <v>100</v>
      </c>
      <c r="D1256">
        <v>16</v>
      </c>
      <c r="E1256">
        <v>5096.91</v>
      </c>
      <c r="F1256" t="s">
        <v>451</v>
      </c>
      <c r="G1256" t="s">
        <v>93</v>
      </c>
      <c r="H1256">
        <v>4</v>
      </c>
      <c r="I1256">
        <v>11</v>
      </c>
      <c r="J1256">
        <v>2003</v>
      </c>
      <c r="K1256" t="s">
        <v>265</v>
      </c>
      <c r="L1256">
        <v>143</v>
      </c>
      <c r="M1256" t="s">
        <v>797</v>
      </c>
      <c r="N1256" t="s">
        <v>439</v>
      </c>
      <c r="O1256">
        <v>5085559555</v>
      </c>
      <c r="P1256" t="s">
        <v>440</v>
      </c>
      <c r="R1256" t="s">
        <v>244</v>
      </c>
      <c r="S1256" t="s">
        <v>200</v>
      </c>
      <c r="T1256">
        <v>50553</v>
      </c>
      <c r="U1256" t="s">
        <v>100</v>
      </c>
      <c r="V1256" t="s">
        <v>101</v>
      </c>
      <c r="W1256" t="s">
        <v>441</v>
      </c>
      <c r="X1256" t="s">
        <v>442</v>
      </c>
      <c r="Y1256" t="s">
        <v>119</v>
      </c>
    </row>
    <row r="1257" spans="1:25">
      <c r="A1257">
        <v>10196</v>
      </c>
      <c r="B1257">
        <v>27</v>
      </c>
      <c r="C1257">
        <v>100</v>
      </c>
      <c r="D1257">
        <v>8</v>
      </c>
      <c r="E1257">
        <v>4537.08</v>
      </c>
      <c r="F1257" t="s">
        <v>458</v>
      </c>
      <c r="G1257" t="s">
        <v>93</v>
      </c>
      <c r="H1257">
        <v>4</v>
      </c>
      <c r="I1257">
        <v>11</v>
      </c>
      <c r="J1257">
        <v>2003</v>
      </c>
      <c r="K1257" t="s">
        <v>265</v>
      </c>
      <c r="L1257">
        <v>143</v>
      </c>
      <c r="M1257" t="s">
        <v>797</v>
      </c>
      <c r="N1257" t="s">
        <v>333</v>
      </c>
      <c r="O1257">
        <v>2035559545</v>
      </c>
      <c r="P1257" t="s">
        <v>334</v>
      </c>
      <c r="R1257" t="s">
        <v>335</v>
      </c>
      <c r="S1257" t="s">
        <v>187</v>
      </c>
      <c r="T1257">
        <v>97823</v>
      </c>
      <c r="U1257" t="s">
        <v>100</v>
      </c>
      <c r="V1257" t="s">
        <v>101</v>
      </c>
      <c r="W1257" t="s">
        <v>154</v>
      </c>
      <c r="X1257" t="s">
        <v>336</v>
      </c>
      <c r="Y1257" t="s">
        <v>119</v>
      </c>
    </row>
    <row r="1258" spans="1:25">
      <c r="A1258">
        <v>10207</v>
      </c>
      <c r="B1258">
        <v>40</v>
      </c>
      <c r="C1258">
        <v>100</v>
      </c>
      <c r="D1258">
        <v>1</v>
      </c>
      <c r="E1258">
        <v>6146.8</v>
      </c>
      <c r="F1258" s="4">
        <v>37876</v>
      </c>
      <c r="G1258" t="s">
        <v>93</v>
      </c>
      <c r="H1258">
        <v>4</v>
      </c>
      <c r="I1258">
        <v>12</v>
      </c>
      <c r="J1258">
        <v>2003</v>
      </c>
      <c r="K1258" t="s">
        <v>265</v>
      </c>
      <c r="L1258">
        <v>143</v>
      </c>
      <c r="M1258" t="s">
        <v>797</v>
      </c>
      <c r="N1258" t="s">
        <v>533</v>
      </c>
      <c r="O1258">
        <v>6175552555</v>
      </c>
      <c r="P1258" t="s">
        <v>534</v>
      </c>
      <c r="R1258" t="s">
        <v>492</v>
      </c>
      <c r="S1258" t="s">
        <v>200</v>
      </c>
      <c r="T1258">
        <v>51003</v>
      </c>
      <c r="U1258" t="s">
        <v>100</v>
      </c>
      <c r="V1258" t="s">
        <v>101</v>
      </c>
      <c r="W1258" t="s">
        <v>535</v>
      </c>
      <c r="X1258" t="s">
        <v>371</v>
      </c>
      <c r="Y1258" t="s">
        <v>119</v>
      </c>
    </row>
    <row r="1259" spans="1:25">
      <c r="A1259">
        <v>10220</v>
      </c>
      <c r="B1259">
        <v>50</v>
      </c>
      <c r="C1259">
        <v>100</v>
      </c>
      <c r="D1259">
        <v>5</v>
      </c>
      <c r="E1259">
        <v>8258</v>
      </c>
      <c r="F1259" s="4">
        <v>38323</v>
      </c>
      <c r="G1259" t="s">
        <v>93</v>
      </c>
      <c r="H1259">
        <v>1</v>
      </c>
      <c r="I1259">
        <v>2</v>
      </c>
      <c r="J1259">
        <v>2004</v>
      </c>
      <c r="K1259" t="s">
        <v>265</v>
      </c>
      <c r="L1259">
        <v>143</v>
      </c>
      <c r="M1259" t="s">
        <v>797</v>
      </c>
      <c r="N1259" t="s">
        <v>609</v>
      </c>
      <c r="O1259" t="s">
        <v>610</v>
      </c>
      <c r="P1259" t="s">
        <v>611</v>
      </c>
      <c r="Q1259" t="s">
        <v>612</v>
      </c>
      <c r="R1259" t="s">
        <v>613</v>
      </c>
      <c r="T1259">
        <v>2</v>
      </c>
      <c r="U1259" t="s">
        <v>614</v>
      </c>
      <c r="V1259" t="s">
        <v>110</v>
      </c>
      <c r="W1259" t="s">
        <v>615</v>
      </c>
      <c r="X1259" t="s">
        <v>616</v>
      </c>
      <c r="Y1259" t="s">
        <v>232</v>
      </c>
    </row>
    <row r="1260" spans="1:25">
      <c r="A1260">
        <v>10230</v>
      </c>
      <c r="B1260">
        <v>42</v>
      </c>
      <c r="C1260">
        <v>100</v>
      </c>
      <c r="D1260">
        <v>3</v>
      </c>
      <c r="E1260">
        <v>7238.28</v>
      </c>
      <c r="F1260" t="s">
        <v>650</v>
      </c>
      <c r="G1260" t="s">
        <v>93</v>
      </c>
      <c r="H1260">
        <v>1</v>
      </c>
      <c r="I1260">
        <v>3</v>
      </c>
      <c r="J1260">
        <v>2004</v>
      </c>
      <c r="K1260" t="s">
        <v>265</v>
      </c>
      <c r="L1260">
        <v>143</v>
      </c>
      <c r="M1260" t="s">
        <v>797</v>
      </c>
      <c r="N1260" t="s">
        <v>587</v>
      </c>
      <c r="O1260" t="s">
        <v>588</v>
      </c>
      <c r="P1260" t="s">
        <v>589</v>
      </c>
      <c r="R1260" t="s">
        <v>590</v>
      </c>
      <c r="T1260">
        <v>60528</v>
      </c>
      <c r="U1260" t="s">
        <v>566</v>
      </c>
      <c r="V1260" t="s">
        <v>110</v>
      </c>
      <c r="W1260" t="s">
        <v>591</v>
      </c>
      <c r="X1260" t="s">
        <v>532</v>
      </c>
      <c r="Y1260" t="s">
        <v>232</v>
      </c>
    </row>
    <row r="1261" spans="1:25">
      <c r="A1261">
        <v>10247</v>
      </c>
      <c r="B1261">
        <v>48</v>
      </c>
      <c r="C1261">
        <v>100</v>
      </c>
      <c r="D1261">
        <v>5</v>
      </c>
      <c r="E1261">
        <v>6756</v>
      </c>
      <c r="F1261" s="4">
        <v>38112</v>
      </c>
      <c r="G1261" t="s">
        <v>93</v>
      </c>
      <c r="H1261">
        <v>2</v>
      </c>
      <c r="I1261">
        <v>5</v>
      </c>
      <c r="J1261">
        <v>2004</v>
      </c>
      <c r="K1261" t="s">
        <v>265</v>
      </c>
      <c r="L1261">
        <v>143</v>
      </c>
      <c r="M1261" t="s">
        <v>797</v>
      </c>
      <c r="N1261" t="s">
        <v>593</v>
      </c>
      <c r="O1261" t="s">
        <v>594</v>
      </c>
      <c r="P1261" t="s">
        <v>595</v>
      </c>
      <c r="R1261" t="s">
        <v>596</v>
      </c>
      <c r="T1261" t="s">
        <v>597</v>
      </c>
      <c r="U1261" t="s">
        <v>208</v>
      </c>
      <c r="V1261" t="s">
        <v>110</v>
      </c>
      <c r="W1261" t="s">
        <v>598</v>
      </c>
      <c r="X1261" t="s">
        <v>599</v>
      </c>
      <c r="Y1261" t="s">
        <v>119</v>
      </c>
    </row>
    <row r="1262" spans="1:25">
      <c r="A1262">
        <v>10272</v>
      </c>
      <c r="B1262">
        <v>25</v>
      </c>
      <c r="C1262">
        <v>100</v>
      </c>
      <c r="D1262">
        <v>5</v>
      </c>
      <c r="E1262">
        <v>3734</v>
      </c>
      <c r="F1262" t="s">
        <v>623</v>
      </c>
      <c r="G1262" t="s">
        <v>93</v>
      </c>
      <c r="H1262">
        <v>3</v>
      </c>
      <c r="I1262">
        <v>7</v>
      </c>
      <c r="J1262">
        <v>2004</v>
      </c>
      <c r="K1262" t="s">
        <v>265</v>
      </c>
      <c r="L1262">
        <v>143</v>
      </c>
      <c r="M1262" t="s">
        <v>797</v>
      </c>
      <c r="N1262" t="s">
        <v>218</v>
      </c>
      <c r="O1262">
        <v>2155551555</v>
      </c>
      <c r="P1262" t="s">
        <v>219</v>
      </c>
      <c r="R1262" t="s">
        <v>220</v>
      </c>
      <c r="S1262" t="s">
        <v>221</v>
      </c>
      <c r="T1262">
        <v>70267</v>
      </c>
      <c r="U1262" t="s">
        <v>100</v>
      </c>
      <c r="V1262" t="s">
        <v>101</v>
      </c>
      <c r="W1262" t="s">
        <v>102</v>
      </c>
      <c r="X1262" t="s">
        <v>222</v>
      </c>
      <c r="Y1262" t="s">
        <v>119</v>
      </c>
    </row>
    <row r="1263" spans="1:25">
      <c r="A1263">
        <v>10282</v>
      </c>
      <c r="B1263">
        <v>31</v>
      </c>
      <c r="C1263">
        <v>100</v>
      </c>
      <c r="D1263">
        <v>8</v>
      </c>
      <c r="E1263">
        <v>4674.8</v>
      </c>
      <c r="F1263" t="s">
        <v>483</v>
      </c>
      <c r="G1263" t="s">
        <v>93</v>
      </c>
      <c r="H1263">
        <v>3</v>
      </c>
      <c r="I1263">
        <v>8</v>
      </c>
      <c r="J1263">
        <v>2004</v>
      </c>
      <c r="K1263" t="s">
        <v>265</v>
      </c>
      <c r="L1263">
        <v>143</v>
      </c>
      <c r="M1263" t="s">
        <v>797</v>
      </c>
      <c r="N1263" t="s">
        <v>367</v>
      </c>
      <c r="O1263">
        <v>4155551450</v>
      </c>
      <c r="P1263" t="s">
        <v>368</v>
      </c>
      <c r="R1263" t="s">
        <v>369</v>
      </c>
      <c r="S1263" t="s">
        <v>124</v>
      </c>
      <c r="T1263">
        <v>97562</v>
      </c>
      <c r="U1263" t="s">
        <v>100</v>
      </c>
      <c r="V1263" t="s">
        <v>101</v>
      </c>
      <c r="W1263" t="s">
        <v>370</v>
      </c>
      <c r="X1263" t="s">
        <v>371</v>
      </c>
      <c r="Y1263" t="s">
        <v>119</v>
      </c>
    </row>
    <row r="1264" spans="1:25">
      <c r="A1264">
        <v>10292</v>
      </c>
      <c r="B1264">
        <v>44</v>
      </c>
      <c r="C1264">
        <v>100</v>
      </c>
      <c r="D1264">
        <v>2</v>
      </c>
      <c r="E1264">
        <v>7140.76</v>
      </c>
      <c r="F1264" s="4">
        <v>38208</v>
      </c>
      <c r="G1264" t="s">
        <v>93</v>
      </c>
      <c r="H1264">
        <v>3</v>
      </c>
      <c r="I1264">
        <v>9</v>
      </c>
      <c r="J1264">
        <v>2004</v>
      </c>
      <c r="K1264" t="s">
        <v>265</v>
      </c>
      <c r="L1264">
        <v>143</v>
      </c>
      <c r="M1264" t="s">
        <v>797</v>
      </c>
      <c r="N1264" t="s">
        <v>96</v>
      </c>
      <c r="O1264">
        <v>2125557818</v>
      </c>
      <c r="P1264" t="s">
        <v>97</v>
      </c>
      <c r="R1264" t="s">
        <v>98</v>
      </c>
      <c r="S1264" t="s">
        <v>99</v>
      </c>
      <c r="T1264">
        <v>10022</v>
      </c>
      <c r="U1264" t="s">
        <v>100</v>
      </c>
      <c r="V1264" t="s">
        <v>101</v>
      </c>
      <c r="W1264" t="s">
        <v>102</v>
      </c>
      <c r="X1264" t="s">
        <v>103</v>
      </c>
      <c r="Y1264" t="s">
        <v>232</v>
      </c>
    </row>
    <row r="1265" spans="1:25">
      <c r="A1265">
        <v>10306</v>
      </c>
      <c r="B1265">
        <v>23</v>
      </c>
      <c r="C1265">
        <v>100</v>
      </c>
      <c r="D1265">
        <v>16</v>
      </c>
      <c r="E1265">
        <v>3600.65</v>
      </c>
      <c r="F1265" t="s">
        <v>494</v>
      </c>
      <c r="G1265" t="s">
        <v>93</v>
      </c>
      <c r="H1265">
        <v>4</v>
      </c>
      <c r="I1265">
        <v>10</v>
      </c>
      <c r="J1265">
        <v>2004</v>
      </c>
      <c r="K1265" t="s">
        <v>265</v>
      </c>
      <c r="L1265">
        <v>143</v>
      </c>
      <c r="M1265" t="s">
        <v>797</v>
      </c>
      <c r="N1265" t="s">
        <v>624</v>
      </c>
      <c r="O1265" t="s">
        <v>625</v>
      </c>
      <c r="P1265" t="s">
        <v>626</v>
      </c>
      <c r="R1265" t="s">
        <v>627</v>
      </c>
      <c r="T1265" t="s">
        <v>628</v>
      </c>
      <c r="U1265" t="s">
        <v>252</v>
      </c>
      <c r="V1265" t="s">
        <v>110</v>
      </c>
      <c r="W1265" t="s">
        <v>629</v>
      </c>
      <c r="X1265" t="s">
        <v>167</v>
      </c>
      <c r="Y1265" t="s">
        <v>119</v>
      </c>
    </row>
    <row r="1266" spans="1:25">
      <c r="A1266">
        <v>10314</v>
      </c>
      <c r="B1266">
        <v>29</v>
      </c>
      <c r="C1266">
        <v>100</v>
      </c>
      <c r="D1266">
        <v>8</v>
      </c>
      <c r="E1266">
        <v>4206.74</v>
      </c>
      <c r="F1266" t="s">
        <v>544</v>
      </c>
      <c r="G1266" t="s">
        <v>93</v>
      </c>
      <c r="H1266">
        <v>4</v>
      </c>
      <c r="I1266">
        <v>10</v>
      </c>
      <c r="J1266">
        <v>2004</v>
      </c>
      <c r="K1266" t="s">
        <v>265</v>
      </c>
      <c r="L1266">
        <v>143</v>
      </c>
      <c r="M1266" t="s">
        <v>797</v>
      </c>
      <c r="N1266" t="s">
        <v>630</v>
      </c>
      <c r="O1266" t="s">
        <v>631</v>
      </c>
      <c r="P1266" t="s">
        <v>632</v>
      </c>
      <c r="R1266" t="s">
        <v>633</v>
      </c>
      <c r="T1266">
        <v>8200</v>
      </c>
      <c r="U1266" t="s">
        <v>429</v>
      </c>
      <c r="V1266" t="s">
        <v>110</v>
      </c>
      <c r="W1266" t="s">
        <v>634</v>
      </c>
      <c r="X1266" t="s">
        <v>635</v>
      </c>
      <c r="Y1266" t="s">
        <v>119</v>
      </c>
    </row>
    <row r="1267" spans="1:25">
      <c r="A1267">
        <v>10324</v>
      </c>
      <c r="B1267">
        <v>49</v>
      </c>
      <c r="C1267">
        <v>100</v>
      </c>
      <c r="D1267">
        <v>13</v>
      </c>
      <c r="E1267">
        <v>5379.71</v>
      </c>
      <c r="F1267" s="4">
        <v>38118</v>
      </c>
      <c r="G1267" t="s">
        <v>93</v>
      </c>
      <c r="H1267">
        <v>4</v>
      </c>
      <c r="I1267">
        <v>11</v>
      </c>
      <c r="J1267">
        <v>2004</v>
      </c>
      <c r="K1267" t="s">
        <v>265</v>
      </c>
      <c r="L1267">
        <v>143</v>
      </c>
      <c r="M1267" t="s">
        <v>797</v>
      </c>
      <c r="N1267" t="s">
        <v>172</v>
      </c>
      <c r="O1267">
        <v>2125551500</v>
      </c>
      <c r="P1267" t="s">
        <v>173</v>
      </c>
      <c r="Q1267" t="s">
        <v>174</v>
      </c>
      <c r="R1267" t="s">
        <v>98</v>
      </c>
      <c r="S1267" t="s">
        <v>99</v>
      </c>
      <c r="T1267">
        <v>10022</v>
      </c>
      <c r="U1267" t="s">
        <v>100</v>
      </c>
      <c r="V1267" t="s">
        <v>101</v>
      </c>
      <c r="W1267" t="s">
        <v>175</v>
      </c>
      <c r="X1267" t="s">
        <v>176</v>
      </c>
      <c r="Y1267" t="s">
        <v>119</v>
      </c>
    </row>
    <row r="1268" spans="1:25">
      <c r="A1268">
        <v>10337</v>
      </c>
      <c r="B1268">
        <v>36</v>
      </c>
      <c r="C1268">
        <v>100</v>
      </c>
      <c r="D1268">
        <v>3</v>
      </c>
      <c r="E1268">
        <v>5679.36</v>
      </c>
      <c r="F1268" t="s">
        <v>503</v>
      </c>
      <c r="G1268" t="s">
        <v>93</v>
      </c>
      <c r="H1268">
        <v>4</v>
      </c>
      <c r="I1268">
        <v>11</v>
      </c>
      <c r="J1268">
        <v>2004</v>
      </c>
      <c r="K1268" t="s">
        <v>265</v>
      </c>
      <c r="L1268">
        <v>143</v>
      </c>
      <c r="M1268" t="s">
        <v>797</v>
      </c>
      <c r="N1268" t="s">
        <v>292</v>
      </c>
      <c r="O1268">
        <v>2125558493</v>
      </c>
      <c r="P1268" t="s">
        <v>293</v>
      </c>
      <c r="Q1268" t="s">
        <v>294</v>
      </c>
      <c r="R1268" t="s">
        <v>98</v>
      </c>
      <c r="S1268" t="s">
        <v>99</v>
      </c>
      <c r="T1268">
        <v>10022</v>
      </c>
      <c r="U1268" t="s">
        <v>100</v>
      </c>
      <c r="V1268" t="s">
        <v>101</v>
      </c>
      <c r="W1268" t="s">
        <v>201</v>
      </c>
      <c r="X1268" t="s">
        <v>295</v>
      </c>
      <c r="Y1268" t="s">
        <v>119</v>
      </c>
    </row>
    <row r="1269" spans="1:25">
      <c r="A1269">
        <v>10349</v>
      </c>
      <c r="B1269">
        <v>34</v>
      </c>
      <c r="C1269">
        <v>100</v>
      </c>
      <c r="D1269">
        <v>5</v>
      </c>
      <c r="E1269">
        <v>4394.84</v>
      </c>
      <c r="F1269" s="4">
        <v>37998</v>
      </c>
      <c r="G1269" t="s">
        <v>93</v>
      </c>
      <c r="H1269">
        <v>4</v>
      </c>
      <c r="I1269">
        <v>12</v>
      </c>
      <c r="J1269">
        <v>2004</v>
      </c>
      <c r="K1269" t="s">
        <v>265</v>
      </c>
      <c r="L1269">
        <v>143</v>
      </c>
      <c r="M1269" t="s">
        <v>797</v>
      </c>
      <c r="N1269" t="s">
        <v>603</v>
      </c>
      <c r="O1269">
        <v>2125557413</v>
      </c>
      <c r="P1269" t="s">
        <v>604</v>
      </c>
      <c r="Q1269" t="s">
        <v>605</v>
      </c>
      <c r="R1269" t="s">
        <v>98</v>
      </c>
      <c r="S1269" t="s">
        <v>99</v>
      </c>
      <c r="T1269">
        <v>10022</v>
      </c>
      <c r="U1269" t="s">
        <v>100</v>
      </c>
      <c r="V1269" t="s">
        <v>101</v>
      </c>
      <c r="W1269" t="s">
        <v>125</v>
      </c>
      <c r="X1269" t="s">
        <v>606</v>
      </c>
      <c r="Y1269" t="s">
        <v>119</v>
      </c>
    </row>
    <row r="1270" spans="1:25">
      <c r="A1270">
        <v>10358</v>
      </c>
      <c r="B1270">
        <v>25</v>
      </c>
      <c r="C1270">
        <v>100</v>
      </c>
      <c r="D1270">
        <v>13</v>
      </c>
      <c r="E1270">
        <v>2528.25</v>
      </c>
      <c r="F1270" s="4">
        <v>38272</v>
      </c>
      <c r="G1270" t="s">
        <v>93</v>
      </c>
      <c r="H1270">
        <v>4</v>
      </c>
      <c r="I1270">
        <v>12</v>
      </c>
      <c r="J1270">
        <v>2004</v>
      </c>
      <c r="K1270" t="s">
        <v>265</v>
      </c>
      <c r="L1270">
        <v>143</v>
      </c>
      <c r="M1270" t="s">
        <v>797</v>
      </c>
      <c r="N1270" t="s">
        <v>257</v>
      </c>
      <c r="O1270" t="s">
        <v>258</v>
      </c>
      <c r="P1270" t="s">
        <v>259</v>
      </c>
      <c r="R1270" t="s">
        <v>260</v>
      </c>
      <c r="T1270">
        <v>28034</v>
      </c>
      <c r="U1270" t="s">
        <v>261</v>
      </c>
      <c r="V1270" t="s">
        <v>110</v>
      </c>
      <c r="W1270" t="s">
        <v>262</v>
      </c>
      <c r="X1270" t="s">
        <v>263</v>
      </c>
      <c r="Y1270" t="s">
        <v>104</v>
      </c>
    </row>
    <row r="1271" spans="1:25">
      <c r="A1271">
        <v>10372</v>
      </c>
      <c r="B1271">
        <v>48</v>
      </c>
      <c r="C1271">
        <v>100</v>
      </c>
      <c r="D1271">
        <v>6</v>
      </c>
      <c r="E1271">
        <v>7031.52</v>
      </c>
      <c r="F1271" t="s">
        <v>651</v>
      </c>
      <c r="G1271" t="s">
        <v>93</v>
      </c>
      <c r="H1271">
        <v>1</v>
      </c>
      <c r="I1271">
        <v>1</v>
      </c>
      <c r="J1271">
        <v>2005</v>
      </c>
      <c r="K1271" t="s">
        <v>265</v>
      </c>
      <c r="L1271">
        <v>143</v>
      </c>
      <c r="M1271" t="s">
        <v>797</v>
      </c>
      <c r="N1271" t="s">
        <v>338</v>
      </c>
      <c r="O1271" t="s">
        <v>339</v>
      </c>
      <c r="P1271" t="s">
        <v>340</v>
      </c>
      <c r="R1271" t="s">
        <v>341</v>
      </c>
      <c r="S1271" t="s">
        <v>342</v>
      </c>
      <c r="T1271" t="s">
        <v>343</v>
      </c>
      <c r="U1271" t="s">
        <v>288</v>
      </c>
      <c r="V1271" t="s">
        <v>288</v>
      </c>
      <c r="W1271" t="s">
        <v>344</v>
      </c>
      <c r="X1271" t="s">
        <v>345</v>
      </c>
      <c r="Y1271" t="s">
        <v>232</v>
      </c>
    </row>
    <row r="1272" spans="1:25">
      <c r="A1272">
        <v>10383</v>
      </c>
      <c r="B1272">
        <v>38</v>
      </c>
      <c r="C1272">
        <v>100</v>
      </c>
      <c r="D1272">
        <v>1</v>
      </c>
      <c r="E1272">
        <v>5340.9</v>
      </c>
      <c r="F1272" t="s">
        <v>760</v>
      </c>
      <c r="G1272" t="s">
        <v>93</v>
      </c>
      <c r="H1272">
        <v>1</v>
      </c>
      <c r="I1272">
        <v>2</v>
      </c>
      <c r="J1272">
        <v>2005</v>
      </c>
      <c r="K1272" t="s">
        <v>265</v>
      </c>
      <c r="L1272">
        <v>143</v>
      </c>
      <c r="M1272" t="s">
        <v>797</v>
      </c>
      <c r="N1272" t="s">
        <v>257</v>
      </c>
      <c r="O1272" t="s">
        <v>258</v>
      </c>
      <c r="P1272" t="s">
        <v>259</v>
      </c>
      <c r="R1272" t="s">
        <v>260</v>
      </c>
      <c r="T1272">
        <v>28034</v>
      </c>
      <c r="U1272" t="s">
        <v>261</v>
      </c>
      <c r="V1272" t="s">
        <v>110</v>
      </c>
      <c r="W1272" t="s">
        <v>262</v>
      </c>
      <c r="X1272" t="s">
        <v>263</v>
      </c>
      <c r="Y1272" t="s">
        <v>119</v>
      </c>
    </row>
    <row r="1273" spans="1:25">
      <c r="A1273">
        <v>10394</v>
      </c>
      <c r="B1273">
        <v>37</v>
      </c>
      <c r="C1273">
        <v>100</v>
      </c>
      <c r="D1273">
        <v>1</v>
      </c>
      <c r="E1273">
        <v>6376.58</v>
      </c>
      <c r="F1273" t="s">
        <v>784</v>
      </c>
      <c r="G1273" t="s">
        <v>93</v>
      </c>
      <c r="H1273">
        <v>1</v>
      </c>
      <c r="I1273">
        <v>3</v>
      </c>
      <c r="J1273">
        <v>2005</v>
      </c>
      <c r="K1273" t="s">
        <v>265</v>
      </c>
      <c r="L1273">
        <v>143</v>
      </c>
      <c r="M1273" t="s">
        <v>797</v>
      </c>
      <c r="N1273" t="s">
        <v>257</v>
      </c>
      <c r="O1273" t="s">
        <v>258</v>
      </c>
      <c r="P1273" t="s">
        <v>259</v>
      </c>
      <c r="R1273" t="s">
        <v>260</v>
      </c>
      <c r="T1273">
        <v>28034</v>
      </c>
      <c r="U1273" t="s">
        <v>261</v>
      </c>
      <c r="V1273" t="s">
        <v>110</v>
      </c>
      <c r="W1273" t="s">
        <v>262</v>
      </c>
      <c r="X1273" t="s">
        <v>263</v>
      </c>
      <c r="Y1273" t="s">
        <v>119</v>
      </c>
    </row>
    <row r="1274" spans="1:25">
      <c r="A1274">
        <v>10413</v>
      </c>
      <c r="B1274">
        <v>49</v>
      </c>
      <c r="C1274">
        <v>100</v>
      </c>
      <c r="D1274">
        <v>5</v>
      </c>
      <c r="E1274">
        <v>6896.75</v>
      </c>
      <c r="F1274" s="4">
        <v>38477</v>
      </c>
      <c r="G1274" t="s">
        <v>93</v>
      </c>
      <c r="H1274">
        <v>2</v>
      </c>
      <c r="I1274">
        <v>5</v>
      </c>
      <c r="J1274">
        <v>2005</v>
      </c>
      <c r="K1274" t="s">
        <v>265</v>
      </c>
      <c r="L1274">
        <v>143</v>
      </c>
      <c r="M1274" t="s">
        <v>797</v>
      </c>
      <c r="N1274" t="s">
        <v>184</v>
      </c>
      <c r="O1274">
        <v>2035552570</v>
      </c>
      <c r="P1274" t="s">
        <v>185</v>
      </c>
      <c r="R1274" t="s">
        <v>186</v>
      </c>
      <c r="S1274" t="s">
        <v>187</v>
      </c>
      <c r="T1274">
        <v>97562</v>
      </c>
      <c r="U1274" t="s">
        <v>100</v>
      </c>
      <c r="V1274" t="s">
        <v>101</v>
      </c>
      <c r="W1274" t="s">
        <v>188</v>
      </c>
      <c r="X1274" t="s">
        <v>126</v>
      </c>
      <c r="Y1274" t="s">
        <v>119</v>
      </c>
    </row>
    <row r="1275" spans="1:25">
      <c r="A1275">
        <v>10100</v>
      </c>
      <c r="B1275">
        <v>22</v>
      </c>
      <c r="C1275">
        <v>86.51</v>
      </c>
      <c r="D1275">
        <v>4</v>
      </c>
      <c r="E1275">
        <v>1903.22</v>
      </c>
      <c r="F1275" s="4">
        <v>37773</v>
      </c>
      <c r="G1275" t="s">
        <v>93</v>
      </c>
      <c r="H1275">
        <v>1</v>
      </c>
      <c r="I1275">
        <v>1</v>
      </c>
      <c r="J1275">
        <v>2003</v>
      </c>
      <c r="K1275" t="s">
        <v>697</v>
      </c>
      <c r="L1275">
        <v>92</v>
      </c>
      <c r="M1275" t="s">
        <v>799</v>
      </c>
      <c r="N1275" t="s">
        <v>372</v>
      </c>
      <c r="O1275">
        <v>6035558647</v>
      </c>
      <c r="P1275" t="s">
        <v>373</v>
      </c>
      <c r="R1275" t="s">
        <v>374</v>
      </c>
      <c r="S1275" t="s">
        <v>375</v>
      </c>
      <c r="T1275">
        <v>62005</v>
      </c>
      <c r="U1275" t="s">
        <v>100</v>
      </c>
      <c r="V1275" t="s">
        <v>101</v>
      </c>
      <c r="W1275" t="s">
        <v>125</v>
      </c>
      <c r="X1275" t="s">
        <v>371</v>
      </c>
      <c r="Y1275" t="s">
        <v>104</v>
      </c>
    </row>
    <row r="1276" spans="1:25">
      <c r="A1276">
        <v>10110</v>
      </c>
      <c r="B1276">
        <v>28</v>
      </c>
      <c r="C1276">
        <v>89.27</v>
      </c>
      <c r="D1276">
        <v>8</v>
      </c>
      <c r="E1276">
        <v>2499.56</v>
      </c>
      <c r="F1276" t="s">
        <v>720</v>
      </c>
      <c r="G1276" t="s">
        <v>93</v>
      </c>
      <c r="H1276">
        <v>1</v>
      </c>
      <c r="I1276">
        <v>3</v>
      </c>
      <c r="J1276">
        <v>2003</v>
      </c>
      <c r="K1276" t="s">
        <v>697</v>
      </c>
      <c r="L1276">
        <v>92</v>
      </c>
      <c r="M1276" t="s">
        <v>799</v>
      </c>
      <c r="N1276" t="s">
        <v>624</v>
      </c>
      <c r="O1276" t="s">
        <v>625</v>
      </c>
      <c r="P1276" t="s">
        <v>626</v>
      </c>
      <c r="R1276" t="s">
        <v>627</v>
      </c>
      <c r="T1276" t="s">
        <v>628</v>
      </c>
      <c r="U1276" t="s">
        <v>252</v>
      </c>
      <c r="V1276" t="s">
        <v>110</v>
      </c>
      <c r="W1276" t="s">
        <v>629</v>
      </c>
      <c r="X1276" t="s">
        <v>167</v>
      </c>
      <c r="Y1276" t="s">
        <v>104</v>
      </c>
    </row>
    <row r="1277" spans="1:25">
      <c r="A1277">
        <v>10124</v>
      </c>
      <c r="B1277">
        <v>36</v>
      </c>
      <c r="C1277">
        <v>85.59</v>
      </c>
      <c r="D1277">
        <v>7</v>
      </c>
      <c r="E1277">
        <v>3081.24</v>
      </c>
      <c r="F1277" t="s">
        <v>700</v>
      </c>
      <c r="G1277" t="s">
        <v>93</v>
      </c>
      <c r="H1277">
        <v>2</v>
      </c>
      <c r="I1277">
        <v>5</v>
      </c>
      <c r="J1277">
        <v>2003</v>
      </c>
      <c r="K1277" t="s">
        <v>697</v>
      </c>
      <c r="L1277">
        <v>92</v>
      </c>
      <c r="M1277" t="s">
        <v>799</v>
      </c>
      <c r="N1277" t="s">
        <v>684</v>
      </c>
      <c r="O1277">
        <v>7025551838</v>
      </c>
      <c r="P1277" t="s">
        <v>685</v>
      </c>
      <c r="R1277" t="s">
        <v>686</v>
      </c>
      <c r="S1277" t="s">
        <v>687</v>
      </c>
      <c r="T1277">
        <v>83030</v>
      </c>
      <c r="U1277" t="s">
        <v>100</v>
      </c>
      <c r="V1277" t="s">
        <v>101</v>
      </c>
      <c r="W1277" t="s">
        <v>188</v>
      </c>
      <c r="X1277" t="s">
        <v>517</v>
      </c>
      <c r="Y1277" t="s">
        <v>119</v>
      </c>
    </row>
    <row r="1278" spans="1:25">
      <c r="A1278">
        <v>10148</v>
      </c>
      <c r="B1278">
        <v>34</v>
      </c>
      <c r="C1278">
        <v>100</v>
      </c>
      <c r="D1278">
        <v>1</v>
      </c>
      <c r="E1278">
        <v>3598.22</v>
      </c>
      <c r="F1278" s="4">
        <v>37934</v>
      </c>
      <c r="G1278" t="s">
        <v>93</v>
      </c>
      <c r="H1278">
        <v>3</v>
      </c>
      <c r="I1278">
        <v>9</v>
      </c>
      <c r="J1278">
        <v>2003</v>
      </c>
      <c r="K1278" t="s">
        <v>697</v>
      </c>
      <c r="L1278">
        <v>92</v>
      </c>
      <c r="M1278" t="s">
        <v>799</v>
      </c>
      <c r="N1278" t="s">
        <v>384</v>
      </c>
      <c r="O1278" t="s">
        <v>385</v>
      </c>
      <c r="P1278" t="s">
        <v>386</v>
      </c>
      <c r="Q1278" t="s">
        <v>387</v>
      </c>
      <c r="R1278" t="s">
        <v>388</v>
      </c>
      <c r="S1278" t="s">
        <v>239</v>
      </c>
      <c r="T1278">
        <v>2060</v>
      </c>
      <c r="U1278" t="s">
        <v>168</v>
      </c>
      <c r="V1278" t="s">
        <v>169</v>
      </c>
      <c r="W1278" t="s">
        <v>389</v>
      </c>
      <c r="X1278" t="s">
        <v>390</v>
      </c>
      <c r="Y1278" t="s">
        <v>119</v>
      </c>
    </row>
    <row r="1279" spans="1:25">
      <c r="A1279">
        <v>10162</v>
      </c>
      <c r="B1279">
        <v>39</v>
      </c>
      <c r="C1279">
        <v>100</v>
      </c>
      <c r="D1279">
        <v>10</v>
      </c>
      <c r="E1279">
        <v>3912.09</v>
      </c>
      <c r="F1279" t="s">
        <v>702</v>
      </c>
      <c r="G1279" t="s">
        <v>93</v>
      </c>
      <c r="H1279">
        <v>4</v>
      </c>
      <c r="I1279">
        <v>10</v>
      </c>
      <c r="J1279">
        <v>2003</v>
      </c>
      <c r="K1279" t="s">
        <v>697</v>
      </c>
      <c r="L1279">
        <v>92</v>
      </c>
      <c r="M1279" t="s">
        <v>799</v>
      </c>
      <c r="N1279" t="s">
        <v>127</v>
      </c>
      <c r="O1279">
        <v>6505551386</v>
      </c>
      <c r="P1279" t="s">
        <v>128</v>
      </c>
      <c r="R1279" t="s">
        <v>129</v>
      </c>
      <c r="S1279" t="s">
        <v>124</v>
      </c>
      <c r="U1279" t="s">
        <v>100</v>
      </c>
      <c r="V1279" t="s">
        <v>101</v>
      </c>
      <c r="W1279" t="s">
        <v>130</v>
      </c>
      <c r="X1279" t="s">
        <v>126</v>
      </c>
      <c r="Y1279" t="s">
        <v>119</v>
      </c>
    </row>
    <row r="1280" spans="1:25">
      <c r="A1280">
        <v>10173</v>
      </c>
      <c r="B1280">
        <v>21</v>
      </c>
      <c r="C1280">
        <v>75.459999999999994</v>
      </c>
      <c r="D1280">
        <v>14</v>
      </c>
      <c r="E1280">
        <v>1584.66</v>
      </c>
      <c r="F1280" s="4">
        <v>37752</v>
      </c>
      <c r="G1280" t="s">
        <v>93</v>
      </c>
      <c r="H1280">
        <v>4</v>
      </c>
      <c r="I1280">
        <v>11</v>
      </c>
      <c r="J1280">
        <v>2003</v>
      </c>
      <c r="K1280" t="s">
        <v>697</v>
      </c>
      <c r="L1280">
        <v>92</v>
      </c>
      <c r="M1280" t="s">
        <v>799</v>
      </c>
      <c r="N1280" t="s">
        <v>703</v>
      </c>
      <c r="O1280" t="s">
        <v>704</v>
      </c>
      <c r="P1280" t="s">
        <v>705</v>
      </c>
      <c r="R1280" t="s">
        <v>706</v>
      </c>
      <c r="T1280">
        <v>24100</v>
      </c>
      <c r="U1280" t="s">
        <v>352</v>
      </c>
      <c r="V1280" t="s">
        <v>110</v>
      </c>
      <c r="W1280" t="s">
        <v>707</v>
      </c>
      <c r="X1280" t="s">
        <v>708</v>
      </c>
      <c r="Y1280" t="s">
        <v>104</v>
      </c>
    </row>
    <row r="1281" spans="1:25">
      <c r="A1281">
        <v>10182</v>
      </c>
      <c r="B1281">
        <v>36</v>
      </c>
      <c r="C1281">
        <v>100</v>
      </c>
      <c r="D1281">
        <v>11</v>
      </c>
      <c r="E1281">
        <v>3942.72</v>
      </c>
      <c r="F1281" s="4">
        <v>37966</v>
      </c>
      <c r="G1281" t="s">
        <v>93</v>
      </c>
      <c r="H1281">
        <v>4</v>
      </c>
      <c r="I1281">
        <v>11</v>
      </c>
      <c r="J1281">
        <v>2003</v>
      </c>
      <c r="K1281" t="s">
        <v>697</v>
      </c>
      <c r="L1281">
        <v>92</v>
      </c>
      <c r="M1281" t="s">
        <v>799</v>
      </c>
      <c r="N1281" t="s">
        <v>367</v>
      </c>
      <c r="O1281">
        <v>4155551450</v>
      </c>
      <c r="P1281" t="s">
        <v>368</v>
      </c>
      <c r="R1281" t="s">
        <v>369</v>
      </c>
      <c r="S1281" t="s">
        <v>124</v>
      </c>
      <c r="T1281">
        <v>97562</v>
      </c>
      <c r="U1281" t="s">
        <v>100</v>
      </c>
      <c r="V1281" t="s">
        <v>101</v>
      </c>
      <c r="W1281" t="s">
        <v>370</v>
      </c>
      <c r="X1281" t="s">
        <v>371</v>
      </c>
      <c r="Y1281" t="s">
        <v>119</v>
      </c>
    </row>
    <row r="1282" spans="1:25">
      <c r="A1282">
        <v>10193</v>
      </c>
      <c r="B1282">
        <v>24</v>
      </c>
      <c r="C1282">
        <v>97.55</v>
      </c>
      <c r="D1282">
        <v>15</v>
      </c>
      <c r="E1282">
        <v>2341.1999999999998</v>
      </c>
      <c r="F1282" t="s">
        <v>709</v>
      </c>
      <c r="G1282" t="s">
        <v>93</v>
      </c>
      <c r="H1282">
        <v>4</v>
      </c>
      <c r="I1282">
        <v>11</v>
      </c>
      <c r="J1282">
        <v>2003</v>
      </c>
      <c r="K1282" t="s">
        <v>697</v>
      </c>
      <c r="L1282">
        <v>92</v>
      </c>
      <c r="M1282" t="s">
        <v>799</v>
      </c>
      <c r="N1282" t="s">
        <v>710</v>
      </c>
      <c r="O1282" t="s">
        <v>711</v>
      </c>
      <c r="P1282" t="s">
        <v>712</v>
      </c>
      <c r="R1282" t="s">
        <v>713</v>
      </c>
      <c r="S1282" t="s">
        <v>167</v>
      </c>
      <c r="T1282">
        <v>3150</v>
      </c>
      <c r="U1282" t="s">
        <v>168</v>
      </c>
      <c r="V1282" t="s">
        <v>169</v>
      </c>
      <c r="W1282" t="s">
        <v>714</v>
      </c>
      <c r="X1282" t="s">
        <v>715</v>
      </c>
      <c r="Y1282" t="s">
        <v>104</v>
      </c>
    </row>
    <row r="1283" spans="1:25">
      <c r="A1283">
        <v>10204</v>
      </c>
      <c r="B1283">
        <v>29</v>
      </c>
      <c r="C1283">
        <v>85.59</v>
      </c>
      <c r="D1283">
        <v>5</v>
      </c>
      <c r="E1283">
        <v>2482.11</v>
      </c>
      <c r="F1283" s="4">
        <v>37664</v>
      </c>
      <c r="G1283" t="s">
        <v>93</v>
      </c>
      <c r="H1283">
        <v>4</v>
      </c>
      <c r="I1283">
        <v>12</v>
      </c>
      <c r="J1283">
        <v>2003</v>
      </c>
      <c r="K1283" t="s">
        <v>697</v>
      </c>
      <c r="L1283">
        <v>92</v>
      </c>
      <c r="M1283" t="s">
        <v>799</v>
      </c>
      <c r="N1283" t="s">
        <v>603</v>
      </c>
      <c r="O1283">
        <v>2125557413</v>
      </c>
      <c r="P1283" t="s">
        <v>604</v>
      </c>
      <c r="Q1283" t="s">
        <v>605</v>
      </c>
      <c r="R1283" t="s">
        <v>98</v>
      </c>
      <c r="S1283" t="s">
        <v>99</v>
      </c>
      <c r="T1283">
        <v>10022</v>
      </c>
      <c r="U1283" t="s">
        <v>100</v>
      </c>
      <c r="V1283" t="s">
        <v>101</v>
      </c>
      <c r="W1283" t="s">
        <v>125</v>
      </c>
      <c r="X1283" t="s">
        <v>606</v>
      </c>
      <c r="Y1283" t="s">
        <v>104</v>
      </c>
    </row>
    <row r="1284" spans="1:25">
      <c r="A1284">
        <v>10213</v>
      </c>
      <c r="B1284">
        <v>38</v>
      </c>
      <c r="C1284">
        <v>94.79</v>
      </c>
      <c r="D1284">
        <v>1</v>
      </c>
      <c r="E1284">
        <v>3602.02</v>
      </c>
      <c r="F1284" t="s">
        <v>800</v>
      </c>
      <c r="G1284" t="s">
        <v>93</v>
      </c>
      <c r="H1284">
        <v>1</v>
      </c>
      <c r="I1284">
        <v>1</v>
      </c>
      <c r="J1284">
        <v>2004</v>
      </c>
      <c r="K1284" t="s">
        <v>697</v>
      </c>
      <c r="L1284">
        <v>92</v>
      </c>
      <c r="M1284" t="s">
        <v>799</v>
      </c>
      <c r="N1284" t="s">
        <v>452</v>
      </c>
      <c r="O1284" t="s">
        <v>453</v>
      </c>
      <c r="P1284" t="s">
        <v>454</v>
      </c>
      <c r="R1284" t="s">
        <v>436</v>
      </c>
      <c r="T1284" t="s">
        <v>455</v>
      </c>
      <c r="U1284" t="s">
        <v>252</v>
      </c>
      <c r="V1284" t="s">
        <v>110</v>
      </c>
      <c r="W1284" t="s">
        <v>456</v>
      </c>
      <c r="X1284" t="s">
        <v>457</v>
      </c>
      <c r="Y1284" t="s">
        <v>119</v>
      </c>
    </row>
    <row r="1285" spans="1:25">
      <c r="A1285">
        <v>10227</v>
      </c>
      <c r="B1285">
        <v>34</v>
      </c>
      <c r="C1285">
        <v>100</v>
      </c>
      <c r="D1285">
        <v>11</v>
      </c>
      <c r="E1285">
        <v>3566.94</v>
      </c>
      <c r="F1285" s="4">
        <v>38020</v>
      </c>
      <c r="G1285" t="s">
        <v>93</v>
      </c>
      <c r="H1285">
        <v>1</v>
      </c>
      <c r="I1285">
        <v>3</v>
      </c>
      <c r="J1285">
        <v>2004</v>
      </c>
      <c r="K1285" t="s">
        <v>697</v>
      </c>
      <c r="L1285">
        <v>92</v>
      </c>
      <c r="M1285" t="s">
        <v>799</v>
      </c>
      <c r="N1285" t="s">
        <v>310</v>
      </c>
      <c r="O1285" t="s">
        <v>311</v>
      </c>
      <c r="P1285" t="s">
        <v>312</v>
      </c>
      <c r="R1285" t="s">
        <v>313</v>
      </c>
      <c r="T1285">
        <v>69004</v>
      </c>
      <c r="U1285" t="s">
        <v>109</v>
      </c>
      <c r="V1285" t="s">
        <v>110</v>
      </c>
      <c r="W1285" t="s">
        <v>314</v>
      </c>
      <c r="X1285" t="s">
        <v>315</v>
      </c>
      <c r="Y1285" t="s">
        <v>119</v>
      </c>
    </row>
    <row r="1286" spans="1:25">
      <c r="A1286">
        <v>10241</v>
      </c>
      <c r="B1286">
        <v>42</v>
      </c>
      <c r="C1286">
        <v>90.19</v>
      </c>
      <c r="D1286">
        <v>3</v>
      </c>
      <c r="E1286">
        <v>3787.98</v>
      </c>
      <c r="F1286" t="s">
        <v>683</v>
      </c>
      <c r="G1286" t="s">
        <v>93</v>
      </c>
      <c r="H1286">
        <v>2</v>
      </c>
      <c r="I1286">
        <v>4</v>
      </c>
      <c r="J1286">
        <v>2004</v>
      </c>
      <c r="K1286" t="s">
        <v>697</v>
      </c>
      <c r="L1286">
        <v>92</v>
      </c>
      <c r="M1286" t="s">
        <v>799</v>
      </c>
      <c r="N1286" t="s">
        <v>674</v>
      </c>
      <c r="O1286" t="s">
        <v>675</v>
      </c>
      <c r="P1286" t="s">
        <v>676</v>
      </c>
      <c r="R1286" t="s">
        <v>677</v>
      </c>
      <c r="T1286">
        <v>67000</v>
      </c>
      <c r="U1286" t="s">
        <v>109</v>
      </c>
      <c r="V1286" t="s">
        <v>110</v>
      </c>
      <c r="W1286" t="s">
        <v>678</v>
      </c>
      <c r="X1286" t="s">
        <v>679</v>
      </c>
      <c r="Y1286" t="s">
        <v>119</v>
      </c>
    </row>
    <row r="1287" spans="1:25">
      <c r="A1287">
        <v>10280</v>
      </c>
      <c r="B1287">
        <v>35</v>
      </c>
      <c r="C1287">
        <v>100</v>
      </c>
      <c r="D1287">
        <v>17</v>
      </c>
      <c r="E1287">
        <v>3704.05</v>
      </c>
      <c r="F1287" t="s">
        <v>347</v>
      </c>
      <c r="G1287" t="s">
        <v>93</v>
      </c>
      <c r="H1287">
        <v>3</v>
      </c>
      <c r="I1287">
        <v>8</v>
      </c>
      <c r="J1287">
        <v>2004</v>
      </c>
      <c r="K1287" t="s">
        <v>697</v>
      </c>
      <c r="L1287">
        <v>92</v>
      </c>
      <c r="M1287" t="s">
        <v>799</v>
      </c>
      <c r="N1287" t="s">
        <v>348</v>
      </c>
      <c r="O1287" t="s">
        <v>349</v>
      </c>
      <c r="P1287" t="s">
        <v>350</v>
      </c>
      <c r="R1287" t="s">
        <v>351</v>
      </c>
      <c r="T1287">
        <v>10100</v>
      </c>
      <c r="U1287" t="s">
        <v>352</v>
      </c>
      <c r="V1287" t="s">
        <v>110</v>
      </c>
      <c r="W1287" t="s">
        <v>353</v>
      </c>
      <c r="X1287" t="s">
        <v>354</v>
      </c>
      <c r="Y1287" t="s">
        <v>119</v>
      </c>
    </row>
    <row r="1288" spans="1:25">
      <c r="A1288">
        <v>10288</v>
      </c>
      <c r="B1288">
        <v>35</v>
      </c>
      <c r="C1288">
        <v>80.989999999999995</v>
      </c>
      <c r="D1288">
        <v>6</v>
      </c>
      <c r="E1288">
        <v>2834.65</v>
      </c>
      <c r="F1288" s="4">
        <v>37995</v>
      </c>
      <c r="G1288" t="s">
        <v>93</v>
      </c>
      <c r="H1288">
        <v>3</v>
      </c>
      <c r="I1288">
        <v>9</v>
      </c>
      <c r="J1288">
        <v>2004</v>
      </c>
      <c r="K1288" t="s">
        <v>697</v>
      </c>
      <c r="L1288">
        <v>92</v>
      </c>
      <c r="M1288" t="s">
        <v>799</v>
      </c>
      <c r="N1288" t="s">
        <v>536</v>
      </c>
      <c r="O1288" t="s">
        <v>537</v>
      </c>
      <c r="P1288" t="s">
        <v>538</v>
      </c>
      <c r="Q1288" t="s">
        <v>539</v>
      </c>
      <c r="R1288" t="s">
        <v>287</v>
      </c>
      <c r="T1288">
        <v>69045</v>
      </c>
      <c r="U1288" t="s">
        <v>287</v>
      </c>
      <c r="V1288" t="s">
        <v>169</v>
      </c>
      <c r="W1288" t="s">
        <v>540</v>
      </c>
      <c r="X1288" t="s">
        <v>541</v>
      </c>
      <c r="Y1288" t="s">
        <v>104</v>
      </c>
    </row>
    <row r="1289" spans="1:25">
      <c r="A1289">
        <v>10302</v>
      </c>
      <c r="B1289">
        <v>38</v>
      </c>
      <c r="C1289">
        <v>89.27</v>
      </c>
      <c r="D1289">
        <v>2</v>
      </c>
      <c r="E1289">
        <v>3392.26</v>
      </c>
      <c r="F1289" s="4">
        <v>37782</v>
      </c>
      <c r="G1289" t="s">
        <v>93</v>
      </c>
      <c r="H1289">
        <v>4</v>
      </c>
      <c r="I1289">
        <v>10</v>
      </c>
      <c r="J1289">
        <v>2003</v>
      </c>
      <c r="K1289" t="s">
        <v>697</v>
      </c>
      <c r="L1289">
        <v>92</v>
      </c>
      <c r="M1289" t="s">
        <v>799</v>
      </c>
      <c r="N1289" t="s">
        <v>247</v>
      </c>
      <c r="O1289" t="s">
        <v>248</v>
      </c>
      <c r="P1289" t="s">
        <v>249</v>
      </c>
      <c r="R1289" t="s">
        <v>250</v>
      </c>
      <c r="T1289" t="s">
        <v>251</v>
      </c>
      <c r="U1289" t="s">
        <v>252</v>
      </c>
      <c r="V1289" t="s">
        <v>110</v>
      </c>
      <c r="W1289" t="s">
        <v>253</v>
      </c>
      <c r="X1289" t="s">
        <v>254</v>
      </c>
      <c r="Y1289" t="s">
        <v>119</v>
      </c>
    </row>
    <row r="1290" spans="1:25">
      <c r="A1290">
        <v>10311</v>
      </c>
      <c r="B1290">
        <v>41</v>
      </c>
      <c r="C1290">
        <v>81.91</v>
      </c>
      <c r="D1290">
        <v>1</v>
      </c>
      <c r="E1290">
        <v>3358.31</v>
      </c>
      <c r="F1290" t="s">
        <v>592</v>
      </c>
      <c r="G1290" t="s">
        <v>93</v>
      </c>
      <c r="H1290">
        <v>4</v>
      </c>
      <c r="I1290">
        <v>10</v>
      </c>
      <c r="J1290">
        <v>2004</v>
      </c>
      <c r="K1290" t="s">
        <v>697</v>
      </c>
      <c r="L1290">
        <v>92</v>
      </c>
      <c r="M1290" t="s">
        <v>799</v>
      </c>
      <c r="N1290" t="s">
        <v>257</v>
      </c>
      <c r="O1290" t="s">
        <v>258</v>
      </c>
      <c r="P1290" t="s">
        <v>259</v>
      </c>
      <c r="R1290" t="s">
        <v>260</v>
      </c>
      <c r="T1290">
        <v>28034</v>
      </c>
      <c r="U1290" t="s">
        <v>261</v>
      </c>
      <c r="V1290" t="s">
        <v>110</v>
      </c>
      <c r="W1290" t="s">
        <v>262</v>
      </c>
      <c r="X1290" t="s">
        <v>263</v>
      </c>
      <c r="Y1290" t="s">
        <v>119</v>
      </c>
    </row>
    <row r="1291" spans="1:25">
      <c r="A1291">
        <v>10332</v>
      </c>
      <c r="B1291">
        <v>50</v>
      </c>
      <c r="C1291">
        <v>100</v>
      </c>
      <c r="D1291">
        <v>2</v>
      </c>
      <c r="E1291">
        <v>7310</v>
      </c>
      <c r="F1291" t="s">
        <v>695</v>
      </c>
      <c r="G1291" t="s">
        <v>93</v>
      </c>
      <c r="H1291">
        <v>4</v>
      </c>
      <c r="I1291">
        <v>11</v>
      </c>
      <c r="J1291">
        <v>2004</v>
      </c>
      <c r="K1291" t="s">
        <v>697</v>
      </c>
      <c r="L1291">
        <v>92</v>
      </c>
      <c r="M1291" t="s">
        <v>799</v>
      </c>
      <c r="N1291" t="s">
        <v>624</v>
      </c>
      <c r="O1291" t="s">
        <v>625</v>
      </c>
      <c r="P1291" t="s">
        <v>626</v>
      </c>
      <c r="R1291" t="s">
        <v>627</v>
      </c>
      <c r="T1291" t="s">
        <v>628</v>
      </c>
      <c r="U1291" t="s">
        <v>252</v>
      </c>
      <c r="V1291" t="s">
        <v>110</v>
      </c>
      <c r="W1291" t="s">
        <v>629</v>
      </c>
      <c r="X1291" t="s">
        <v>167</v>
      </c>
      <c r="Y1291" t="s">
        <v>232</v>
      </c>
    </row>
    <row r="1292" spans="1:25">
      <c r="A1292">
        <v>10344</v>
      </c>
      <c r="B1292">
        <v>21</v>
      </c>
      <c r="C1292">
        <v>100</v>
      </c>
      <c r="D1292">
        <v>4</v>
      </c>
      <c r="E1292">
        <v>2203.11</v>
      </c>
      <c r="F1292" t="s">
        <v>753</v>
      </c>
      <c r="G1292" t="s">
        <v>93</v>
      </c>
      <c r="H1292">
        <v>4</v>
      </c>
      <c r="I1292">
        <v>11</v>
      </c>
      <c r="J1292">
        <v>2004</v>
      </c>
      <c r="K1292" t="s">
        <v>697</v>
      </c>
      <c r="L1292">
        <v>92</v>
      </c>
      <c r="M1292" t="s">
        <v>799</v>
      </c>
      <c r="N1292" t="s">
        <v>555</v>
      </c>
      <c r="O1292" t="s">
        <v>556</v>
      </c>
      <c r="P1292" t="s">
        <v>557</v>
      </c>
      <c r="R1292" t="s">
        <v>558</v>
      </c>
      <c r="T1292">
        <v>13008</v>
      </c>
      <c r="U1292" t="s">
        <v>109</v>
      </c>
      <c r="V1292" t="s">
        <v>110</v>
      </c>
      <c r="W1292" t="s">
        <v>559</v>
      </c>
      <c r="X1292" t="s">
        <v>560</v>
      </c>
      <c r="Y1292" t="s">
        <v>104</v>
      </c>
    </row>
    <row r="1293" spans="1:25">
      <c r="A1293">
        <v>10367</v>
      </c>
      <c r="B1293">
        <v>43</v>
      </c>
      <c r="C1293">
        <v>62.72</v>
      </c>
      <c r="D1293">
        <v>8</v>
      </c>
      <c r="E1293">
        <v>2696.96</v>
      </c>
      <c r="F1293" s="4">
        <v>38687</v>
      </c>
      <c r="G1293" t="s">
        <v>526</v>
      </c>
      <c r="H1293">
        <v>1</v>
      </c>
      <c r="I1293">
        <v>1</v>
      </c>
      <c r="J1293">
        <v>2005</v>
      </c>
      <c r="K1293" t="s">
        <v>697</v>
      </c>
      <c r="L1293">
        <v>92</v>
      </c>
      <c r="M1293" t="s">
        <v>799</v>
      </c>
      <c r="N1293" t="s">
        <v>121</v>
      </c>
      <c r="O1293">
        <v>6265557265</v>
      </c>
      <c r="P1293" t="s">
        <v>122</v>
      </c>
      <c r="R1293" t="s">
        <v>123</v>
      </c>
      <c r="S1293" t="s">
        <v>124</v>
      </c>
      <c r="T1293">
        <v>90003</v>
      </c>
      <c r="U1293" t="s">
        <v>100</v>
      </c>
      <c r="V1293" t="s">
        <v>101</v>
      </c>
      <c r="W1293" t="s">
        <v>125</v>
      </c>
      <c r="X1293" t="s">
        <v>126</v>
      </c>
      <c r="Y1293" t="s">
        <v>104</v>
      </c>
    </row>
    <row r="1294" spans="1:25">
      <c r="A1294">
        <v>10380</v>
      </c>
      <c r="B1294">
        <v>32</v>
      </c>
      <c r="C1294">
        <v>100</v>
      </c>
      <c r="D1294">
        <v>1</v>
      </c>
      <c r="E1294">
        <v>3376.64</v>
      </c>
      <c r="F1294" t="s">
        <v>717</v>
      </c>
      <c r="G1294" t="s">
        <v>93</v>
      </c>
      <c r="H1294">
        <v>1</v>
      </c>
      <c r="I1294">
        <v>2</v>
      </c>
      <c r="J1294">
        <v>2005</v>
      </c>
      <c r="K1294" t="s">
        <v>697</v>
      </c>
      <c r="L1294">
        <v>92</v>
      </c>
      <c r="M1294" t="s">
        <v>799</v>
      </c>
      <c r="N1294" t="s">
        <v>257</v>
      </c>
      <c r="O1294" t="s">
        <v>258</v>
      </c>
      <c r="P1294" t="s">
        <v>259</v>
      </c>
      <c r="R1294" t="s">
        <v>260</v>
      </c>
      <c r="T1294">
        <v>28034</v>
      </c>
      <c r="U1294" t="s">
        <v>261</v>
      </c>
      <c r="V1294" t="s">
        <v>110</v>
      </c>
      <c r="W1294" t="s">
        <v>262</v>
      </c>
      <c r="X1294" t="s">
        <v>263</v>
      </c>
      <c r="Y1294" t="s">
        <v>119</v>
      </c>
    </row>
    <row r="1295" spans="1:25">
      <c r="A1295">
        <v>10407</v>
      </c>
      <c r="B1295">
        <v>6</v>
      </c>
      <c r="C1295">
        <v>90.19</v>
      </c>
      <c r="D1295">
        <v>3</v>
      </c>
      <c r="E1295">
        <v>541.14</v>
      </c>
      <c r="F1295" t="s">
        <v>724</v>
      </c>
      <c r="G1295" t="s">
        <v>518</v>
      </c>
      <c r="H1295">
        <v>2</v>
      </c>
      <c r="I1295">
        <v>4</v>
      </c>
      <c r="J1295">
        <v>2005</v>
      </c>
      <c r="K1295" t="s">
        <v>697</v>
      </c>
      <c r="L1295">
        <v>92</v>
      </c>
      <c r="M1295" t="s">
        <v>799</v>
      </c>
      <c r="N1295" t="s">
        <v>514</v>
      </c>
      <c r="O1295">
        <v>4085553659</v>
      </c>
      <c r="P1295" t="s">
        <v>515</v>
      </c>
      <c r="R1295" t="s">
        <v>516</v>
      </c>
      <c r="S1295" t="s">
        <v>124</v>
      </c>
      <c r="T1295">
        <v>94217</v>
      </c>
      <c r="U1295" t="s">
        <v>100</v>
      </c>
      <c r="V1295" t="s">
        <v>101</v>
      </c>
      <c r="W1295" t="s">
        <v>175</v>
      </c>
      <c r="X1295" t="s">
        <v>517</v>
      </c>
      <c r="Y1295" t="s">
        <v>104</v>
      </c>
    </row>
    <row r="1296" spans="1:25">
      <c r="A1296">
        <v>10420</v>
      </c>
      <c r="B1296">
        <v>66</v>
      </c>
      <c r="C1296">
        <v>92.95</v>
      </c>
      <c r="D1296">
        <v>6</v>
      </c>
      <c r="E1296">
        <v>6134.7</v>
      </c>
      <c r="F1296" t="s">
        <v>754</v>
      </c>
      <c r="G1296" t="s">
        <v>400</v>
      </c>
      <c r="H1296">
        <v>2</v>
      </c>
      <c r="I1296">
        <v>5</v>
      </c>
      <c r="J1296">
        <v>2005</v>
      </c>
      <c r="K1296" t="s">
        <v>697</v>
      </c>
      <c r="L1296">
        <v>92</v>
      </c>
      <c r="M1296" t="s">
        <v>799</v>
      </c>
      <c r="N1296" t="s">
        <v>234</v>
      </c>
      <c r="O1296" t="s">
        <v>235</v>
      </c>
      <c r="P1296" t="s">
        <v>236</v>
      </c>
      <c r="Q1296" t="s">
        <v>237</v>
      </c>
      <c r="R1296" t="s">
        <v>238</v>
      </c>
      <c r="S1296" t="s">
        <v>239</v>
      </c>
      <c r="T1296">
        <v>2067</v>
      </c>
      <c r="U1296" t="s">
        <v>168</v>
      </c>
      <c r="V1296" t="s">
        <v>169</v>
      </c>
      <c r="W1296" t="s">
        <v>240</v>
      </c>
      <c r="X1296" t="s">
        <v>241</v>
      </c>
      <c r="Y1296" t="s">
        <v>119</v>
      </c>
    </row>
    <row r="1297" spans="1:25">
      <c r="A1297">
        <v>10105</v>
      </c>
      <c r="B1297">
        <v>41</v>
      </c>
      <c r="C1297">
        <v>82.5</v>
      </c>
      <c r="D1297">
        <v>10</v>
      </c>
      <c r="E1297">
        <v>3382.5</v>
      </c>
      <c r="F1297" s="4">
        <v>37927</v>
      </c>
      <c r="G1297" t="s">
        <v>93</v>
      </c>
      <c r="H1297">
        <v>1</v>
      </c>
      <c r="I1297">
        <v>2</v>
      </c>
      <c r="J1297">
        <v>2003</v>
      </c>
      <c r="K1297" t="s">
        <v>697</v>
      </c>
      <c r="L1297">
        <v>87</v>
      </c>
      <c r="M1297" t="s">
        <v>801</v>
      </c>
      <c r="N1297" t="s">
        <v>425</v>
      </c>
      <c r="O1297" t="s">
        <v>426</v>
      </c>
      <c r="P1297" t="s">
        <v>427</v>
      </c>
      <c r="R1297" t="s">
        <v>428</v>
      </c>
      <c r="T1297">
        <v>1734</v>
      </c>
      <c r="U1297" t="s">
        <v>429</v>
      </c>
      <c r="V1297" t="s">
        <v>110</v>
      </c>
      <c r="W1297" t="s">
        <v>430</v>
      </c>
      <c r="X1297" t="s">
        <v>431</v>
      </c>
      <c r="Y1297" t="s">
        <v>119</v>
      </c>
    </row>
    <row r="1298" spans="1:25">
      <c r="A1298">
        <v>10117</v>
      </c>
      <c r="B1298">
        <v>23</v>
      </c>
      <c r="C1298">
        <v>97.42</v>
      </c>
      <c r="D1298">
        <v>4</v>
      </c>
      <c r="E1298">
        <v>2240.66</v>
      </c>
      <c r="F1298" t="s">
        <v>602</v>
      </c>
      <c r="G1298" t="s">
        <v>93</v>
      </c>
      <c r="H1298">
        <v>2</v>
      </c>
      <c r="I1298">
        <v>4</v>
      </c>
      <c r="J1298">
        <v>2003</v>
      </c>
      <c r="K1298" t="s">
        <v>697</v>
      </c>
      <c r="L1298">
        <v>87</v>
      </c>
      <c r="M1298" t="s">
        <v>801</v>
      </c>
      <c r="N1298" t="s">
        <v>284</v>
      </c>
      <c r="O1298" t="s">
        <v>285</v>
      </c>
      <c r="P1298" t="s">
        <v>286</v>
      </c>
      <c r="R1298" t="s">
        <v>287</v>
      </c>
      <c r="T1298">
        <v>79903</v>
      </c>
      <c r="U1298" t="s">
        <v>287</v>
      </c>
      <c r="V1298" t="s">
        <v>288</v>
      </c>
      <c r="W1298" t="s">
        <v>289</v>
      </c>
      <c r="X1298" t="s">
        <v>290</v>
      </c>
      <c r="Y1298" t="s">
        <v>104</v>
      </c>
    </row>
    <row r="1299" spans="1:25">
      <c r="A1299">
        <v>10128</v>
      </c>
      <c r="B1299">
        <v>43</v>
      </c>
      <c r="C1299">
        <v>92.16</v>
      </c>
      <c r="D1299">
        <v>1</v>
      </c>
      <c r="E1299">
        <v>3962.88</v>
      </c>
      <c r="F1299" s="4">
        <v>37778</v>
      </c>
      <c r="G1299" t="s">
        <v>93</v>
      </c>
      <c r="H1299">
        <v>2</v>
      </c>
      <c r="I1299">
        <v>6</v>
      </c>
      <c r="J1299">
        <v>2003</v>
      </c>
      <c r="K1299" t="s">
        <v>697</v>
      </c>
      <c r="L1299">
        <v>87</v>
      </c>
      <c r="M1299" t="s">
        <v>801</v>
      </c>
      <c r="N1299" t="s">
        <v>257</v>
      </c>
      <c r="O1299" t="s">
        <v>258</v>
      </c>
      <c r="P1299" t="s">
        <v>259</v>
      </c>
      <c r="R1299" t="s">
        <v>260</v>
      </c>
      <c r="T1299">
        <v>28034</v>
      </c>
      <c r="U1299" t="s">
        <v>261</v>
      </c>
      <c r="V1299" t="s">
        <v>110</v>
      </c>
      <c r="W1299" t="s">
        <v>262</v>
      </c>
      <c r="X1299" t="s">
        <v>263</v>
      </c>
      <c r="Y1299" t="s">
        <v>119</v>
      </c>
    </row>
    <row r="1300" spans="1:25">
      <c r="A1300">
        <v>10142</v>
      </c>
      <c r="B1300">
        <v>24</v>
      </c>
      <c r="C1300">
        <v>70.22</v>
      </c>
      <c r="D1300">
        <v>7</v>
      </c>
      <c r="E1300">
        <v>1685.28</v>
      </c>
      <c r="F1300" s="4">
        <v>37841</v>
      </c>
      <c r="G1300" t="s">
        <v>93</v>
      </c>
      <c r="H1300">
        <v>3</v>
      </c>
      <c r="I1300">
        <v>8</v>
      </c>
      <c r="J1300">
        <v>2003</v>
      </c>
      <c r="K1300" t="s">
        <v>697</v>
      </c>
      <c r="L1300">
        <v>87</v>
      </c>
      <c r="M1300" t="s">
        <v>801</v>
      </c>
      <c r="N1300" t="s">
        <v>367</v>
      </c>
      <c r="O1300">
        <v>4155551450</v>
      </c>
      <c r="P1300" t="s">
        <v>368</v>
      </c>
      <c r="R1300" t="s">
        <v>369</v>
      </c>
      <c r="S1300" t="s">
        <v>124</v>
      </c>
      <c r="T1300">
        <v>97562</v>
      </c>
      <c r="U1300" t="s">
        <v>100</v>
      </c>
      <c r="V1300" t="s">
        <v>101</v>
      </c>
      <c r="W1300" t="s">
        <v>370</v>
      </c>
      <c r="X1300" t="s">
        <v>371</v>
      </c>
      <c r="Y1300" t="s">
        <v>104</v>
      </c>
    </row>
    <row r="1301" spans="1:25">
      <c r="A1301">
        <v>10153</v>
      </c>
      <c r="B1301">
        <v>22</v>
      </c>
      <c r="C1301">
        <v>83.38</v>
      </c>
      <c r="D1301">
        <v>6</v>
      </c>
      <c r="E1301">
        <v>1834.36</v>
      </c>
      <c r="F1301" t="s">
        <v>607</v>
      </c>
      <c r="G1301" t="s">
        <v>93</v>
      </c>
      <c r="H1301">
        <v>3</v>
      </c>
      <c r="I1301">
        <v>9</v>
      </c>
      <c r="J1301">
        <v>2003</v>
      </c>
      <c r="K1301" t="s">
        <v>697</v>
      </c>
      <c r="L1301">
        <v>87</v>
      </c>
      <c r="M1301" t="s">
        <v>801</v>
      </c>
      <c r="N1301" t="s">
        <v>257</v>
      </c>
      <c r="O1301" t="s">
        <v>258</v>
      </c>
      <c r="P1301" t="s">
        <v>259</v>
      </c>
      <c r="R1301" t="s">
        <v>260</v>
      </c>
      <c r="T1301">
        <v>28034</v>
      </c>
      <c r="U1301" t="s">
        <v>261</v>
      </c>
      <c r="V1301" t="s">
        <v>110</v>
      </c>
      <c r="W1301" t="s">
        <v>262</v>
      </c>
      <c r="X1301" t="s">
        <v>263</v>
      </c>
      <c r="Y1301" t="s">
        <v>104</v>
      </c>
    </row>
    <row r="1302" spans="1:25">
      <c r="A1302">
        <v>10166</v>
      </c>
      <c r="B1302">
        <v>26</v>
      </c>
      <c r="C1302">
        <v>73.73</v>
      </c>
      <c r="D1302">
        <v>1</v>
      </c>
      <c r="E1302">
        <v>1916.98</v>
      </c>
      <c r="F1302" t="s">
        <v>525</v>
      </c>
      <c r="G1302" t="s">
        <v>93</v>
      </c>
      <c r="H1302">
        <v>4</v>
      </c>
      <c r="I1302">
        <v>10</v>
      </c>
      <c r="J1302">
        <v>2003</v>
      </c>
      <c r="K1302" t="s">
        <v>697</v>
      </c>
      <c r="L1302">
        <v>87</v>
      </c>
      <c r="M1302" t="s">
        <v>801</v>
      </c>
      <c r="N1302" t="s">
        <v>242</v>
      </c>
      <c r="O1302">
        <v>5085552555</v>
      </c>
      <c r="P1302" t="s">
        <v>243</v>
      </c>
      <c r="R1302" t="s">
        <v>244</v>
      </c>
      <c r="S1302" t="s">
        <v>200</v>
      </c>
      <c r="T1302">
        <v>50553</v>
      </c>
      <c r="U1302" t="s">
        <v>100</v>
      </c>
      <c r="V1302" t="s">
        <v>101</v>
      </c>
      <c r="W1302" t="s">
        <v>245</v>
      </c>
      <c r="X1302" t="s">
        <v>246</v>
      </c>
      <c r="Y1302" t="s">
        <v>104</v>
      </c>
    </row>
    <row r="1303" spans="1:25">
      <c r="A1303">
        <v>10177</v>
      </c>
      <c r="B1303">
        <v>35</v>
      </c>
      <c r="C1303">
        <v>74.599999999999994</v>
      </c>
      <c r="D1303">
        <v>8</v>
      </c>
      <c r="E1303">
        <v>2611</v>
      </c>
      <c r="F1303" s="4">
        <v>37813</v>
      </c>
      <c r="G1303" t="s">
        <v>93</v>
      </c>
      <c r="H1303">
        <v>4</v>
      </c>
      <c r="I1303">
        <v>11</v>
      </c>
      <c r="J1303">
        <v>2003</v>
      </c>
      <c r="K1303" t="s">
        <v>697</v>
      </c>
      <c r="L1303">
        <v>87</v>
      </c>
      <c r="M1303" t="s">
        <v>801</v>
      </c>
      <c r="N1303" t="s">
        <v>618</v>
      </c>
      <c r="O1303" t="s">
        <v>619</v>
      </c>
      <c r="P1303" t="s">
        <v>620</v>
      </c>
      <c r="R1303" t="s">
        <v>260</v>
      </c>
      <c r="T1303">
        <v>28023</v>
      </c>
      <c r="U1303" t="s">
        <v>261</v>
      </c>
      <c r="V1303" t="s">
        <v>110</v>
      </c>
      <c r="W1303" t="s">
        <v>621</v>
      </c>
      <c r="X1303" t="s">
        <v>622</v>
      </c>
      <c r="Y1303" t="s">
        <v>104</v>
      </c>
    </row>
    <row r="1304" spans="1:25">
      <c r="A1304">
        <v>10185</v>
      </c>
      <c r="B1304">
        <v>47</v>
      </c>
      <c r="C1304">
        <v>77.239999999999995</v>
      </c>
      <c r="D1304">
        <v>8</v>
      </c>
      <c r="E1304">
        <v>3630.28</v>
      </c>
      <c r="F1304" t="s">
        <v>451</v>
      </c>
      <c r="G1304" t="s">
        <v>93</v>
      </c>
      <c r="H1304">
        <v>4</v>
      </c>
      <c r="I1304">
        <v>11</v>
      </c>
      <c r="J1304">
        <v>2003</v>
      </c>
      <c r="K1304" t="s">
        <v>697</v>
      </c>
      <c r="L1304">
        <v>87</v>
      </c>
      <c r="M1304" t="s">
        <v>801</v>
      </c>
      <c r="N1304" t="s">
        <v>439</v>
      </c>
      <c r="O1304">
        <v>5085559555</v>
      </c>
      <c r="P1304" t="s">
        <v>440</v>
      </c>
      <c r="R1304" t="s">
        <v>244</v>
      </c>
      <c r="S1304" t="s">
        <v>200</v>
      </c>
      <c r="T1304">
        <v>50553</v>
      </c>
      <c r="U1304" t="s">
        <v>100</v>
      </c>
      <c r="V1304" t="s">
        <v>101</v>
      </c>
      <c r="W1304" t="s">
        <v>441</v>
      </c>
      <c r="X1304" t="s">
        <v>442</v>
      </c>
      <c r="Y1304" t="s">
        <v>119</v>
      </c>
    </row>
    <row r="1305" spans="1:25">
      <c r="A1305">
        <v>10197</v>
      </c>
      <c r="B1305">
        <v>50</v>
      </c>
      <c r="C1305">
        <v>100</v>
      </c>
      <c r="D1305">
        <v>14</v>
      </c>
      <c r="E1305">
        <v>5090.5</v>
      </c>
      <c r="F1305" t="s">
        <v>458</v>
      </c>
      <c r="G1305" t="s">
        <v>93</v>
      </c>
      <c r="H1305">
        <v>4</v>
      </c>
      <c r="I1305">
        <v>11</v>
      </c>
      <c r="J1305">
        <v>2003</v>
      </c>
      <c r="K1305" t="s">
        <v>697</v>
      </c>
      <c r="L1305">
        <v>87</v>
      </c>
      <c r="M1305" t="s">
        <v>801</v>
      </c>
      <c r="N1305" t="s">
        <v>459</v>
      </c>
      <c r="O1305" t="s">
        <v>460</v>
      </c>
      <c r="P1305" t="s">
        <v>461</v>
      </c>
      <c r="R1305" t="s">
        <v>462</v>
      </c>
      <c r="T1305">
        <v>8022</v>
      </c>
      <c r="U1305" t="s">
        <v>261</v>
      </c>
      <c r="V1305" t="s">
        <v>110</v>
      </c>
      <c r="W1305" t="s">
        <v>463</v>
      </c>
      <c r="X1305" t="s">
        <v>464</v>
      </c>
      <c r="Y1305" t="s">
        <v>119</v>
      </c>
    </row>
    <row r="1306" spans="1:25">
      <c r="A1306">
        <v>10208</v>
      </c>
      <c r="B1306">
        <v>45</v>
      </c>
      <c r="C1306">
        <v>87.77</v>
      </c>
      <c r="D1306">
        <v>8</v>
      </c>
      <c r="E1306">
        <v>3949.65</v>
      </c>
      <c r="F1306" s="4">
        <v>38018</v>
      </c>
      <c r="G1306" t="s">
        <v>93</v>
      </c>
      <c r="H1306">
        <v>1</v>
      </c>
      <c r="I1306">
        <v>1</v>
      </c>
      <c r="J1306">
        <v>2004</v>
      </c>
      <c r="K1306" t="s">
        <v>697</v>
      </c>
      <c r="L1306">
        <v>87</v>
      </c>
      <c r="M1306" t="s">
        <v>801</v>
      </c>
      <c r="N1306" t="s">
        <v>310</v>
      </c>
      <c r="O1306" t="s">
        <v>311</v>
      </c>
      <c r="P1306" t="s">
        <v>312</v>
      </c>
      <c r="R1306" t="s">
        <v>313</v>
      </c>
      <c r="T1306">
        <v>69004</v>
      </c>
      <c r="U1306" t="s">
        <v>109</v>
      </c>
      <c r="V1306" t="s">
        <v>110</v>
      </c>
      <c r="W1306" t="s">
        <v>314</v>
      </c>
      <c r="X1306" t="s">
        <v>315</v>
      </c>
      <c r="Y1306" t="s">
        <v>119</v>
      </c>
    </row>
    <row r="1307" spans="1:25">
      <c r="A1307">
        <v>10221</v>
      </c>
      <c r="B1307">
        <v>39</v>
      </c>
      <c r="C1307">
        <v>89.53</v>
      </c>
      <c r="D1307">
        <v>2</v>
      </c>
      <c r="E1307">
        <v>3491.67</v>
      </c>
      <c r="F1307" t="s">
        <v>781</v>
      </c>
      <c r="G1307" t="s">
        <v>93</v>
      </c>
      <c r="H1307">
        <v>1</v>
      </c>
      <c r="I1307">
        <v>2</v>
      </c>
      <c r="J1307">
        <v>2004</v>
      </c>
      <c r="K1307" t="s">
        <v>697</v>
      </c>
      <c r="L1307">
        <v>87</v>
      </c>
      <c r="M1307" t="s">
        <v>801</v>
      </c>
      <c r="N1307" t="s">
        <v>475</v>
      </c>
      <c r="O1307" t="s">
        <v>476</v>
      </c>
      <c r="P1307" t="s">
        <v>477</v>
      </c>
      <c r="R1307" t="s">
        <v>478</v>
      </c>
      <c r="T1307" t="s">
        <v>479</v>
      </c>
      <c r="U1307" t="s">
        <v>480</v>
      </c>
      <c r="V1307" t="s">
        <v>110</v>
      </c>
      <c r="W1307" t="s">
        <v>481</v>
      </c>
      <c r="X1307" t="s">
        <v>482</v>
      </c>
      <c r="Y1307" t="s">
        <v>119</v>
      </c>
    </row>
    <row r="1308" spans="1:25">
      <c r="A1308">
        <v>10232</v>
      </c>
      <c r="B1308">
        <v>23</v>
      </c>
      <c r="C1308">
        <v>89.53</v>
      </c>
      <c r="D1308">
        <v>5</v>
      </c>
      <c r="E1308">
        <v>2059.19</v>
      </c>
      <c r="F1308" t="s">
        <v>782</v>
      </c>
      <c r="G1308" t="s">
        <v>93</v>
      </c>
      <c r="H1308">
        <v>1</v>
      </c>
      <c r="I1308">
        <v>3</v>
      </c>
      <c r="J1308">
        <v>2004</v>
      </c>
      <c r="K1308" t="s">
        <v>697</v>
      </c>
      <c r="L1308">
        <v>87</v>
      </c>
      <c r="M1308" t="s">
        <v>801</v>
      </c>
      <c r="N1308" t="s">
        <v>495</v>
      </c>
      <c r="O1308" t="s">
        <v>496</v>
      </c>
      <c r="P1308" t="s">
        <v>497</v>
      </c>
      <c r="R1308" t="s">
        <v>498</v>
      </c>
      <c r="S1308" t="s">
        <v>499</v>
      </c>
      <c r="T1308" t="s">
        <v>500</v>
      </c>
      <c r="U1308" t="s">
        <v>252</v>
      </c>
      <c r="V1308" t="s">
        <v>110</v>
      </c>
      <c r="W1308" t="s">
        <v>501</v>
      </c>
      <c r="X1308" t="s">
        <v>502</v>
      </c>
      <c r="Y1308" t="s">
        <v>104</v>
      </c>
    </row>
    <row r="1309" spans="1:25">
      <c r="A1309">
        <v>10248</v>
      </c>
      <c r="B1309">
        <v>42</v>
      </c>
      <c r="C1309">
        <v>75.48</v>
      </c>
      <c r="D1309">
        <v>11</v>
      </c>
      <c r="E1309">
        <v>3170.16</v>
      </c>
      <c r="F1309" s="4">
        <v>38173</v>
      </c>
      <c r="G1309" t="s">
        <v>444</v>
      </c>
      <c r="H1309">
        <v>2</v>
      </c>
      <c r="I1309">
        <v>5</v>
      </c>
      <c r="J1309">
        <v>2004</v>
      </c>
      <c r="K1309" t="s">
        <v>697</v>
      </c>
      <c r="L1309">
        <v>87</v>
      </c>
      <c r="M1309" t="s">
        <v>801</v>
      </c>
      <c r="N1309" t="s">
        <v>96</v>
      </c>
      <c r="O1309">
        <v>2125557818</v>
      </c>
      <c r="P1309" t="s">
        <v>97</v>
      </c>
      <c r="R1309" t="s">
        <v>98</v>
      </c>
      <c r="S1309" t="s">
        <v>99</v>
      </c>
      <c r="T1309">
        <v>10022</v>
      </c>
      <c r="U1309" t="s">
        <v>100</v>
      </c>
      <c r="V1309" t="s">
        <v>101</v>
      </c>
      <c r="W1309" t="s">
        <v>102</v>
      </c>
      <c r="X1309" t="s">
        <v>103</v>
      </c>
      <c r="Y1309" t="s">
        <v>119</v>
      </c>
    </row>
    <row r="1310" spans="1:25">
      <c r="A1310">
        <v>10261</v>
      </c>
      <c r="B1310">
        <v>20</v>
      </c>
      <c r="C1310">
        <v>89.53</v>
      </c>
      <c r="D1310">
        <v>9</v>
      </c>
      <c r="E1310">
        <v>1790.6</v>
      </c>
      <c r="F1310" t="s">
        <v>473</v>
      </c>
      <c r="G1310" t="s">
        <v>93</v>
      </c>
      <c r="H1310">
        <v>2</v>
      </c>
      <c r="I1310">
        <v>6</v>
      </c>
      <c r="J1310">
        <v>2004</v>
      </c>
      <c r="K1310" t="s">
        <v>697</v>
      </c>
      <c r="L1310">
        <v>87</v>
      </c>
      <c r="M1310" t="s">
        <v>801</v>
      </c>
      <c r="N1310" t="s">
        <v>391</v>
      </c>
      <c r="O1310" t="s">
        <v>392</v>
      </c>
      <c r="P1310" t="s">
        <v>393</v>
      </c>
      <c r="R1310" t="s">
        <v>394</v>
      </c>
      <c r="S1310" t="s">
        <v>395</v>
      </c>
      <c r="T1310" t="s">
        <v>396</v>
      </c>
      <c r="U1310" t="s">
        <v>322</v>
      </c>
      <c r="V1310" t="s">
        <v>101</v>
      </c>
      <c r="W1310" t="s">
        <v>397</v>
      </c>
      <c r="X1310" t="s">
        <v>398</v>
      </c>
      <c r="Y1310" t="s">
        <v>104</v>
      </c>
    </row>
    <row r="1311" spans="1:25">
      <c r="A1311">
        <v>10273</v>
      </c>
      <c r="B1311">
        <v>33</v>
      </c>
      <c r="C1311">
        <v>71.09</v>
      </c>
      <c r="D1311">
        <v>12</v>
      </c>
      <c r="E1311">
        <v>2345.9699999999998</v>
      </c>
      <c r="F1311" t="s">
        <v>474</v>
      </c>
      <c r="G1311" t="s">
        <v>93</v>
      </c>
      <c r="H1311">
        <v>3</v>
      </c>
      <c r="I1311">
        <v>7</v>
      </c>
      <c r="J1311">
        <v>2004</v>
      </c>
      <c r="K1311" t="s">
        <v>697</v>
      </c>
      <c r="L1311">
        <v>87</v>
      </c>
      <c r="M1311" t="s">
        <v>801</v>
      </c>
      <c r="N1311" t="s">
        <v>475</v>
      </c>
      <c r="O1311" t="s">
        <v>476</v>
      </c>
      <c r="P1311" t="s">
        <v>477</v>
      </c>
      <c r="R1311" t="s">
        <v>478</v>
      </c>
      <c r="T1311" t="s">
        <v>479</v>
      </c>
      <c r="U1311" t="s">
        <v>480</v>
      </c>
      <c r="V1311" t="s">
        <v>110</v>
      </c>
      <c r="W1311" t="s">
        <v>481</v>
      </c>
      <c r="X1311" t="s">
        <v>482</v>
      </c>
      <c r="Y1311" t="s">
        <v>104</v>
      </c>
    </row>
    <row r="1312" spans="1:25">
      <c r="A1312">
        <v>10283</v>
      </c>
      <c r="B1312">
        <v>34</v>
      </c>
      <c r="C1312">
        <v>100</v>
      </c>
      <c r="D1312">
        <v>14</v>
      </c>
      <c r="E1312">
        <v>3580.88</v>
      </c>
      <c r="F1312" t="s">
        <v>483</v>
      </c>
      <c r="G1312" t="s">
        <v>93</v>
      </c>
      <c r="H1312">
        <v>3</v>
      </c>
      <c r="I1312">
        <v>8</v>
      </c>
      <c r="J1312">
        <v>2004</v>
      </c>
      <c r="K1312" t="s">
        <v>697</v>
      </c>
      <c r="L1312">
        <v>87</v>
      </c>
      <c r="M1312" t="s">
        <v>801</v>
      </c>
      <c r="N1312" t="s">
        <v>484</v>
      </c>
      <c r="O1312" t="s">
        <v>485</v>
      </c>
      <c r="P1312" t="s">
        <v>486</v>
      </c>
      <c r="R1312" t="s">
        <v>487</v>
      </c>
      <c r="S1312" t="s">
        <v>320</v>
      </c>
      <c r="T1312" t="s">
        <v>488</v>
      </c>
      <c r="U1312" t="s">
        <v>322</v>
      </c>
      <c r="V1312" t="s">
        <v>101</v>
      </c>
      <c r="W1312" t="s">
        <v>489</v>
      </c>
      <c r="X1312" t="s">
        <v>254</v>
      </c>
      <c r="Y1312" t="s">
        <v>119</v>
      </c>
    </row>
    <row r="1313" spans="1:25">
      <c r="A1313">
        <v>10293</v>
      </c>
      <c r="B1313">
        <v>49</v>
      </c>
      <c r="C1313">
        <v>100</v>
      </c>
      <c r="D1313">
        <v>3</v>
      </c>
      <c r="E1313">
        <v>4946.0600000000004</v>
      </c>
      <c r="F1313" s="4">
        <v>38239</v>
      </c>
      <c r="G1313" t="s">
        <v>93</v>
      </c>
      <c r="H1313">
        <v>3</v>
      </c>
      <c r="I1313">
        <v>9</v>
      </c>
      <c r="J1313">
        <v>2004</v>
      </c>
      <c r="K1313" t="s">
        <v>697</v>
      </c>
      <c r="L1313">
        <v>87</v>
      </c>
      <c r="M1313" t="s">
        <v>801</v>
      </c>
      <c r="N1313" t="s">
        <v>348</v>
      </c>
      <c r="O1313" t="s">
        <v>349</v>
      </c>
      <c r="P1313" t="s">
        <v>350</v>
      </c>
      <c r="R1313" t="s">
        <v>351</v>
      </c>
      <c r="T1313">
        <v>10100</v>
      </c>
      <c r="U1313" t="s">
        <v>352</v>
      </c>
      <c r="V1313" t="s">
        <v>110</v>
      </c>
      <c r="W1313" t="s">
        <v>353</v>
      </c>
      <c r="X1313" t="s">
        <v>354</v>
      </c>
      <c r="Y1313" t="s">
        <v>119</v>
      </c>
    </row>
    <row r="1314" spans="1:25">
      <c r="A1314">
        <v>10306</v>
      </c>
      <c r="B1314">
        <v>39</v>
      </c>
      <c r="C1314">
        <v>90.4</v>
      </c>
      <c r="D1314">
        <v>8</v>
      </c>
      <c r="E1314">
        <v>3525.6</v>
      </c>
      <c r="F1314" t="s">
        <v>494</v>
      </c>
      <c r="G1314" t="s">
        <v>93</v>
      </c>
      <c r="H1314">
        <v>4</v>
      </c>
      <c r="I1314">
        <v>10</v>
      </c>
      <c r="J1314">
        <v>2004</v>
      </c>
      <c r="K1314" t="s">
        <v>697</v>
      </c>
      <c r="L1314">
        <v>87</v>
      </c>
      <c r="M1314" t="s">
        <v>801</v>
      </c>
      <c r="N1314" t="s">
        <v>624</v>
      </c>
      <c r="O1314" t="s">
        <v>625</v>
      </c>
      <c r="P1314" t="s">
        <v>626</v>
      </c>
      <c r="R1314" t="s">
        <v>627</v>
      </c>
      <c r="T1314" t="s">
        <v>628</v>
      </c>
      <c r="U1314" t="s">
        <v>252</v>
      </c>
      <c r="V1314" t="s">
        <v>110</v>
      </c>
      <c r="W1314" t="s">
        <v>629</v>
      </c>
      <c r="X1314" t="s">
        <v>167</v>
      </c>
      <c r="Y1314" t="s">
        <v>119</v>
      </c>
    </row>
    <row r="1315" spans="1:25">
      <c r="A1315">
        <v>10315</v>
      </c>
      <c r="B1315">
        <v>36</v>
      </c>
      <c r="C1315">
        <v>100</v>
      </c>
      <c r="D1315">
        <v>7</v>
      </c>
      <c r="E1315">
        <v>3602.16</v>
      </c>
      <c r="F1315" t="s">
        <v>802</v>
      </c>
      <c r="G1315" t="s">
        <v>93</v>
      </c>
      <c r="H1315">
        <v>4</v>
      </c>
      <c r="I1315">
        <v>10</v>
      </c>
      <c r="J1315">
        <v>2004</v>
      </c>
      <c r="K1315" t="s">
        <v>697</v>
      </c>
      <c r="L1315">
        <v>87</v>
      </c>
      <c r="M1315" t="s">
        <v>801</v>
      </c>
      <c r="N1315" t="s">
        <v>190</v>
      </c>
      <c r="O1315" t="s">
        <v>191</v>
      </c>
      <c r="P1315" t="s">
        <v>192</v>
      </c>
      <c r="R1315" t="s">
        <v>193</v>
      </c>
      <c r="T1315">
        <v>44000</v>
      </c>
      <c r="U1315" t="s">
        <v>109</v>
      </c>
      <c r="V1315" t="s">
        <v>110</v>
      </c>
      <c r="W1315" t="s">
        <v>194</v>
      </c>
      <c r="X1315" t="s">
        <v>195</v>
      </c>
      <c r="Y1315" t="s">
        <v>119</v>
      </c>
    </row>
    <row r="1316" spans="1:25">
      <c r="A1316">
        <v>10326</v>
      </c>
      <c r="B1316">
        <v>50</v>
      </c>
      <c r="C1316">
        <v>86.01</v>
      </c>
      <c r="D1316">
        <v>5</v>
      </c>
      <c r="E1316">
        <v>4300.5</v>
      </c>
      <c r="F1316" s="4">
        <v>38241</v>
      </c>
      <c r="G1316" t="s">
        <v>93</v>
      </c>
      <c r="H1316">
        <v>4</v>
      </c>
      <c r="I1316">
        <v>11</v>
      </c>
      <c r="J1316">
        <v>2004</v>
      </c>
      <c r="K1316" t="s">
        <v>697</v>
      </c>
      <c r="L1316">
        <v>87</v>
      </c>
      <c r="M1316" t="s">
        <v>801</v>
      </c>
      <c r="N1316" t="s">
        <v>268</v>
      </c>
      <c r="O1316" t="s">
        <v>269</v>
      </c>
      <c r="P1316" t="s">
        <v>270</v>
      </c>
      <c r="R1316" t="s">
        <v>271</v>
      </c>
      <c r="T1316" t="s">
        <v>272</v>
      </c>
      <c r="U1316" t="s">
        <v>273</v>
      </c>
      <c r="V1316" t="s">
        <v>110</v>
      </c>
      <c r="W1316" t="s">
        <v>274</v>
      </c>
      <c r="X1316" t="s">
        <v>275</v>
      </c>
      <c r="Y1316" t="s">
        <v>119</v>
      </c>
    </row>
    <row r="1317" spans="1:25">
      <c r="A1317">
        <v>10337</v>
      </c>
      <c r="B1317">
        <v>29</v>
      </c>
      <c r="C1317">
        <v>100</v>
      </c>
      <c r="D1317">
        <v>2</v>
      </c>
      <c r="E1317">
        <v>4498.1899999999996</v>
      </c>
      <c r="F1317" t="s">
        <v>503</v>
      </c>
      <c r="G1317" t="s">
        <v>93</v>
      </c>
      <c r="H1317">
        <v>4</v>
      </c>
      <c r="I1317">
        <v>11</v>
      </c>
      <c r="J1317">
        <v>2004</v>
      </c>
      <c r="K1317" t="s">
        <v>697</v>
      </c>
      <c r="L1317">
        <v>87</v>
      </c>
      <c r="M1317" t="s">
        <v>801</v>
      </c>
      <c r="N1317" t="s">
        <v>292</v>
      </c>
      <c r="O1317">
        <v>2125558493</v>
      </c>
      <c r="P1317" t="s">
        <v>293</v>
      </c>
      <c r="Q1317" t="s">
        <v>294</v>
      </c>
      <c r="R1317" t="s">
        <v>98</v>
      </c>
      <c r="S1317" t="s">
        <v>99</v>
      </c>
      <c r="T1317">
        <v>10022</v>
      </c>
      <c r="U1317" t="s">
        <v>100</v>
      </c>
      <c r="V1317" t="s">
        <v>101</v>
      </c>
      <c r="W1317" t="s">
        <v>201</v>
      </c>
      <c r="X1317" t="s">
        <v>295</v>
      </c>
      <c r="Y1317" t="s">
        <v>119</v>
      </c>
    </row>
    <row r="1318" spans="1:25">
      <c r="A1318">
        <v>10350</v>
      </c>
      <c r="B1318">
        <v>30</v>
      </c>
      <c r="C1318">
        <v>100</v>
      </c>
      <c r="D1318">
        <v>3</v>
      </c>
      <c r="E1318">
        <v>3023.1</v>
      </c>
      <c r="F1318" s="4">
        <v>38029</v>
      </c>
      <c r="G1318" t="s">
        <v>93</v>
      </c>
      <c r="H1318">
        <v>4</v>
      </c>
      <c r="I1318">
        <v>12</v>
      </c>
      <c r="J1318">
        <v>2004</v>
      </c>
      <c r="K1318" t="s">
        <v>697</v>
      </c>
      <c r="L1318">
        <v>87</v>
      </c>
      <c r="M1318" t="s">
        <v>801</v>
      </c>
      <c r="N1318" t="s">
        <v>257</v>
      </c>
      <c r="O1318" t="s">
        <v>258</v>
      </c>
      <c r="P1318" t="s">
        <v>259</v>
      </c>
      <c r="R1318" t="s">
        <v>260</v>
      </c>
      <c r="T1318">
        <v>28034</v>
      </c>
      <c r="U1318" t="s">
        <v>261</v>
      </c>
      <c r="V1318" t="s">
        <v>110</v>
      </c>
      <c r="W1318" t="s">
        <v>262</v>
      </c>
      <c r="X1318" t="s">
        <v>263</v>
      </c>
      <c r="Y1318" t="s">
        <v>119</v>
      </c>
    </row>
    <row r="1319" spans="1:25">
      <c r="A1319">
        <v>10372</v>
      </c>
      <c r="B1319">
        <v>41</v>
      </c>
      <c r="C1319">
        <v>86.89</v>
      </c>
      <c r="D1319">
        <v>7</v>
      </c>
      <c r="E1319">
        <v>3562.49</v>
      </c>
      <c r="F1319" t="s">
        <v>651</v>
      </c>
      <c r="G1319" t="s">
        <v>93</v>
      </c>
      <c r="H1319">
        <v>1</v>
      </c>
      <c r="I1319">
        <v>1</v>
      </c>
      <c r="J1319">
        <v>2005</v>
      </c>
      <c r="K1319" t="s">
        <v>697</v>
      </c>
      <c r="L1319">
        <v>87</v>
      </c>
      <c r="M1319" t="s">
        <v>801</v>
      </c>
      <c r="N1319" t="s">
        <v>338</v>
      </c>
      <c r="O1319" t="s">
        <v>339</v>
      </c>
      <c r="P1319" t="s">
        <v>340</v>
      </c>
      <c r="R1319" t="s">
        <v>341</v>
      </c>
      <c r="S1319" t="s">
        <v>342</v>
      </c>
      <c r="T1319" t="s">
        <v>343</v>
      </c>
      <c r="U1319" t="s">
        <v>288</v>
      </c>
      <c r="V1319" t="s">
        <v>288</v>
      </c>
      <c r="W1319" t="s">
        <v>344</v>
      </c>
      <c r="X1319" t="s">
        <v>345</v>
      </c>
      <c r="Y1319" t="s">
        <v>119</v>
      </c>
    </row>
    <row r="1320" spans="1:25">
      <c r="A1320">
        <v>10383</v>
      </c>
      <c r="B1320">
        <v>28</v>
      </c>
      <c r="C1320">
        <v>58.58</v>
      </c>
      <c r="D1320">
        <v>7</v>
      </c>
      <c r="E1320">
        <v>1640.24</v>
      </c>
      <c r="F1320" t="s">
        <v>760</v>
      </c>
      <c r="G1320" t="s">
        <v>93</v>
      </c>
      <c r="H1320">
        <v>1</v>
      </c>
      <c r="I1320">
        <v>2</v>
      </c>
      <c r="J1320">
        <v>2005</v>
      </c>
      <c r="K1320" t="s">
        <v>697</v>
      </c>
      <c r="L1320">
        <v>87</v>
      </c>
      <c r="M1320" t="s">
        <v>801</v>
      </c>
      <c r="N1320" t="s">
        <v>257</v>
      </c>
      <c r="O1320" t="s">
        <v>258</v>
      </c>
      <c r="P1320" t="s">
        <v>259</v>
      </c>
      <c r="R1320" t="s">
        <v>260</v>
      </c>
      <c r="T1320">
        <v>28034</v>
      </c>
      <c r="U1320" t="s">
        <v>261</v>
      </c>
      <c r="V1320" t="s">
        <v>110</v>
      </c>
      <c r="W1320" t="s">
        <v>262</v>
      </c>
      <c r="X1320" t="s">
        <v>263</v>
      </c>
      <c r="Y1320" t="s">
        <v>104</v>
      </c>
    </row>
    <row r="1321" spans="1:25">
      <c r="A1321">
        <v>10396</v>
      </c>
      <c r="B1321">
        <v>45</v>
      </c>
      <c r="C1321">
        <v>100</v>
      </c>
      <c r="D1321">
        <v>5</v>
      </c>
      <c r="E1321">
        <v>4739.3999999999996</v>
      </c>
      <c r="F1321" t="s">
        <v>658</v>
      </c>
      <c r="G1321" t="s">
        <v>93</v>
      </c>
      <c r="H1321">
        <v>1</v>
      </c>
      <c r="I1321">
        <v>3</v>
      </c>
      <c r="J1321">
        <v>2005</v>
      </c>
      <c r="K1321" t="s">
        <v>697</v>
      </c>
      <c r="L1321">
        <v>87</v>
      </c>
      <c r="M1321" t="s">
        <v>801</v>
      </c>
      <c r="N1321" t="s">
        <v>367</v>
      </c>
      <c r="O1321">
        <v>4155551450</v>
      </c>
      <c r="P1321" t="s">
        <v>368</v>
      </c>
      <c r="R1321" t="s">
        <v>369</v>
      </c>
      <c r="S1321" t="s">
        <v>124</v>
      </c>
      <c r="T1321">
        <v>97562</v>
      </c>
      <c r="U1321" t="s">
        <v>100</v>
      </c>
      <c r="V1321" t="s">
        <v>101</v>
      </c>
      <c r="W1321" t="s">
        <v>370</v>
      </c>
      <c r="X1321" t="s">
        <v>371</v>
      </c>
      <c r="Y1321" t="s">
        <v>119</v>
      </c>
    </row>
    <row r="1322" spans="1:25">
      <c r="A1322">
        <v>10414</v>
      </c>
      <c r="B1322">
        <v>16</v>
      </c>
      <c r="C1322">
        <v>75.48</v>
      </c>
      <c r="D1322">
        <v>11</v>
      </c>
      <c r="E1322">
        <v>1207.68</v>
      </c>
      <c r="F1322" s="4">
        <v>38508</v>
      </c>
      <c r="G1322" t="s">
        <v>518</v>
      </c>
      <c r="H1322">
        <v>2</v>
      </c>
      <c r="I1322">
        <v>5</v>
      </c>
      <c r="J1322">
        <v>2005</v>
      </c>
      <c r="K1322" t="s">
        <v>697</v>
      </c>
      <c r="L1322">
        <v>87</v>
      </c>
      <c r="M1322" t="s">
        <v>801</v>
      </c>
      <c r="N1322" t="s">
        <v>490</v>
      </c>
      <c r="O1322">
        <v>6175559555</v>
      </c>
      <c r="P1322" t="s">
        <v>491</v>
      </c>
      <c r="R1322" t="s">
        <v>492</v>
      </c>
      <c r="S1322" t="s">
        <v>200</v>
      </c>
      <c r="T1322">
        <v>51003</v>
      </c>
      <c r="U1322" t="s">
        <v>100</v>
      </c>
      <c r="V1322" t="s">
        <v>101</v>
      </c>
      <c r="W1322" t="s">
        <v>493</v>
      </c>
      <c r="X1322" t="s">
        <v>136</v>
      </c>
      <c r="Y1322" t="s">
        <v>104</v>
      </c>
    </row>
    <row r="1323" spans="1:25">
      <c r="A1323">
        <v>10103</v>
      </c>
      <c r="B1323">
        <v>36</v>
      </c>
      <c r="C1323">
        <v>100</v>
      </c>
      <c r="D1323">
        <v>5</v>
      </c>
      <c r="E1323">
        <v>4228.2</v>
      </c>
      <c r="F1323" t="s">
        <v>264</v>
      </c>
      <c r="G1323" t="s">
        <v>93</v>
      </c>
      <c r="H1323">
        <v>1</v>
      </c>
      <c r="I1323">
        <v>1</v>
      </c>
      <c r="J1323">
        <v>2003</v>
      </c>
      <c r="K1323" t="s">
        <v>638</v>
      </c>
      <c r="L1323">
        <v>121</v>
      </c>
      <c r="M1323" t="s">
        <v>803</v>
      </c>
      <c r="N1323" t="s">
        <v>212</v>
      </c>
      <c r="O1323" t="s">
        <v>213</v>
      </c>
      <c r="P1323" t="s">
        <v>214</v>
      </c>
      <c r="R1323" t="s">
        <v>215</v>
      </c>
      <c r="T1323">
        <v>4110</v>
      </c>
      <c r="U1323" t="s">
        <v>149</v>
      </c>
      <c r="V1323" t="s">
        <v>110</v>
      </c>
      <c r="W1323" t="s">
        <v>216</v>
      </c>
      <c r="X1323" t="s">
        <v>217</v>
      </c>
      <c r="Y1323" t="s">
        <v>119</v>
      </c>
    </row>
    <row r="1324" spans="1:25">
      <c r="A1324">
        <v>10114</v>
      </c>
      <c r="B1324">
        <v>41</v>
      </c>
      <c r="C1324">
        <v>100</v>
      </c>
      <c r="D1324">
        <v>9</v>
      </c>
      <c r="E1324">
        <v>4815.45</v>
      </c>
      <c r="F1324" s="4">
        <v>37625</v>
      </c>
      <c r="G1324" t="s">
        <v>93</v>
      </c>
      <c r="H1324">
        <v>2</v>
      </c>
      <c r="I1324">
        <v>4</v>
      </c>
      <c r="J1324">
        <v>2003</v>
      </c>
      <c r="K1324" t="s">
        <v>638</v>
      </c>
      <c r="L1324">
        <v>121</v>
      </c>
      <c r="M1324" t="s">
        <v>803</v>
      </c>
      <c r="N1324" t="s">
        <v>520</v>
      </c>
      <c r="O1324" t="s">
        <v>521</v>
      </c>
      <c r="P1324" t="s">
        <v>522</v>
      </c>
      <c r="R1324" t="s">
        <v>116</v>
      </c>
      <c r="T1324">
        <v>75012</v>
      </c>
      <c r="U1324" t="s">
        <v>109</v>
      </c>
      <c r="V1324" t="s">
        <v>110</v>
      </c>
      <c r="W1324" t="s">
        <v>523</v>
      </c>
      <c r="X1324" t="s">
        <v>524</v>
      </c>
      <c r="Y1324" t="s">
        <v>119</v>
      </c>
    </row>
    <row r="1325" spans="1:25">
      <c r="A1325">
        <v>10126</v>
      </c>
      <c r="B1325">
        <v>50</v>
      </c>
      <c r="C1325">
        <v>100</v>
      </c>
      <c r="D1325">
        <v>5</v>
      </c>
      <c r="E1325">
        <v>7083</v>
      </c>
      <c r="F1325" t="s">
        <v>276</v>
      </c>
      <c r="G1325" t="s">
        <v>93</v>
      </c>
      <c r="H1325">
        <v>2</v>
      </c>
      <c r="I1325">
        <v>5</v>
      </c>
      <c r="J1325">
        <v>2003</v>
      </c>
      <c r="K1325" t="s">
        <v>638</v>
      </c>
      <c r="L1325">
        <v>121</v>
      </c>
      <c r="M1325" t="s">
        <v>803</v>
      </c>
      <c r="N1325" t="s">
        <v>277</v>
      </c>
      <c r="O1325" t="s">
        <v>278</v>
      </c>
      <c r="P1325" t="s">
        <v>279</v>
      </c>
      <c r="R1325" t="s">
        <v>260</v>
      </c>
      <c r="T1325">
        <v>28023</v>
      </c>
      <c r="U1325" t="s">
        <v>261</v>
      </c>
      <c r="V1325" t="s">
        <v>110</v>
      </c>
      <c r="W1325" t="s">
        <v>280</v>
      </c>
      <c r="X1325" t="s">
        <v>281</v>
      </c>
      <c r="Y1325" t="s">
        <v>232</v>
      </c>
    </row>
    <row r="1326" spans="1:25">
      <c r="A1326">
        <v>10140</v>
      </c>
      <c r="B1326">
        <v>40</v>
      </c>
      <c r="C1326">
        <v>100</v>
      </c>
      <c r="D1326">
        <v>5</v>
      </c>
      <c r="E1326">
        <v>4601.2</v>
      </c>
      <c r="F1326" t="s">
        <v>282</v>
      </c>
      <c r="G1326" t="s">
        <v>93</v>
      </c>
      <c r="H1326">
        <v>3</v>
      </c>
      <c r="I1326">
        <v>7</v>
      </c>
      <c r="J1326">
        <v>2003</v>
      </c>
      <c r="K1326" t="s">
        <v>638</v>
      </c>
      <c r="L1326">
        <v>121</v>
      </c>
      <c r="M1326" t="s">
        <v>803</v>
      </c>
      <c r="N1326" t="s">
        <v>132</v>
      </c>
      <c r="O1326">
        <v>6505556809</v>
      </c>
      <c r="P1326" t="s">
        <v>133</v>
      </c>
      <c r="R1326" t="s">
        <v>134</v>
      </c>
      <c r="S1326" t="s">
        <v>124</v>
      </c>
      <c r="T1326">
        <v>94217</v>
      </c>
      <c r="U1326" t="s">
        <v>100</v>
      </c>
      <c r="V1326" t="s">
        <v>101</v>
      </c>
      <c r="W1326" t="s">
        <v>135</v>
      </c>
      <c r="X1326" t="s">
        <v>136</v>
      </c>
      <c r="Y1326" t="s">
        <v>119</v>
      </c>
    </row>
    <row r="1327" spans="1:25">
      <c r="A1327">
        <v>10150</v>
      </c>
      <c r="B1327">
        <v>49</v>
      </c>
      <c r="C1327">
        <v>100</v>
      </c>
      <c r="D1327">
        <v>2</v>
      </c>
      <c r="E1327">
        <v>6467.02</v>
      </c>
      <c r="F1327" t="s">
        <v>283</v>
      </c>
      <c r="G1327" t="s">
        <v>93</v>
      </c>
      <c r="H1327">
        <v>3</v>
      </c>
      <c r="I1327">
        <v>9</v>
      </c>
      <c r="J1327">
        <v>2003</v>
      </c>
      <c r="K1327" t="s">
        <v>638</v>
      </c>
      <c r="L1327">
        <v>121</v>
      </c>
      <c r="M1327" t="s">
        <v>803</v>
      </c>
      <c r="N1327" t="s">
        <v>284</v>
      </c>
      <c r="O1327" t="s">
        <v>285</v>
      </c>
      <c r="P1327" t="s">
        <v>286</v>
      </c>
      <c r="R1327" t="s">
        <v>287</v>
      </c>
      <c r="T1327">
        <v>79903</v>
      </c>
      <c r="U1327" t="s">
        <v>287</v>
      </c>
      <c r="V1327" t="s">
        <v>288</v>
      </c>
      <c r="W1327" t="s">
        <v>289</v>
      </c>
      <c r="X1327" t="s">
        <v>290</v>
      </c>
      <c r="Y1327" t="s">
        <v>119</v>
      </c>
    </row>
    <row r="1328" spans="1:25">
      <c r="A1328">
        <v>10164</v>
      </c>
      <c r="B1328">
        <v>45</v>
      </c>
      <c r="C1328">
        <v>100</v>
      </c>
      <c r="D1328">
        <v>3</v>
      </c>
      <c r="E1328">
        <v>5012.55</v>
      </c>
      <c r="F1328" t="s">
        <v>525</v>
      </c>
      <c r="G1328" t="s">
        <v>526</v>
      </c>
      <c r="H1328">
        <v>4</v>
      </c>
      <c r="I1328">
        <v>10</v>
      </c>
      <c r="J1328">
        <v>2003</v>
      </c>
      <c r="K1328" t="s">
        <v>638</v>
      </c>
      <c r="L1328">
        <v>121</v>
      </c>
      <c r="M1328" t="s">
        <v>803</v>
      </c>
      <c r="N1328" t="s">
        <v>527</v>
      </c>
      <c r="O1328" t="s">
        <v>528</v>
      </c>
      <c r="P1328" t="s">
        <v>529</v>
      </c>
      <c r="R1328" t="s">
        <v>530</v>
      </c>
      <c r="T1328">
        <v>8010</v>
      </c>
      <c r="U1328" t="s">
        <v>229</v>
      </c>
      <c r="V1328" t="s">
        <v>110</v>
      </c>
      <c r="W1328" t="s">
        <v>531</v>
      </c>
      <c r="X1328" t="s">
        <v>532</v>
      </c>
      <c r="Y1328" t="s">
        <v>119</v>
      </c>
    </row>
    <row r="1329" spans="1:25">
      <c r="A1329">
        <v>10175</v>
      </c>
      <c r="B1329">
        <v>47</v>
      </c>
      <c r="C1329">
        <v>100</v>
      </c>
      <c r="D1329">
        <v>10</v>
      </c>
      <c r="E1329">
        <v>5121.59</v>
      </c>
      <c r="F1329" s="4">
        <v>37783</v>
      </c>
      <c r="G1329" t="s">
        <v>93</v>
      </c>
      <c r="H1329">
        <v>4</v>
      </c>
      <c r="I1329">
        <v>11</v>
      </c>
      <c r="J1329">
        <v>2003</v>
      </c>
      <c r="K1329" t="s">
        <v>638</v>
      </c>
      <c r="L1329">
        <v>121</v>
      </c>
      <c r="M1329" t="s">
        <v>803</v>
      </c>
      <c r="N1329" t="s">
        <v>433</v>
      </c>
      <c r="O1329" t="s">
        <v>434</v>
      </c>
      <c r="P1329" t="s">
        <v>435</v>
      </c>
      <c r="R1329" t="s">
        <v>436</v>
      </c>
      <c r="T1329" t="s">
        <v>437</v>
      </c>
      <c r="U1329" t="s">
        <v>252</v>
      </c>
      <c r="V1329" t="s">
        <v>110</v>
      </c>
      <c r="W1329" t="s">
        <v>130</v>
      </c>
      <c r="X1329" t="s">
        <v>438</v>
      </c>
      <c r="Y1329" t="s">
        <v>119</v>
      </c>
    </row>
    <row r="1330" spans="1:25">
      <c r="A1330">
        <v>10183</v>
      </c>
      <c r="B1330">
        <v>21</v>
      </c>
      <c r="C1330">
        <v>100</v>
      </c>
      <c r="D1330">
        <v>2</v>
      </c>
      <c r="E1330">
        <v>2441.04</v>
      </c>
      <c r="F1330" t="s">
        <v>303</v>
      </c>
      <c r="G1330" t="s">
        <v>93</v>
      </c>
      <c r="H1330">
        <v>4</v>
      </c>
      <c r="I1330">
        <v>11</v>
      </c>
      <c r="J1330">
        <v>2003</v>
      </c>
      <c r="K1330" t="s">
        <v>638</v>
      </c>
      <c r="L1330">
        <v>121</v>
      </c>
      <c r="M1330" t="s">
        <v>803</v>
      </c>
      <c r="N1330" t="s">
        <v>304</v>
      </c>
      <c r="O1330">
        <v>2155554695</v>
      </c>
      <c r="P1330" t="s">
        <v>305</v>
      </c>
      <c r="R1330" t="s">
        <v>306</v>
      </c>
      <c r="S1330" t="s">
        <v>221</v>
      </c>
      <c r="T1330">
        <v>71270</v>
      </c>
      <c r="U1330" t="s">
        <v>100</v>
      </c>
      <c r="V1330" t="s">
        <v>101</v>
      </c>
      <c r="W1330" t="s">
        <v>307</v>
      </c>
      <c r="X1330" t="s">
        <v>308</v>
      </c>
      <c r="Y1330" t="s">
        <v>104</v>
      </c>
    </row>
    <row r="1331" spans="1:25">
      <c r="A1331">
        <v>10194</v>
      </c>
      <c r="B1331">
        <v>32</v>
      </c>
      <c r="C1331">
        <v>100</v>
      </c>
      <c r="D1331">
        <v>5</v>
      </c>
      <c r="E1331">
        <v>4262.08</v>
      </c>
      <c r="F1331" t="s">
        <v>309</v>
      </c>
      <c r="G1331" t="s">
        <v>93</v>
      </c>
      <c r="H1331">
        <v>4</v>
      </c>
      <c r="I1331">
        <v>11</v>
      </c>
      <c r="J1331">
        <v>2003</v>
      </c>
      <c r="K1331" t="s">
        <v>638</v>
      </c>
      <c r="L1331">
        <v>121</v>
      </c>
      <c r="M1331" t="s">
        <v>803</v>
      </c>
      <c r="N1331" t="s">
        <v>310</v>
      </c>
      <c r="O1331" t="s">
        <v>311</v>
      </c>
      <c r="P1331" t="s">
        <v>312</v>
      </c>
      <c r="R1331" t="s">
        <v>313</v>
      </c>
      <c r="T1331">
        <v>69004</v>
      </c>
      <c r="U1331" t="s">
        <v>109</v>
      </c>
      <c r="V1331" t="s">
        <v>110</v>
      </c>
      <c r="W1331" t="s">
        <v>314</v>
      </c>
      <c r="X1331" t="s">
        <v>315</v>
      </c>
      <c r="Y1331" t="s">
        <v>119</v>
      </c>
    </row>
    <row r="1332" spans="1:25">
      <c r="A1332">
        <v>10207</v>
      </c>
      <c r="B1332">
        <v>47</v>
      </c>
      <c r="C1332">
        <v>100</v>
      </c>
      <c r="D1332">
        <v>16</v>
      </c>
      <c r="E1332">
        <v>6658.02</v>
      </c>
      <c r="F1332" s="4">
        <v>37876</v>
      </c>
      <c r="G1332" t="s">
        <v>93</v>
      </c>
      <c r="H1332">
        <v>4</v>
      </c>
      <c r="I1332">
        <v>12</v>
      </c>
      <c r="J1332">
        <v>2003</v>
      </c>
      <c r="K1332" t="s">
        <v>638</v>
      </c>
      <c r="L1332">
        <v>121</v>
      </c>
      <c r="M1332" t="s">
        <v>803</v>
      </c>
      <c r="N1332" t="s">
        <v>533</v>
      </c>
      <c r="O1332">
        <v>6175552555</v>
      </c>
      <c r="P1332" t="s">
        <v>534</v>
      </c>
      <c r="R1332" t="s">
        <v>492</v>
      </c>
      <c r="S1332" t="s">
        <v>200</v>
      </c>
      <c r="T1332">
        <v>51003</v>
      </c>
      <c r="U1332" t="s">
        <v>100</v>
      </c>
      <c r="V1332" t="s">
        <v>101</v>
      </c>
      <c r="W1332" t="s">
        <v>535</v>
      </c>
      <c r="X1332" t="s">
        <v>371</v>
      </c>
      <c r="Y1332" t="s">
        <v>119</v>
      </c>
    </row>
    <row r="1333" spans="1:25">
      <c r="A1333">
        <v>10217</v>
      </c>
      <c r="B1333">
        <v>38</v>
      </c>
      <c r="C1333">
        <v>100</v>
      </c>
      <c r="D1333">
        <v>5</v>
      </c>
      <c r="E1333">
        <v>4509.08</v>
      </c>
      <c r="F1333" s="4">
        <v>38079</v>
      </c>
      <c r="G1333" t="s">
        <v>93</v>
      </c>
      <c r="H1333">
        <v>1</v>
      </c>
      <c r="I1333">
        <v>2</v>
      </c>
      <c r="J1333">
        <v>2004</v>
      </c>
      <c r="K1333" t="s">
        <v>638</v>
      </c>
      <c r="L1333">
        <v>121</v>
      </c>
      <c r="M1333" t="s">
        <v>803</v>
      </c>
      <c r="N1333" t="s">
        <v>536</v>
      </c>
      <c r="O1333" t="s">
        <v>537</v>
      </c>
      <c r="P1333" t="s">
        <v>538</v>
      </c>
      <c r="Q1333" t="s">
        <v>539</v>
      </c>
      <c r="R1333" t="s">
        <v>287</v>
      </c>
      <c r="T1333">
        <v>69045</v>
      </c>
      <c r="U1333" t="s">
        <v>287</v>
      </c>
      <c r="V1333" t="s">
        <v>169</v>
      </c>
      <c r="W1333" t="s">
        <v>540</v>
      </c>
      <c r="X1333" t="s">
        <v>541</v>
      </c>
      <c r="Y1333" t="s">
        <v>119</v>
      </c>
    </row>
    <row r="1334" spans="1:25">
      <c r="A1334">
        <v>10229</v>
      </c>
      <c r="B1334">
        <v>41</v>
      </c>
      <c r="C1334">
        <v>100</v>
      </c>
      <c r="D1334">
        <v>10</v>
      </c>
      <c r="E1334">
        <v>4716.2299999999996</v>
      </c>
      <c r="F1334" s="4">
        <v>38294</v>
      </c>
      <c r="G1334" t="s">
        <v>93</v>
      </c>
      <c r="H1334">
        <v>1</v>
      </c>
      <c r="I1334">
        <v>3</v>
      </c>
      <c r="J1334">
        <v>2004</v>
      </c>
      <c r="K1334" t="s">
        <v>638</v>
      </c>
      <c r="L1334">
        <v>121</v>
      </c>
      <c r="M1334" t="s">
        <v>803</v>
      </c>
      <c r="N1334" t="s">
        <v>367</v>
      </c>
      <c r="O1334">
        <v>4155551450</v>
      </c>
      <c r="P1334" t="s">
        <v>368</v>
      </c>
      <c r="R1334" t="s">
        <v>369</v>
      </c>
      <c r="S1334" t="s">
        <v>124</v>
      </c>
      <c r="T1334">
        <v>97562</v>
      </c>
      <c r="U1334" t="s">
        <v>100</v>
      </c>
      <c r="V1334" t="s">
        <v>101</v>
      </c>
      <c r="W1334" t="s">
        <v>370</v>
      </c>
      <c r="X1334" t="s">
        <v>371</v>
      </c>
      <c r="Y1334" t="s">
        <v>119</v>
      </c>
    </row>
    <row r="1335" spans="1:25">
      <c r="A1335">
        <v>10245</v>
      </c>
      <c r="B1335">
        <v>21</v>
      </c>
      <c r="C1335">
        <v>100</v>
      </c>
      <c r="D1335">
        <v>3</v>
      </c>
      <c r="E1335">
        <v>2390.2199999999998</v>
      </c>
      <c r="F1335" s="4">
        <v>38082</v>
      </c>
      <c r="G1335" t="s">
        <v>93</v>
      </c>
      <c r="H1335">
        <v>2</v>
      </c>
      <c r="I1335">
        <v>5</v>
      </c>
      <c r="J1335">
        <v>2004</v>
      </c>
      <c r="K1335" t="s">
        <v>638</v>
      </c>
      <c r="L1335">
        <v>121</v>
      </c>
      <c r="M1335" t="s">
        <v>803</v>
      </c>
      <c r="N1335" t="s">
        <v>333</v>
      </c>
      <c r="O1335">
        <v>2035559545</v>
      </c>
      <c r="P1335" t="s">
        <v>334</v>
      </c>
      <c r="R1335" t="s">
        <v>335</v>
      </c>
      <c r="S1335" t="s">
        <v>187</v>
      </c>
      <c r="T1335">
        <v>97823</v>
      </c>
      <c r="U1335" t="s">
        <v>100</v>
      </c>
      <c r="V1335" t="s">
        <v>101</v>
      </c>
      <c r="W1335" t="s">
        <v>154</v>
      </c>
      <c r="X1335" t="s">
        <v>336</v>
      </c>
      <c r="Y1335" t="s">
        <v>104</v>
      </c>
    </row>
    <row r="1336" spans="1:25">
      <c r="A1336">
        <v>10259</v>
      </c>
      <c r="B1336">
        <v>41</v>
      </c>
      <c r="C1336">
        <v>100</v>
      </c>
      <c r="D1336">
        <v>13</v>
      </c>
      <c r="E1336">
        <v>4666.62</v>
      </c>
      <c r="F1336" t="s">
        <v>337</v>
      </c>
      <c r="G1336" t="s">
        <v>93</v>
      </c>
      <c r="H1336">
        <v>2</v>
      </c>
      <c r="I1336">
        <v>6</v>
      </c>
      <c r="J1336">
        <v>2004</v>
      </c>
      <c r="K1336" t="s">
        <v>638</v>
      </c>
      <c r="L1336">
        <v>121</v>
      </c>
      <c r="M1336" t="s">
        <v>803</v>
      </c>
      <c r="N1336" t="s">
        <v>536</v>
      </c>
      <c r="O1336" t="s">
        <v>537</v>
      </c>
      <c r="P1336" t="s">
        <v>538</v>
      </c>
      <c r="Q1336" t="s">
        <v>539</v>
      </c>
      <c r="R1336" t="s">
        <v>287</v>
      </c>
      <c r="T1336">
        <v>69045</v>
      </c>
      <c r="U1336" t="s">
        <v>287</v>
      </c>
      <c r="V1336" t="s">
        <v>169</v>
      </c>
      <c r="W1336" t="s">
        <v>540</v>
      </c>
      <c r="X1336" t="s">
        <v>541</v>
      </c>
      <c r="Y1336" t="s">
        <v>119</v>
      </c>
    </row>
    <row r="1337" spans="1:25">
      <c r="A1337">
        <v>10270</v>
      </c>
      <c r="B1337">
        <v>38</v>
      </c>
      <c r="C1337">
        <v>100</v>
      </c>
      <c r="D1337">
        <v>3</v>
      </c>
      <c r="E1337">
        <v>5383.08</v>
      </c>
      <c r="F1337" t="s">
        <v>346</v>
      </c>
      <c r="G1337" t="s">
        <v>93</v>
      </c>
      <c r="H1337">
        <v>3</v>
      </c>
      <c r="I1337">
        <v>7</v>
      </c>
      <c r="J1337">
        <v>2004</v>
      </c>
      <c r="K1337" t="s">
        <v>638</v>
      </c>
      <c r="L1337">
        <v>121</v>
      </c>
      <c r="M1337" t="s">
        <v>803</v>
      </c>
      <c r="N1337" t="s">
        <v>234</v>
      </c>
      <c r="O1337" t="s">
        <v>235</v>
      </c>
      <c r="P1337" t="s">
        <v>236</v>
      </c>
      <c r="Q1337" t="s">
        <v>237</v>
      </c>
      <c r="R1337" t="s">
        <v>238</v>
      </c>
      <c r="S1337" t="s">
        <v>239</v>
      </c>
      <c r="T1337">
        <v>2067</v>
      </c>
      <c r="U1337" t="s">
        <v>168</v>
      </c>
      <c r="V1337" t="s">
        <v>169</v>
      </c>
      <c r="W1337" t="s">
        <v>240</v>
      </c>
      <c r="X1337" t="s">
        <v>241</v>
      </c>
      <c r="Y1337" t="s">
        <v>119</v>
      </c>
    </row>
    <row r="1338" spans="1:25">
      <c r="A1338">
        <v>10281</v>
      </c>
      <c r="B1338">
        <v>25</v>
      </c>
      <c r="C1338">
        <v>99.29</v>
      </c>
      <c r="D1338">
        <v>10</v>
      </c>
      <c r="E1338">
        <v>2482.25</v>
      </c>
      <c r="F1338" t="s">
        <v>542</v>
      </c>
      <c r="G1338" t="s">
        <v>93</v>
      </c>
      <c r="H1338">
        <v>3</v>
      </c>
      <c r="I1338">
        <v>8</v>
      </c>
      <c r="J1338">
        <v>2004</v>
      </c>
      <c r="K1338" t="s">
        <v>638</v>
      </c>
      <c r="L1338">
        <v>121</v>
      </c>
      <c r="M1338" t="s">
        <v>803</v>
      </c>
      <c r="N1338" t="s">
        <v>218</v>
      </c>
      <c r="O1338">
        <v>2155551555</v>
      </c>
      <c r="P1338" t="s">
        <v>219</v>
      </c>
      <c r="R1338" t="s">
        <v>220</v>
      </c>
      <c r="S1338" t="s">
        <v>221</v>
      </c>
      <c r="T1338">
        <v>70267</v>
      </c>
      <c r="U1338" t="s">
        <v>100</v>
      </c>
      <c r="V1338" t="s">
        <v>101</v>
      </c>
      <c r="W1338" t="s">
        <v>102</v>
      </c>
      <c r="X1338" t="s">
        <v>222</v>
      </c>
      <c r="Y1338" t="s">
        <v>104</v>
      </c>
    </row>
    <row r="1339" spans="1:25">
      <c r="A1339">
        <v>10291</v>
      </c>
      <c r="B1339">
        <v>48</v>
      </c>
      <c r="C1339">
        <v>100</v>
      </c>
      <c r="D1339">
        <v>5</v>
      </c>
      <c r="E1339">
        <v>5288.64</v>
      </c>
      <c r="F1339" s="4">
        <v>38208</v>
      </c>
      <c r="G1339" t="s">
        <v>93</v>
      </c>
      <c r="H1339">
        <v>3</v>
      </c>
      <c r="I1339">
        <v>9</v>
      </c>
      <c r="J1339">
        <v>2004</v>
      </c>
      <c r="K1339" t="s">
        <v>638</v>
      </c>
      <c r="L1339">
        <v>121</v>
      </c>
      <c r="M1339" t="s">
        <v>803</v>
      </c>
      <c r="N1339" t="s">
        <v>355</v>
      </c>
      <c r="O1339" t="s">
        <v>356</v>
      </c>
      <c r="P1339" t="s">
        <v>357</v>
      </c>
      <c r="R1339" t="s">
        <v>358</v>
      </c>
      <c r="T1339" t="s">
        <v>359</v>
      </c>
      <c r="U1339" t="s">
        <v>273</v>
      </c>
      <c r="V1339" t="s">
        <v>110</v>
      </c>
      <c r="W1339" t="s">
        <v>360</v>
      </c>
      <c r="X1339" t="s">
        <v>295</v>
      </c>
      <c r="Y1339" t="s">
        <v>119</v>
      </c>
    </row>
    <row r="1340" spans="1:25">
      <c r="A1340">
        <v>10305</v>
      </c>
      <c r="B1340">
        <v>22</v>
      </c>
      <c r="C1340">
        <v>99.29</v>
      </c>
      <c r="D1340">
        <v>14</v>
      </c>
      <c r="E1340">
        <v>2184.38</v>
      </c>
      <c r="F1340" t="s">
        <v>543</v>
      </c>
      <c r="G1340" t="s">
        <v>93</v>
      </c>
      <c r="H1340">
        <v>4</v>
      </c>
      <c r="I1340">
        <v>10</v>
      </c>
      <c r="J1340">
        <v>2004</v>
      </c>
      <c r="K1340" t="s">
        <v>638</v>
      </c>
      <c r="L1340">
        <v>121</v>
      </c>
      <c r="M1340" t="s">
        <v>803</v>
      </c>
      <c r="N1340" t="s">
        <v>197</v>
      </c>
      <c r="O1340">
        <v>6175558555</v>
      </c>
      <c r="P1340" t="s">
        <v>198</v>
      </c>
      <c r="R1340" t="s">
        <v>199</v>
      </c>
      <c r="S1340" t="s">
        <v>200</v>
      </c>
      <c r="T1340">
        <v>51247</v>
      </c>
      <c r="U1340" t="s">
        <v>100</v>
      </c>
      <c r="V1340" t="s">
        <v>101</v>
      </c>
      <c r="W1340" t="s">
        <v>201</v>
      </c>
      <c r="X1340" t="s">
        <v>202</v>
      </c>
      <c r="Y1340" t="s">
        <v>104</v>
      </c>
    </row>
    <row r="1341" spans="1:25">
      <c r="A1341">
        <v>10313</v>
      </c>
      <c r="B1341">
        <v>28</v>
      </c>
      <c r="C1341">
        <v>100</v>
      </c>
      <c r="D1341">
        <v>8</v>
      </c>
      <c r="E1341">
        <v>2881.76</v>
      </c>
      <c r="F1341" t="s">
        <v>544</v>
      </c>
      <c r="G1341" t="s">
        <v>93</v>
      </c>
      <c r="H1341">
        <v>4</v>
      </c>
      <c r="I1341">
        <v>10</v>
      </c>
      <c r="J1341">
        <v>2004</v>
      </c>
      <c r="K1341" t="s">
        <v>638</v>
      </c>
      <c r="L1341">
        <v>121</v>
      </c>
      <c r="M1341" t="s">
        <v>803</v>
      </c>
      <c r="N1341" t="s">
        <v>316</v>
      </c>
      <c r="O1341" t="s">
        <v>317</v>
      </c>
      <c r="P1341" t="s">
        <v>318</v>
      </c>
      <c r="R1341" t="s">
        <v>319</v>
      </c>
      <c r="S1341" t="s">
        <v>320</v>
      </c>
      <c r="T1341" t="s">
        <v>321</v>
      </c>
      <c r="U1341" t="s">
        <v>322</v>
      </c>
      <c r="V1341" t="s">
        <v>101</v>
      </c>
      <c r="W1341" t="s">
        <v>323</v>
      </c>
      <c r="X1341" t="s">
        <v>324</v>
      </c>
      <c r="Y1341" t="s">
        <v>104</v>
      </c>
    </row>
    <row r="1342" spans="1:25">
      <c r="A1342">
        <v>10323</v>
      </c>
      <c r="B1342">
        <v>47</v>
      </c>
      <c r="C1342">
        <v>100</v>
      </c>
      <c r="D1342">
        <v>1</v>
      </c>
      <c r="E1342">
        <v>6203.06</v>
      </c>
      <c r="F1342" s="4">
        <v>38118</v>
      </c>
      <c r="G1342" t="s">
        <v>93</v>
      </c>
      <c r="H1342">
        <v>4</v>
      </c>
      <c r="I1342">
        <v>11</v>
      </c>
      <c r="J1342">
        <v>2004</v>
      </c>
      <c r="K1342" t="s">
        <v>638</v>
      </c>
      <c r="L1342">
        <v>121</v>
      </c>
      <c r="M1342" t="s">
        <v>803</v>
      </c>
      <c r="N1342" t="s">
        <v>587</v>
      </c>
      <c r="O1342" t="s">
        <v>588</v>
      </c>
      <c r="P1342" t="s">
        <v>589</v>
      </c>
      <c r="R1342" t="s">
        <v>590</v>
      </c>
      <c r="T1342">
        <v>60528</v>
      </c>
      <c r="U1342" t="s">
        <v>566</v>
      </c>
      <c r="V1342" t="s">
        <v>110</v>
      </c>
      <c r="W1342" t="s">
        <v>591</v>
      </c>
      <c r="X1342" t="s">
        <v>532</v>
      </c>
      <c r="Y1342" t="s">
        <v>119</v>
      </c>
    </row>
    <row r="1343" spans="1:25">
      <c r="A1343">
        <v>10334</v>
      </c>
      <c r="B1343">
        <v>49</v>
      </c>
      <c r="C1343">
        <v>100</v>
      </c>
      <c r="D1343">
        <v>4</v>
      </c>
      <c r="E1343">
        <v>6763.47</v>
      </c>
      <c r="F1343" t="s">
        <v>545</v>
      </c>
      <c r="G1343" t="s">
        <v>518</v>
      </c>
      <c r="H1343">
        <v>4</v>
      </c>
      <c r="I1343">
        <v>11</v>
      </c>
      <c r="J1343">
        <v>2004</v>
      </c>
      <c r="K1343" t="s">
        <v>638</v>
      </c>
      <c r="L1343">
        <v>121</v>
      </c>
      <c r="M1343" t="s">
        <v>803</v>
      </c>
      <c r="N1343" t="s">
        <v>268</v>
      </c>
      <c r="O1343" t="s">
        <v>269</v>
      </c>
      <c r="P1343" t="s">
        <v>270</v>
      </c>
      <c r="R1343" t="s">
        <v>271</v>
      </c>
      <c r="T1343" t="s">
        <v>272</v>
      </c>
      <c r="U1343" t="s">
        <v>273</v>
      </c>
      <c r="V1343" t="s">
        <v>110</v>
      </c>
      <c r="W1343" t="s">
        <v>274</v>
      </c>
      <c r="X1343" t="s">
        <v>275</v>
      </c>
      <c r="Y1343" t="s">
        <v>119</v>
      </c>
    </row>
    <row r="1344" spans="1:25">
      <c r="A1344">
        <v>10347</v>
      </c>
      <c r="B1344">
        <v>45</v>
      </c>
      <c r="C1344">
        <v>100</v>
      </c>
      <c r="D1344">
        <v>4</v>
      </c>
      <c r="E1344">
        <v>5884.65</v>
      </c>
      <c r="F1344" t="s">
        <v>377</v>
      </c>
      <c r="G1344" t="s">
        <v>93</v>
      </c>
      <c r="H1344">
        <v>4</v>
      </c>
      <c r="I1344">
        <v>11</v>
      </c>
      <c r="J1344">
        <v>2004</v>
      </c>
      <c r="K1344" t="s">
        <v>638</v>
      </c>
      <c r="L1344">
        <v>121</v>
      </c>
      <c r="M1344" t="s">
        <v>803</v>
      </c>
      <c r="N1344" t="s">
        <v>162</v>
      </c>
      <c r="O1344" t="s">
        <v>163</v>
      </c>
      <c r="P1344" t="s">
        <v>164</v>
      </c>
      <c r="Q1344" t="s">
        <v>165</v>
      </c>
      <c r="R1344" t="s">
        <v>166</v>
      </c>
      <c r="S1344" t="s">
        <v>167</v>
      </c>
      <c r="T1344">
        <v>3004</v>
      </c>
      <c r="U1344" t="s">
        <v>168</v>
      </c>
      <c r="V1344" t="s">
        <v>169</v>
      </c>
      <c r="W1344" t="s">
        <v>170</v>
      </c>
      <c r="X1344" t="s">
        <v>171</v>
      </c>
      <c r="Y1344" t="s">
        <v>119</v>
      </c>
    </row>
    <row r="1345" spans="1:25">
      <c r="A1345">
        <v>10357</v>
      </c>
      <c r="B1345">
        <v>28</v>
      </c>
      <c r="C1345">
        <v>100</v>
      </c>
      <c r="D1345">
        <v>2</v>
      </c>
      <c r="E1345">
        <v>3559.64</v>
      </c>
      <c r="F1345" s="4">
        <v>38272</v>
      </c>
      <c r="G1345" t="s">
        <v>93</v>
      </c>
      <c r="H1345">
        <v>4</v>
      </c>
      <c r="I1345">
        <v>12</v>
      </c>
      <c r="J1345">
        <v>2004</v>
      </c>
      <c r="K1345" t="s">
        <v>638</v>
      </c>
      <c r="L1345">
        <v>121</v>
      </c>
      <c r="M1345" t="s">
        <v>803</v>
      </c>
      <c r="N1345" t="s">
        <v>367</v>
      </c>
      <c r="O1345">
        <v>4155551450</v>
      </c>
      <c r="P1345" t="s">
        <v>368</v>
      </c>
      <c r="R1345" t="s">
        <v>369</v>
      </c>
      <c r="S1345" t="s">
        <v>124</v>
      </c>
      <c r="T1345">
        <v>97562</v>
      </c>
      <c r="U1345" t="s">
        <v>100</v>
      </c>
      <c r="V1345" t="s">
        <v>101</v>
      </c>
      <c r="W1345" t="s">
        <v>370</v>
      </c>
      <c r="X1345" t="s">
        <v>371</v>
      </c>
      <c r="Y1345" t="s">
        <v>119</v>
      </c>
    </row>
    <row r="1346" spans="1:25">
      <c r="A1346">
        <v>10370</v>
      </c>
      <c r="B1346">
        <v>29</v>
      </c>
      <c r="C1346">
        <v>57.53</v>
      </c>
      <c r="D1346">
        <v>6</v>
      </c>
      <c r="E1346">
        <v>1668.37</v>
      </c>
      <c r="F1346" t="s">
        <v>378</v>
      </c>
      <c r="G1346" t="s">
        <v>93</v>
      </c>
      <c r="H1346">
        <v>1</v>
      </c>
      <c r="I1346">
        <v>1</v>
      </c>
      <c r="J1346">
        <v>2005</v>
      </c>
      <c r="K1346" t="s">
        <v>638</v>
      </c>
      <c r="L1346">
        <v>121</v>
      </c>
      <c r="M1346" t="s">
        <v>803</v>
      </c>
      <c r="N1346" t="s">
        <v>384</v>
      </c>
      <c r="O1346" t="s">
        <v>385</v>
      </c>
      <c r="P1346" t="s">
        <v>386</v>
      </c>
      <c r="Q1346" t="s">
        <v>387</v>
      </c>
      <c r="R1346" t="s">
        <v>388</v>
      </c>
      <c r="S1346" t="s">
        <v>239</v>
      </c>
      <c r="T1346">
        <v>2060</v>
      </c>
      <c r="U1346" t="s">
        <v>168</v>
      </c>
      <c r="V1346" t="s">
        <v>169</v>
      </c>
      <c r="W1346" t="s">
        <v>389</v>
      </c>
      <c r="X1346" t="s">
        <v>390</v>
      </c>
      <c r="Y1346" t="s">
        <v>104</v>
      </c>
    </row>
    <row r="1347" spans="1:25">
      <c r="A1347">
        <v>10382</v>
      </c>
      <c r="B1347">
        <v>39</v>
      </c>
      <c r="C1347">
        <v>100</v>
      </c>
      <c r="D1347">
        <v>1</v>
      </c>
      <c r="E1347">
        <v>4890.6000000000004</v>
      </c>
      <c r="F1347" t="s">
        <v>383</v>
      </c>
      <c r="G1347" t="s">
        <v>93</v>
      </c>
      <c r="H1347">
        <v>1</v>
      </c>
      <c r="I1347">
        <v>2</v>
      </c>
      <c r="J1347">
        <v>2005</v>
      </c>
      <c r="K1347" t="s">
        <v>638</v>
      </c>
      <c r="L1347">
        <v>121</v>
      </c>
      <c r="M1347" t="s">
        <v>803</v>
      </c>
      <c r="N1347" t="s">
        <v>367</v>
      </c>
      <c r="O1347">
        <v>4155551450</v>
      </c>
      <c r="P1347" t="s">
        <v>368</v>
      </c>
      <c r="R1347" t="s">
        <v>369</v>
      </c>
      <c r="S1347" t="s">
        <v>124</v>
      </c>
      <c r="T1347">
        <v>97562</v>
      </c>
      <c r="U1347" t="s">
        <v>100</v>
      </c>
      <c r="V1347" t="s">
        <v>101</v>
      </c>
      <c r="W1347" t="s">
        <v>370</v>
      </c>
      <c r="X1347" t="s">
        <v>371</v>
      </c>
      <c r="Y1347" t="s">
        <v>119</v>
      </c>
    </row>
    <row r="1348" spans="1:25">
      <c r="A1348">
        <v>10411</v>
      </c>
      <c r="B1348">
        <v>46</v>
      </c>
      <c r="C1348">
        <v>100</v>
      </c>
      <c r="D1348">
        <v>3</v>
      </c>
      <c r="E1348">
        <v>5235.72</v>
      </c>
      <c r="F1348" s="4">
        <v>38357</v>
      </c>
      <c r="G1348" t="s">
        <v>93</v>
      </c>
      <c r="H1348">
        <v>2</v>
      </c>
      <c r="I1348">
        <v>5</v>
      </c>
      <c r="J1348">
        <v>2005</v>
      </c>
      <c r="K1348" t="s">
        <v>638</v>
      </c>
      <c r="L1348">
        <v>121</v>
      </c>
      <c r="M1348" t="s">
        <v>803</v>
      </c>
      <c r="N1348" t="s">
        <v>391</v>
      </c>
      <c r="O1348" t="s">
        <v>392</v>
      </c>
      <c r="P1348" t="s">
        <v>393</v>
      </c>
      <c r="R1348" t="s">
        <v>394</v>
      </c>
      <c r="S1348" t="s">
        <v>395</v>
      </c>
      <c r="T1348" t="s">
        <v>396</v>
      </c>
      <c r="U1348" t="s">
        <v>322</v>
      </c>
      <c r="V1348" t="s">
        <v>101</v>
      </c>
      <c r="W1348" t="s">
        <v>397</v>
      </c>
      <c r="X1348" t="s">
        <v>398</v>
      </c>
      <c r="Y1348" t="s">
        <v>119</v>
      </c>
    </row>
    <row r="1349" spans="1:25">
      <c r="A1349">
        <v>10425</v>
      </c>
      <c r="B1349">
        <v>38</v>
      </c>
      <c r="C1349">
        <v>100</v>
      </c>
      <c r="D1349">
        <v>13</v>
      </c>
      <c r="E1349">
        <v>4325.16</v>
      </c>
      <c r="F1349" t="s">
        <v>399</v>
      </c>
      <c r="G1349" t="s">
        <v>400</v>
      </c>
      <c r="H1349">
        <v>2</v>
      </c>
      <c r="I1349">
        <v>5</v>
      </c>
      <c r="J1349">
        <v>2005</v>
      </c>
      <c r="K1349" t="s">
        <v>638</v>
      </c>
      <c r="L1349">
        <v>121</v>
      </c>
      <c r="M1349" t="s">
        <v>803</v>
      </c>
      <c r="N1349" t="s">
        <v>190</v>
      </c>
      <c r="O1349" t="s">
        <v>191</v>
      </c>
      <c r="P1349" t="s">
        <v>192</v>
      </c>
      <c r="R1349" t="s">
        <v>193</v>
      </c>
      <c r="T1349">
        <v>44000</v>
      </c>
      <c r="U1349" t="s">
        <v>109</v>
      </c>
      <c r="V1349" t="s">
        <v>110</v>
      </c>
      <c r="W1349" t="s">
        <v>194</v>
      </c>
      <c r="X1349" t="s">
        <v>195</v>
      </c>
      <c r="Y1349" t="s">
        <v>119</v>
      </c>
    </row>
    <row r="1350" spans="1:25">
      <c r="A1350">
        <v>10103</v>
      </c>
      <c r="B1350">
        <v>41</v>
      </c>
      <c r="C1350">
        <v>47.29</v>
      </c>
      <c r="D1350">
        <v>9</v>
      </c>
      <c r="E1350">
        <v>1938.89</v>
      </c>
      <c r="F1350" t="s">
        <v>264</v>
      </c>
      <c r="G1350" t="s">
        <v>93</v>
      </c>
      <c r="H1350">
        <v>1</v>
      </c>
      <c r="I1350">
        <v>1</v>
      </c>
      <c r="J1350">
        <v>2003</v>
      </c>
      <c r="K1350" t="s">
        <v>697</v>
      </c>
      <c r="L1350">
        <v>50</v>
      </c>
      <c r="M1350" t="s">
        <v>804</v>
      </c>
      <c r="N1350" t="s">
        <v>212</v>
      </c>
      <c r="O1350" t="s">
        <v>213</v>
      </c>
      <c r="P1350" t="s">
        <v>214</v>
      </c>
      <c r="R1350" t="s">
        <v>215</v>
      </c>
      <c r="T1350">
        <v>4110</v>
      </c>
      <c r="U1350" t="s">
        <v>149</v>
      </c>
      <c r="V1350" t="s">
        <v>110</v>
      </c>
      <c r="W1350" t="s">
        <v>216</v>
      </c>
      <c r="X1350" t="s">
        <v>217</v>
      </c>
      <c r="Y1350" t="s">
        <v>104</v>
      </c>
    </row>
    <row r="1351" spans="1:25">
      <c r="A1351">
        <v>10113</v>
      </c>
      <c r="B1351">
        <v>50</v>
      </c>
      <c r="C1351">
        <v>49.81</v>
      </c>
      <c r="D1351">
        <v>3</v>
      </c>
      <c r="E1351">
        <v>2490.5</v>
      </c>
      <c r="F1351" t="s">
        <v>640</v>
      </c>
      <c r="G1351" t="s">
        <v>93</v>
      </c>
      <c r="H1351">
        <v>1</v>
      </c>
      <c r="I1351">
        <v>3</v>
      </c>
      <c r="J1351">
        <v>2003</v>
      </c>
      <c r="K1351" t="s">
        <v>697</v>
      </c>
      <c r="L1351">
        <v>50</v>
      </c>
      <c r="M1351" t="s">
        <v>804</v>
      </c>
      <c r="N1351" t="s">
        <v>367</v>
      </c>
      <c r="O1351">
        <v>4155551450</v>
      </c>
      <c r="P1351" t="s">
        <v>368</v>
      </c>
      <c r="R1351" t="s">
        <v>369</v>
      </c>
      <c r="S1351" t="s">
        <v>124</v>
      </c>
      <c r="T1351">
        <v>97562</v>
      </c>
      <c r="U1351" t="s">
        <v>100</v>
      </c>
      <c r="V1351" t="s">
        <v>101</v>
      </c>
      <c r="W1351" t="s">
        <v>370</v>
      </c>
      <c r="X1351" t="s">
        <v>371</v>
      </c>
      <c r="Y1351" t="s">
        <v>104</v>
      </c>
    </row>
    <row r="1352" spans="1:25">
      <c r="A1352">
        <v>10126</v>
      </c>
      <c r="B1352">
        <v>43</v>
      </c>
      <c r="C1352">
        <v>53.83</v>
      </c>
      <c r="D1352">
        <v>9</v>
      </c>
      <c r="E1352">
        <v>2314.69</v>
      </c>
      <c r="F1352" t="s">
        <v>276</v>
      </c>
      <c r="G1352" t="s">
        <v>93</v>
      </c>
      <c r="H1352">
        <v>2</v>
      </c>
      <c r="I1352">
        <v>5</v>
      </c>
      <c r="J1352">
        <v>2003</v>
      </c>
      <c r="K1352" t="s">
        <v>697</v>
      </c>
      <c r="L1352">
        <v>50</v>
      </c>
      <c r="M1352" t="s">
        <v>804</v>
      </c>
      <c r="N1352" t="s">
        <v>277</v>
      </c>
      <c r="O1352" t="s">
        <v>278</v>
      </c>
      <c r="P1352" t="s">
        <v>279</v>
      </c>
      <c r="R1352" t="s">
        <v>260</v>
      </c>
      <c r="T1352">
        <v>28023</v>
      </c>
      <c r="U1352" t="s">
        <v>261</v>
      </c>
      <c r="V1352" t="s">
        <v>110</v>
      </c>
      <c r="W1352" t="s">
        <v>280</v>
      </c>
      <c r="X1352" t="s">
        <v>281</v>
      </c>
      <c r="Y1352" t="s">
        <v>104</v>
      </c>
    </row>
    <row r="1353" spans="1:25">
      <c r="A1353">
        <v>10140</v>
      </c>
      <c r="B1353">
        <v>29</v>
      </c>
      <c r="C1353">
        <v>43.27</v>
      </c>
      <c r="D1353">
        <v>9</v>
      </c>
      <c r="E1353">
        <v>1254.83</v>
      </c>
      <c r="F1353" t="s">
        <v>282</v>
      </c>
      <c r="G1353" t="s">
        <v>93</v>
      </c>
      <c r="H1353">
        <v>3</v>
      </c>
      <c r="I1353">
        <v>7</v>
      </c>
      <c r="J1353">
        <v>2003</v>
      </c>
      <c r="K1353" t="s">
        <v>697</v>
      </c>
      <c r="L1353">
        <v>50</v>
      </c>
      <c r="M1353" t="s">
        <v>804</v>
      </c>
      <c r="N1353" t="s">
        <v>132</v>
      </c>
      <c r="O1353">
        <v>6505556809</v>
      </c>
      <c r="P1353" t="s">
        <v>133</v>
      </c>
      <c r="R1353" t="s">
        <v>134</v>
      </c>
      <c r="S1353" t="s">
        <v>124</v>
      </c>
      <c r="T1353">
        <v>94217</v>
      </c>
      <c r="U1353" t="s">
        <v>100</v>
      </c>
      <c r="V1353" t="s">
        <v>101</v>
      </c>
      <c r="W1353" t="s">
        <v>135</v>
      </c>
      <c r="X1353" t="s">
        <v>136</v>
      </c>
      <c r="Y1353" t="s">
        <v>104</v>
      </c>
    </row>
    <row r="1354" spans="1:25">
      <c r="A1354">
        <v>10150</v>
      </c>
      <c r="B1354">
        <v>30</v>
      </c>
      <c r="C1354">
        <v>42.76</v>
      </c>
      <c r="D1354">
        <v>6</v>
      </c>
      <c r="E1354">
        <v>1282.8</v>
      </c>
      <c r="F1354" t="s">
        <v>283</v>
      </c>
      <c r="G1354" t="s">
        <v>93</v>
      </c>
      <c r="H1354">
        <v>3</v>
      </c>
      <c r="I1354">
        <v>9</v>
      </c>
      <c r="J1354">
        <v>2003</v>
      </c>
      <c r="K1354" t="s">
        <v>697</v>
      </c>
      <c r="L1354">
        <v>50</v>
      </c>
      <c r="M1354" t="s">
        <v>804</v>
      </c>
      <c r="N1354" t="s">
        <v>284</v>
      </c>
      <c r="O1354" t="s">
        <v>285</v>
      </c>
      <c r="P1354" t="s">
        <v>286</v>
      </c>
      <c r="R1354" t="s">
        <v>287</v>
      </c>
      <c r="T1354">
        <v>79903</v>
      </c>
      <c r="U1354" t="s">
        <v>287</v>
      </c>
      <c r="V1354" t="s">
        <v>288</v>
      </c>
      <c r="W1354" t="s">
        <v>289</v>
      </c>
      <c r="X1354" t="s">
        <v>290</v>
      </c>
      <c r="Y1354" t="s">
        <v>104</v>
      </c>
    </row>
    <row r="1355" spans="1:25">
      <c r="A1355">
        <v>10164</v>
      </c>
      <c r="B1355">
        <v>25</v>
      </c>
      <c r="C1355">
        <v>53.83</v>
      </c>
      <c r="D1355">
        <v>7</v>
      </c>
      <c r="E1355">
        <v>1345.75</v>
      </c>
      <c r="F1355" t="s">
        <v>525</v>
      </c>
      <c r="G1355" t="s">
        <v>526</v>
      </c>
      <c r="H1355">
        <v>4</v>
      </c>
      <c r="I1355">
        <v>10</v>
      </c>
      <c r="J1355">
        <v>2003</v>
      </c>
      <c r="K1355" t="s">
        <v>697</v>
      </c>
      <c r="L1355">
        <v>50</v>
      </c>
      <c r="M1355" t="s">
        <v>804</v>
      </c>
      <c r="N1355" t="s">
        <v>527</v>
      </c>
      <c r="O1355" t="s">
        <v>528</v>
      </c>
      <c r="P1355" t="s">
        <v>529</v>
      </c>
      <c r="R1355" t="s">
        <v>530</v>
      </c>
      <c r="T1355">
        <v>8010</v>
      </c>
      <c r="U1355" t="s">
        <v>229</v>
      </c>
      <c r="V1355" t="s">
        <v>110</v>
      </c>
      <c r="W1355" t="s">
        <v>531</v>
      </c>
      <c r="X1355" t="s">
        <v>532</v>
      </c>
      <c r="Y1355" t="s">
        <v>104</v>
      </c>
    </row>
    <row r="1356" spans="1:25">
      <c r="A1356">
        <v>10174</v>
      </c>
      <c r="B1356">
        <v>49</v>
      </c>
      <c r="C1356">
        <v>44.78</v>
      </c>
      <c r="D1356">
        <v>2</v>
      </c>
      <c r="E1356">
        <v>2194.2199999999998</v>
      </c>
      <c r="F1356" s="4">
        <v>37783</v>
      </c>
      <c r="G1356" t="s">
        <v>93</v>
      </c>
      <c r="H1356">
        <v>4</v>
      </c>
      <c r="I1356">
        <v>11</v>
      </c>
      <c r="J1356">
        <v>2003</v>
      </c>
      <c r="K1356" t="s">
        <v>697</v>
      </c>
      <c r="L1356">
        <v>50</v>
      </c>
      <c r="M1356" t="s">
        <v>804</v>
      </c>
      <c r="N1356" t="s">
        <v>296</v>
      </c>
      <c r="O1356" t="s">
        <v>297</v>
      </c>
      <c r="P1356" t="s">
        <v>298</v>
      </c>
      <c r="R1356" t="s">
        <v>299</v>
      </c>
      <c r="S1356" t="s">
        <v>300</v>
      </c>
      <c r="T1356">
        <v>4101</v>
      </c>
      <c r="U1356" t="s">
        <v>168</v>
      </c>
      <c r="V1356" t="s">
        <v>169</v>
      </c>
      <c r="W1356" t="s">
        <v>301</v>
      </c>
      <c r="X1356" t="s">
        <v>302</v>
      </c>
      <c r="Y1356" t="s">
        <v>104</v>
      </c>
    </row>
    <row r="1357" spans="1:25">
      <c r="A1357">
        <v>10183</v>
      </c>
      <c r="B1357">
        <v>40</v>
      </c>
      <c r="C1357">
        <v>49.3</v>
      </c>
      <c r="D1357">
        <v>6</v>
      </c>
      <c r="E1357">
        <v>1972</v>
      </c>
      <c r="F1357" t="s">
        <v>303</v>
      </c>
      <c r="G1357" t="s">
        <v>93</v>
      </c>
      <c r="H1357">
        <v>4</v>
      </c>
      <c r="I1357">
        <v>11</v>
      </c>
      <c r="J1357">
        <v>2003</v>
      </c>
      <c r="K1357" t="s">
        <v>697</v>
      </c>
      <c r="L1357">
        <v>50</v>
      </c>
      <c r="M1357" t="s">
        <v>804</v>
      </c>
      <c r="N1357" t="s">
        <v>304</v>
      </c>
      <c r="O1357">
        <v>2155554695</v>
      </c>
      <c r="P1357" t="s">
        <v>305</v>
      </c>
      <c r="R1357" t="s">
        <v>306</v>
      </c>
      <c r="S1357" t="s">
        <v>221</v>
      </c>
      <c r="T1357">
        <v>71270</v>
      </c>
      <c r="U1357" t="s">
        <v>100</v>
      </c>
      <c r="V1357" t="s">
        <v>101</v>
      </c>
      <c r="W1357" t="s">
        <v>307</v>
      </c>
      <c r="X1357" t="s">
        <v>308</v>
      </c>
      <c r="Y1357" t="s">
        <v>104</v>
      </c>
    </row>
    <row r="1358" spans="1:25">
      <c r="A1358">
        <v>10194</v>
      </c>
      <c r="B1358">
        <v>41</v>
      </c>
      <c r="C1358">
        <v>44.78</v>
      </c>
      <c r="D1358">
        <v>9</v>
      </c>
      <c r="E1358">
        <v>1835.98</v>
      </c>
      <c r="F1358" t="s">
        <v>309</v>
      </c>
      <c r="G1358" t="s">
        <v>93</v>
      </c>
      <c r="H1358">
        <v>4</v>
      </c>
      <c r="I1358">
        <v>11</v>
      </c>
      <c r="J1358">
        <v>2003</v>
      </c>
      <c r="K1358" t="s">
        <v>697</v>
      </c>
      <c r="L1358">
        <v>50</v>
      </c>
      <c r="M1358" t="s">
        <v>804</v>
      </c>
      <c r="N1358" t="s">
        <v>310</v>
      </c>
      <c r="O1358" t="s">
        <v>311</v>
      </c>
      <c r="P1358" t="s">
        <v>312</v>
      </c>
      <c r="R1358" t="s">
        <v>313</v>
      </c>
      <c r="T1358">
        <v>69004</v>
      </c>
      <c r="U1358" t="s">
        <v>109</v>
      </c>
      <c r="V1358" t="s">
        <v>110</v>
      </c>
      <c r="W1358" t="s">
        <v>314</v>
      </c>
      <c r="X1358" t="s">
        <v>315</v>
      </c>
      <c r="Y1358" t="s">
        <v>104</v>
      </c>
    </row>
    <row r="1359" spans="1:25">
      <c r="A1359">
        <v>10206</v>
      </c>
      <c r="B1359">
        <v>21</v>
      </c>
      <c r="C1359">
        <v>53.33</v>
      </c>
      <c r="D1359">
        <v>4</v>
      </c>
      <c r="E1359">
        <v>1119.93</v>
      </c>
      <c r="F1359" s="4">
        <v>37753</v>
      </c>
      <c r="G1359" t="s">
        <v>93</v>
      </c>
      <c r="H1359">
        <v>4</v>
      </c>
      <c r="I1359">
        <v>12</v>
      </c>
      <c r="J1359">
        <v>2003</v>
      </c>
      <c r="K1359" t="s">
        <v>697</v>
      </c>
      <c r="L1359">
        <v>50</v>
      </c>
      <c r="M1359" t="s">
        <v>804</v>
      </c>
      <c r="N1359" t="s">
        <v>316</v>
      </c>
      <c r="O1359" t="s">
        <v>317</v>
      </c>
      <c r="P1359" t="s">
        <v>318</v>
      </c>
      <c r="R1359" t="s">
        <v>319</v>
      </c>
      <c r="S1359" t="s">
        <v>320</v>
      </c>
      <c r="T1359" t="s">
        <v>321</v>
      </c>
      <c r="U1359" t="s">
        <v>322</v>
      </c>
      <c r="V1359" t="s">
        <v>101</v>
      </c>
      <c r="W1359" t="s">
        <v>323</v>
      </c>
      <c r="X1359" t="s">
        <v>324</v>
      </c>
      <c r="Y1359" t="s">
        <v>104</v>
      </c>
    </row>
    <row r="1360" spans="1:25">
      <c r="A1360">
        <v>10215</v>
      </c>
      <c r="B1360">
        <v>46</v>
      </c>
      <c r="C1360">
        <v>45.28</v>
      </c>
      <c r="D1360">
        <v>1</v>
      </c>
      <c r="E1360">
        <v>2082.88</v>
      </c>
      <c r="F1360" t="s">
        <v>325</v>
      </c>
      <c r="G1360" t="s">
        <v>93</v>
      </c>
      <c r="H1360">
        <v>1</v>
      </c>
      <c r="I1360">
        <v>1</v>
      </c>
      <c r="J1360">
        <v>2004</v>
      </c>
      <c r="K1360" t="s">
        <v>697</v>
      </c>
      <c r="L1360">
        <v>50</v>
      </c>
      <c r="M1360" t="s">
        <v>804</v>
      </c>
      <c r="N1360" t="s">
        <v>326</v>
      </c>
      <c r="O1360">
        <v>3105553722</v>
      </c>
      <c r="P1360" t="s">
        <v>327</v>
      </c>
      <c r="R1360" t="s">
        <v>328</v>
      </c>
      <c r="S1360" t="s">
        <v>124</v>
      </c>
      <c r="T1360">
        <v>94019</v>
      </c>
      <c r="U1360" t="s">
        <v>100</v>
      </c>
      <c r="V1360" t="s">
        <v>101</v>
      </c>
      <c r="W1360" t="s">
        <v>6</v>
      </c>
      <c r="X1360" t="s">
        <v>329</v>
      </c>
      <c r="Y1360" t="s">
        <v>104</v>
      </c>
    </row>
    <row r="1361" spans="1:25">
      <c r="A1361">
        <v>10229</v>
      </c>
      <c r="B1361">
        <v>39</v>
      </c>
      <c r="C1361">
        <v>40.25</v>
      </c>
      <c r="D1361">
        <v>14</v>
      </c>
      <c r="E1361">
        <v>1569.75</v>
      </c>
      <c r="F1361" s="4">
        <v>38294</v>
      </c>
      <c r="G1361" t="s">
        <v>93</v>
      </c>
      <c r="H1361">
        <v>1</v>
      </c>
      <c r="I1361">
        <v>3</v>
      </c>
      <c r="J1361">
        <v>2004</v>
      </c>
      <c r="K1361" t="s">
        <v>697</v>
      </c>
      <c r="L1361">
        <v>50</v>
      </c>
      <c r="M1361" t="s">
        <v>804</v>
      </c>
      <c r="N1361" t="s">
        <v>367</v>
      </c>
      <c r="O1361">
        <v>4155551450</v>
      </c>
      <c r="P1361" t="s">
        <v>368</v>
      </c>
      <c r="R1361" t="s">
        <v>369</v>
      </c>
      <c r="S1361" t="s">
        <v>124</v>
      </c>
      <c r="T1361">
        <v>97562</v>
      </c>
      <c r="U1361" t="s">
        <v>100</v>
      </c>
      <c r="V1361" t="s">
        <v>101</v>
      </c>
      <c r="W1361" t="s">
        <v>370</v>
      </c>
      <c r="X1361" t="s">
        <v>371</v>
      </c>
      <c r="Y1361" t="s">
        <v>104</v>
      </c>
    </row>
    <row r="1362" spans="1:25">
      <c r="A1362">
        <v>10245</v>
      </c>
      <c r="B1362">
        <v>45</v>
      </c>
      <c r="C1362">
        <v>59.87</v>
      </c>
      <c r="D1362">
        <v>7</v>
      </c>
      <c r="E1362">
        <v>2694.15</v>
      </c>
      <c r="F1362" s="4">
        <v>38082</v>
      </c>
      <c r="G1362" t="s">
        <v>93</v>
      </c>
      <c r="H1362">
        <v>2</v>
      </c>
      <c r="I1362">
        <v>5</v>
      </c>
      <c r="J1362">
        <v>2004</v>
      </c>
      <c r="K1362" t="s">
        <v>697</v>
      </c>
      <c r="L1362">
        <v>50</v>
      </c>
      <c r="M1362" t="s">
        <v>804</v>
      </c>
      <c r="N1362" t="s">
        <v>333</v>
      </c>
      <c r="O1362">
        <v>2035559545</v>
      </c>
      <c r="P1362" t="s">
        <v>334</v>
      </c>
      <c r="R1362" t="s">
        <v>335</v>
      </c>
      <c r="S1362" t="s">
        <v>187</v>
      </c>
      <c r="T1362">
        <v>97823</v>
      </c>
      <c r="U1362" t="s">
        <v>100</v>
      </c>
      <c r="V1362" t="s">
        <v>101</v>
      </c>
      <c r="W1362" t="s">
        <v>154</v>
      </c>
      <c r="X1362" t="s">
        <v>336</v>
      </c>
      <c r="Y1362" t="s">
        <v>104</v>
      </c>
    </row>
    <row r="1363" spans="1:25">
      <c r="A1363">
        <v>10258</v>
      </c>
      <c r="B1363">
        <v>21</v>
      </c>
      <c r="C1363">
        <v>59.87</v>
      </c>
      <c r="D1363">
        <v>4</v>
      </c>
      <c r="E1363">
        <v>1257.27</v>
      </c>
      <c r="F1363" t="s">
        <v>337</v>
      </c>
      <c r="G1363" t="s">
        <v>93</v>
      </c>
      <c r="H1363">
        <v>2</v>
      </c>
      <c r="I1363">
        <v>6</v>
      </c>
      <c r="J1363">
        <v>2004</v>
      </c>
      <c r="K1363" t="s">
        <v>697</v>
      </c>
      <c r="L1363">
        <v>50</v>
      </c>
      <c r="M1363" t="s">
        <v>804</v>
      </c>
      <c r="N1363" t="s">
        <v>338</v>
      </c>
      <c r="O1363" t="s">
        <v>339</v>
      </c>
      <c r="P1363" t="s">
        <v>340</v>
      </c>
      <c r="R1363" t="s">
        <v>341</v>
      </c>
      <c r="S1363" t="s">
        <v>342</v>
      </c>
      <c r="T1363" t="s">
        <v>343</v>
      </c>
      <c r="U1363" t="s">
        <v>288</v>
      </c>
      <c r="V1363" t="s">
        <v>288</v>
      </c>
      <c r="W1363" t="s">
        <v>344</v>
      </c>
      <c r="X1363" t="s">
        <v>345</v>
      </c>
      <c r="Y1363" t="s">
        <v>104</v>
      </c>
    </row>
    <row r="1364" spans="1:25">
      <c r="A1364">
        <v>10270</v>
      </c>
      <c r="B1364">
        <v>44</v>
      </c>
      <c r="C1364">
        <v>58.36</v>
      </c>
      <c r="D1364">
        <v>7</v>
      </c>
      <c r="E1364">
        <v>2567.84</v>
      </c>
      <c r="F1364" t="s">
        <v>346</v>
      </c>
      <c r="G1364" t="s">
        <v>93</v>
      </c>
      <c r="H1364">
        <v>3</v>
      </c>
      <c r="I1364">
        <v>7</v>
      </c>
      <c r="J1364">
        <v>2004</v>
      </c>
      <c r="K1364" t="s">
        <v>697</v>
      </c>
      <c r="L1364">
        <v>50</v>
      </c>
      <c r="M1364" t="s">
        <v>804</v>
      </c>
      <c r="N1364" t="s">
        <v>234</v>
      </c>
      <c r="O1364" t="s">
        <v>235</v>
      </c>
      <c r="P1364" t="s">
        <v>236</v>
      </c>
      <c r="Q1364" t="s">
        <v>237</v>
      </c>
      <c r="R1364" t="s">
        <v>238</v>
      </c>
      <c r="S1364" t="s">
        <v>239</v>
      </c>
      <c r="T1364">
        <v>2067</v>
      </c>
      <c r="U1364" t="s">
        <v>168</v>
      </c>
      <c r="V1364" t="s">
        <v>169</v>
      </c>
      <c r="W1364" t="s">
        <v>240</v>
      </c>
      <c r="X1364" t="s">
        <v>241</v>
      </c>
      <c r="Y1364" t="s">
        <v>104</v>
      </c>
    </row>
    <row r="1365" spans="1:25">
      <c r="A1365">
        <v>10281</v>
      </c>
      <c r="B1365">
        <v>44</v>
      </c>
      <c r="C1365">
        <v>59.87</v>
      </c>
      <c r="D1365">
        <v>14</v>
      </c>
      <c r="E1365">
        <v>2634.28</v>
      </c>
      <c r="F1365" t="s">
        <v>542</v>
      </c>
      <c r="G1365" t="s">
        <v>93</v>
      </c>
      <c r="H1365">
        <v>3</v>
      </c>
      <c r="I1365">
        <v>8</v>
      </c>
      <c r="J1365">
        <v>2004</v>
      </c>
      <c r="K1365" t="s">
        <v>697</v>
      </c>
      <c r="L1365">
        <v>50</v>
      </c>
      <c r="M1365" t="s">
        <v>804</v>
      </c>
      <c r="N1365" t="s">
        <v>218</v>
      </c>
      <c r="O1365">
        <v>2155551555</v>
      </c>
      <c r="P1365" t="s">
        <v>219</v>
      </c>
      <c r="R1365" t="s">
        <v>220</v>
      </c>
      <c r="S1365" t="s">
        <v>221</v>
      </c>
      <c r="T1365">
        <v>70267</v>
      </c>
      <c r="U1365" t="s">
        <v>100</v>
      </c>
      <c r="V1365" t="s">
        <v>101</v>
      </c>
      <c r="W1365" t="s">
        <v>102</v>
      </c>
      <c r="X1365" t="s">
        <v>222</v>
      </c>
      <c r="Y1365" t="s">
        <v>104</v>
      </c>
    </row>
    <row r="1366" spans="1:25">
      <c r="A1366">
        <v>10291</v>
      </c>
      <c r="B1366">
        <v>29</v>
      </c>
      <c r="C1366">
        <v>51.82</v>
      </c>
      <c r="D1366">
        <v>9</v>
      </c>
      <c r="E1366">
        <v>1502.78</v>
      </c>
      <c r="F1366" s="4">
        <v>38208</v>
      </c>
      <c r="G1366" t="s">
        <v>93</v>
      </c>
      <c r="H1366">
        <v>3</v>
      </c>
      <c r="I1366">
        <v>9</v>
      </c>
      <c r="J1366">
        <v>2004</v>
      </c>
      <c r="K1366" t="s">
        <v>697</v>
      </c>
      <c r="L1366">
        <v>50</v>
      </c>
      <c r="M1366" t="s">
        <v>804</v>
      </c>
      <c r="N1366" t="s">
        <v>355</v>
      </c>
      <c r="O1366" t="s">
        <v>356</v>
      </c>
      <c r="P1366" t="s">
        <v>357</v>
      </c>
      <c r="R1366" t="s">
        <v>358</v>
      </c>
      <c r="T1366" t="s">
        <v>359</v>
      </c>
      <c r="U1366" t="s">
        <v>273</v>
      </c>
      <c r="V1366" t="s">
        <v>110</v>
      </c>
      <c r="W1366" t="s">
        <v>360</v>
      </c>
      <c r="X1366" t="s">
        <v>295</v>
      </c>
      <c r="Y1366" t="s">
        <v>104</v>
      </c>
    </row>
    <row r="1367" spans="1:25">
      <c r="A1367">
        <v>10304</v>
      </c>
      <c r="B1367">
        <v>34</v>
      </c>
      <c r="C1367">
        <v>49.3</v>
      </c>
      <c r="D1367">
        <v>4</v>
      </c>
      <c r="E1367">
        <v>1676.2</v>
      </c>
      <c r="F1367" s="4">
        <v>38301</v>
      </c>
      <c r="G1367" t="s">
        <v>93</v>
      </c>
      <c r="H1367">
        <v>4</v>
      </c>
      <c r="I1367">
        <v>10</v>
      </c>
      <c r="J1367">
        <v>2004</v>
      </c>
      <c r="K1367" t="s">
        <v>697</v>
      </c>
      <c r="L1367">
        <v>50</v>
      </c>
      <c r="M1367" t="s">
        <v>804</v>
      </c>
      <c r="N1367" t="s">
        <v>361</v>
      </c>
      <c r="O1367" t="s">
        <v>362</v>
      </c>
      <c r="P1367" t="s">
        <v>363</v>
      </c>
      <c r="R1367" t="s">
        <v>364</v>
      </c>
      <c r="T1367">
        <v>78000</v>
      </c>
      <c r="U1367" t="s">
        <v>109</v>
      </c>
      <c r="V1367" t="s">
        <v>110</v>
      </c>
      <c r="W1367" t="s">
        <v>365</v>
      </c>
      <c r="X1367" t="s">
        <v>118</v>
      </c>
      <c r="Y1367" t="s">
        <v>104</v>
      </c>
    </row>
    <row r="1368" spans="1:25">
      <c r="A1368">
        <v>10312</v>
      </c>
      <c r="B1368">
        <v>39</v>
      </c>
      <c r="C1368">
        <v>56.85</v>
      </c>
      <c r="D1368">
        <v>1</v>
      </c>
      <c r="E1368">
        <v>2217.15</v>
      </c>
      <c r="F1368" t="s">
        <v>366</v>
      </c>
      <c r="G1368" t="s">
        <v>93</v>
      </c>
      <c r="H1368">
        <v>4</v>
      </c>
      <c r="I1368">
        <v>10</v>
      </c>
      <c r="J1368">
        <v>2004</v>
      </c>
      <c r="K1368" t="s">
        <v>697</v>
      </c>
      <c r="L1368">
        <v>50</v>
      </c>
      <c r="M1368" t="s">
        <v>804</v>
      </c>
      <c r="N1368" t="s">
        <v>367</v>
      </c>
      <c r="O1368">
        <v>4155551450</v>
      </c>
      <c r="P1368" t="s">
        <v>368</v>
      </c>
      <c r="R1368" t="s">
        <v>369</v>
      </c>
      <c r="S1368" t="s">
        <v>124</v>
      </c>
      <c r="T1368">
        <v>97562</v>
      </c>
      <c r="U1368" t="s">
        <v>100</v>
      </c>
      <c r="V1368" t="s">
        <v>101</v>
      </c>
      <c r="W1368" t="s">
        <v>370</v>
      </c>
      <c r="X1368" t="s">
        <v>371</v>
      </c>
      <c r="Y1368" t="s">
        <v>104</v>
      </c>
    </row>
    <row r="1369" spans="1:25">
      <c r="A1369">
        <v>10324</v>
      </c>
      <c r="B1369">
        <v>38</v>
      </c>
      <c r="C1369">
        <v>100</v>
      </c>
      <c r="D1369">
        <v>6</v>
      </c>
      <c r="E1369">
        <v>6832.02</v>
      </c>
      <c r="F1369" s="4">
        <v>38118</v>
      </c>
      <c r="G1369" t="s">
        <v>93</v>
      </c>
      <c r="H1369">
        <v>4</v>
      </c>
      <c r="I1369">
        <v>11</v>
      </c>
      <c r="J1369">
        <v>2004</v>
      </c>
      <c r="K1369" t="s">
        <v>697</v>
      </c>
      <c r="L1369">
        <v>50</v>
      </c>
      <c r="M1369" t="s">
        <v>804</v>
      </c>
      <c r="N1369" t="s">
        <v>172</v>
      </c>
      <c r="O1369">
        <v>2125551500</v>
      </c>
      <c r="P1369" t="s">
        <v>173</v>
      </c>
      <c r="Q1369" t="s">
        <v>174</v>
      </c>
      <c r="R1369" t="s">
        <v>98</v>
      </c>
      <c r="S1369" t="s">
        <v>99</v>
      </c>
      <c r="T1369">
        <v>10022</v>
      </c>
      <c r="U1369" t="s">
        <v>100</v>
      </c>
      <c r="V1369" t="s">
        <v>101</v>
      </c>
      <c r="W1369" t="s">
        <v>175</v>
      </c>
      <c r="X1369" t="s">
        <v>176</v>
      </c>
      <c r="Y1369" t="s">
        <v>119</v>
      </c>
    </row>
    <row r="1370" spans="1:25">
      <c r="A1370">
        <v>10333</v>
      </c>
      <c r="B1370">
        <v>24</v>
      </c>
      <c r="C1370">
        <v>79.86</v>
      </c>
      <c r="D1370">
        <v>8</v>
      </c>
      <c r="E1370">
        <v>1916.64</v>
      </c>
      <c r="F1370" t="s">
        <v>376</v>
      </c>
      <c r="G1370" t="s">
        <v>93</v>
      </c>
      <c r="H1370">
        <v>4</v>
      </c>
      <c r="I1370">
        <v>11</v>
      </c>
      <c r="J1370">
        <v>2004</v>
      </c>
      <c r="K1370" t="s">
        <v>697</v>
      </c>
      <c r="L1370">
        <v>50</v>
      </c>
      <c r="M1370" t="s">
        <v>804</v>
      </c>
      <c r="N1370" t="s">
        <v>152</v>
      </c>
      <c r="O1370">
        <v>6505555787</v>
      </c>
      <c r="P1370" t="s">
        <v>153</v>
      </c>
      <c r="R1370" t="s">
        <v>129</v>
      </c>
      <c r="S1370" t="s">
        <v>124</v>
      </c>
      <c r="U1370" t="s">
        <v>100</v>
      </c>
      <c r="V1370" t="s">
        <v>101</v>
      </c>
      <c r="W1370" t="s">
        <v>154</v>
      </c>
      <c r="X1370" t="s">
        <v>126</v>
      </c>
      <c r="Y1370" t="s">
        <v>104</v>
      </c>
    </row>
    <row r="1371" spans="1:25">
      <c r="A1371">
        <v>10348</v>
      </c>
      <c r="B1371">
        <v>29</v>
      </c>
      <c r="C1371">
        <v>100</v>
      </c>
      <c r="D1371">
        <v>6</v>
      </c>
      <c r="E1371">
        <v>7110.8</v>
      </c>
      <c r="F1371" s="4">
        <v>37997</v>
      </c>
      <c r="G1371" t="s">
        <v>93</v>
      </c>
      <c r="H1371">
        <v>4</v>
      </c>
      <c r="I1371">
        <v>11</v>
      </c>
      <c r="J1371">
        <v>2004</v>
      </c>
      <c r="K1371" t="s">
        <v>697</v>
      </c>
      <c r="L1371">
        <v>50</v>
      </c>
      <c r="M1371" t="s">
        <v>804</v>
      </c>
      <c r="N1371" t="s">
        <v>277</v>
      </c>
      <c r="O1371" t="s">
        <v>278</v>
      </c>
      <c r="P1371" t="s">
        <v>279</v>
      </c>
      <c r="R1371" t="s">
        <v>260</v>
      </c>
      <c r="T1371">
        <v>28023</v>
      </c>
      <c r="U1371" t="s">
        <v>261</v>
      </c>
      <c r="V1371" t="s">
        <v>110</v>
      </c>
      <c r="W1371" t="s">
        <v>280</v>
      </c>
      <c r="X1371" t="s">
        <v>281</v>
      </c>
      <c r="Y1371" t="s">
        <v>232</v>
      </c>
    </row>
    <row r="1372" spans="1:25">
      <c r="A1372">
        <v>10358</v>
      </c>
      <c r="B1372">
        <v>30</v>
      </c>
      <c r="C1372">
        <v>100</v>
      </c>
      <c r="D1372">
        <v>8</v>
      </c>
      <c r="E1372">
        <v>5302.8</v>
      </c>
      <c r="F1372" s="4">
        <v>38272</v>
      </c>
      <c r="G1372" t="s">
        <v>93</v>
      </c>
      <c r="H1372">
        <v>4</v>
      </c>
      <c r="I1372">
        <v>12</v>
      </c>
      <c r="J1372">
        <v>2004</v>
      </c>
      <c r="K1372" t="s">
        <v>697</v>
      </c>
      <c r="L1372">
        <v>50</v>
      </c>
      <c r="M1372" t="s">
        <v>804</v>
      </c>
      <c r="N1372" t="s">
        <v>257</v>
      </c>
      <c r="O1372" t="s">
        <v>258</v>
      </c>
      <c r="P1372" t="s">
        <v>259</v>
      </c>
      <c r="R1372" t="s">
        <v>260</v>
      </c>
      <c r="T1372">
        <v>28034</v>
      </c>
      <c r="U1372" t="s">
        <v>261</v>
      </c>
      <c r="V1372" t="s">
        <v>110</v>
      </c>
      <c r="W1372" t="s">
        <v>262</v>
      </c>
      <c r="X1372" t="s">
        <v>263</v>
      </c>
      <c r="Y1372" t="s">
        <v>119</v>
      </c>
    </row>
    <row r="1373" spans="1:25">
      <c r="A1373">
        <v>10370</v>
      </c>
      <c r="B1373">
        <v>20</v>
      </c>
      <c r="C1373">
        <v>100</v>
      </c>
      <c r="D1373">
        <v>2</v>
      </c>
      <c r="E1373">
        <v>2730</v>
      </c>
      <c r="F1373" t="s">
        <v>378</v>
      </c>
      <c r="G1373" t="s">
        <v>93</v>
      </c>
      <c r="H1373">
        <v>1</v>
      </c>
      <c r="I1373">
        <v>1</v>
      </c>
      <c r="J1373">
        <v>2005</v>
      </c>
      <c r="K1373" t="s">
        <v>697</v>
      </c>
      <c r="L1373">
        <v>50</v>
      </c>
      <c r="M1373" t="s">
        <v>804</v>
      </c>
      <c r="N1373" t="s">
        <v>384</v>
      </c>
      <c r="O1373" t="s">
        <v>385</v>
      </c>
      <c r="P1373" t="s">
        <v>386</v>
      </c>
      <c r="Q1373" t="s">
        <v>387</v>
      </c>
      <c r="R1373" t="s">
        <v>388</v>
      </c>
      <c r="S1373" t="s">
        <v>239</v>
      </c>
      <c r="T1373">
        <v>2060</v>
      </c>
      <c r="U1373" t="s">
        <v>168</v>
      </c>
      <c r="V1373" t="s">
        <v>169</v>
      </c>
      <c r="W1373" t="s">
        <v>389</v>
      </c>
      <c r="X1373" t="s">
        <v>390</v>
      </c>
      <c r="Y1373" t="s">
        <v>104</v>
      </c>
    </row>
    <row r="1374" spans="1:25">
      <c r="A1374">
        <v>10382</v>
      </c>
      <c r="B1374">
        <v>39</v>
      </c>
      <c r="C1374">
        <v>100</v>
      </c>
      <c r="D1374">
        <v>2</v>
      </c>
      <c r="E1374">
        <v>7827.3</v>
      </c>
      <c r="F1374" t="s">
        <v>383</v>
      </c>
      <c r="G1374" t="s">
        <v>93</v>
      </c>
      <c r="H1374">
        <v>1</v>
      </c>
      <c r="I1374">
        <v>2</v>
      </c>
      <c r="J1374">
        <v>2005</v>
      </c>
      <c r="K1374" t="s">
        <v>697</v>
      </c>
      <c r="L1374">
        <v>50</v>
      </c>
      <c r="M1374" t="s">
        <v>804</v>
      </c>
      <c r="N1374" t="s">
        <v>367</v>
      </c>
      <c r="O1374">
        <v>4155551450</v>
      </c>
      <c r="P1374" t="s">
        <v>368</v>
      </c>
      <c r="R1374" t="s">
        <v>369</v>
      </c>
      <c r="S1374" t="s">
        <v>124</v>
      </c>
      <c r="T1374">
        <v>97562</v>
      </c>
      <c r="U1374" t="s">
        <v>100</v>
      </c>
      <c r="V1374" t="s">
        <v>101</v>
      </c>
      <c r="W1374" t="s">
        <v>370</v>
      </c>
      <c r="X1374" t="s">
        <v>371</v>
      </c>
      <c r="Y1374" t="s">
        <v>232</v>
      </c>
    </row>
    <row r="1375" spans="1:25">
      <c r="A1375">
        <v>10411</v>
      </c>
      <c r="B1375">
        <v>35</v>
      </c>
      <c r="C1375">
        <v>59.87</v>
      </c>
      <c r="D1375">
        <v>7</v>
      </c>
      <c r="E1375">
        <v>2095.4499999999998</v>
      </c>
      <c r="F1375" s="4">
        <v>38357</v>
      </c>
      <c r="G1375" t="s">
        <v>93</v>
      </c>
      <c r="H1375">
        <v>2</v>
      </c>
      <c r="I1375">
        <v>5</v>
      </c>
      <c r="J1375">
        <v>2005</v>
      </c>
      <c r="K1375" t="s">
        <v>697</v>
      </c>
      <c r="L1375">
        <v>50</v>
      </c>
      <c r="M1375" t="s">
        <v>804</v>
      </c>
      <c r="N1375" t="s">
        <v>391</v>
      </c>
      <c r="O1375" t="s">
        <v>392</v>
      </c>
      <c r="P1375" t="s">
        <v>393</v>
      </c>
      <c r="R1375" t="s">
        <v>394</v>
      </c>
      <c r="S1375" t="s">
        <v>395</v>
      </c>
      <c r="T1375" t="s">
        <v>396</v>
      </c>
      <c r="U1375" t="s">
        <v>322</v>
      </c>
      <c r="V1375" t="s">
        <v>101</v>
      </c>
      <c r="W1375" t="s">
        <v>397</v>
      </c>
      <c r="X1375" t="s">
        <v>398</v>
      </c>
      <c r="Y1375" t="s">
        <v>104</v>
      </c>
    </row>
    <row r="1376" spans="1:25">
      <c r="A1376">
        <v>10424</v>
      </c>
      <c r="B1376">
        <v>26</v>
      </c>
      <c r="C1376">
        <v>59.87</v>
      </c>
      <c r="D1376">
        <v>4</v>
      </c>
      <c r="E1376">
        <v>1556.62</v>
      </c>
      <c r="F1376" t="s">
        <v>399</v>
      </c>
      <c r="G1376" t="s">
        <v>400</v>
      </c>
      <c r="H1376">
        <v>2</v>
      </c>
      <c r="I1376">
        <v>5</v>
      </c>
      <c r="J1376">
        <v>2005</v>
      </c>
      <c r="K1376" t="s">
        <v>697</v>
      </c>
      <c r="L1376">
        <v>50</v>
      </c>
      <c r="M1376" t="s">
        <v>804</v>
      </c>
      <c r="N1376" t="s">
        <v>257</v>
      </c>
      <c r="O1376" t="s">
        <v>258</v>
      </c>
      <c r="P1376" t="s">
        <v>259</v>
      </c>
      <c r="R1376" t="s">
        <v>260</v>
      </c>
      <c r="T1376">
        <v>28034</v>
      </c>
      <c r="U1376" t="s">
        <v>261</v>
      </c>
      <c r="V1376" t="s">
        <v>110</v>
      </c>
      <c r="W1376" t="s">
        <v>262</v>
      </c>
      <c r="X1376" t="s">
        <v>263</v>
      </c>
      <c r="Y1376" t="s">
        <v>104</v>
      </c>
    </row>
    <row r="1377" spans="1:25">
      <c r="A1377">
        <v>10108</v>
      </c>
      <c r="B1377">
        <v>44</v>
      </c>
      <c r="C1377">
        <v>100</v>
      </c>
      <c r="D1377">
        <v>11</v>
      </c>
      <c r="E1377">
        <v>5565.12</v>
      </c>
      <c r="F1377" s="4">
        <v>37683</v>
      </c>
      <c r="G1377" t="s">
        <v>93</v>
      </c>
      <c r="H1377">
        <v>1</v>
      </c>
      <c r="I1377">
        <v>3</v>
      </c>
      <c r="J1377">
        <v>2003</v>
      </c>
      <c r="K1377" t="s">
        <v>265</v>
      </c>
      <c r="L1377">
        <v>148</v>
      </c>
      <c r="M1377" t="s">
        <v>805</v>
      </c>
      <c r="N1377" t="s">
        <v>547</v>
      </c>
      <c r="O1377" t="s">
        <v>548</v>
      </c>
      <c r="P1377" t="s">
        <v>549</v>
      </c>
      <c r="R1377" t="s">
        <v>550</v>
      </c>
      <c r="T1377" t="s">
        <v>551</v>
      </c>
      <c r="U1377" t="s">
        <v>552</v>
      </c>
      <c r="V1377" t="s">
        <v>288</v>
      </c>
      <c r="W1377" t="s">
        <v>553</v>
      </c>
      <c r="X1377" t="s">
        <v>554</v>
      </c>
      <c r="Y1377" t="s">
        <v>119</v>
      </c>
    </row>
    <row r="1378" spans="1:25">
      <c r="A1378">
        <v>10122</v>
      </c>
      <c r="B1378">
        <v>28</v>
      </c>
      <c r="C1378">
        <v>100</v>
      </c>
      <c r="D1378">
        <v>15</v>
      </c>
      <c r="E1378">
        <v>3583.16</v>
      </c>
      <c r="F1378" s="4">
        <v>37838</v>
      </c>
      <c r="G1378" t="s">
        <v>93</v>
      </c>
      <c r="H1378">
        <v>2</v>
      </c>
      <c r="I1378">
        <v>5</v>
      </c>
      <c r="J1378">
        <v>2003</v>
      </c>
      <c r="K1378" t="s">
        <v>265</v>
      </c>
      <c r="L1378">
        <v>148</v>
      </c>
      <c r="M1378" t="s">
        <v>805</v>
      </c>
      <c r="N1378" t="s">
        <v>555</v>
      </c>
      <c r="O1378" t="s">
        <v>556</v>
      </c>
      <c r="P1378" t="s">
        <v>557</v>
      </c>
      <c r="R1378" t="s">
        <v>558</v>
      </c>
      <c r="T1378">
        <v>13008</v>
      </c>
      <c r="U1378" t="s">
        <v>109</v>
      </c>
      <c r="V1378" t="s">
        <v>110</v>
      </c>
      <c r="W1378" t="s">
        <v>559</v>
      </c>
      <c r="X1378" t="s">
        <v>560</v>
      </c>
      <c r="Y1378" t="s">
        <v>119</v>
      </c>
    </row>
    <row r="1379" spans="1:25">
      <c r="A1379">
        <v>10135</v>
      </c>
      <c r="B1379">
        <v>31</v>
      </c>
      <c r="C1379">
        <v>100</v>
      </c>
      <c r="D1379">
        <v>12</v>
      </c>
      <c r="E1379">
        <v>4705.18</v>
      </c>
      <c r="F1379" s="4">
        <v>37659</v>
      </c>
      <c r="G1379" t="s">
        <v>93</v>
      </c>
      <c r="H1379">
        <v>3</v>
      </c>
      <c r="I1379">
        <v>7</v>
      </c>
      <c r="J1379">
        <v>2003</v>
      </c>
      <c r="K1379" t="s">
        <v>265</v>
      </c>
      <c r="L1379">
        <v>148</v>
      </c>
      <c r="M1379" t="s">
        <v>805</v>
      </c>
      <c r="N1379" t="s">
        <v>367</v>
      </c>
      <c r="O1379">
        <v>4155551450</v>
      </c>
      <c r="P1379" t="s">
        <v>368</v>
      </c>
      <c r="R1379" t="s">
        <v>369</v>
      </c>
      <c r="S1379" t="s">
        <v>124</v>
      </c>
      <c r="T1379">
        <v>97562</v>
      </c>
      <c r="U1379" t="s">
        <v>100</v>
      </c>
      <c r="V1379" t="s">
        <v>101</v>
      </c>
      <c r="W1379" t="s">
        <v>370</v>
      </c>
      <c r="X1379" t="s">
        <v>371</v>
      </c>
      <c r="Y1379" t="s">
        <v>119</v>
      </c>
    </row>
    <row r="1380" spans="1:25">
      <c r="A1380">
        <v>10146</v>
      </c>
      <c r="B1380">
        <v>29</v>
      </c>
      <c r="C1380">
        <v>100</v>
      </c>
      <c r="D1380">
        <v>1</v>
      </c>
      <c r="E1380">
        <v>4444.54</v>
      </c>
      <c r="F1380" s="4">
        <v>37689</v>
      </c>
      <c r="G1380" t="s">
        <v>93</v>
      </c>
      <c r="H1380">
        <v>3</v>
      </c>
      <c r="I1380">
        <v>9</v>
      </c>
      <c r="J1380">
        <v>2003</v>
      </c>
      <c r="K1380" t="s">
        <v>265</v>
      </c>
      <c r="L1380">
        <v>148</v>
      </c>
      <c r="M1380" t="s">
        <v>805</v>
      </c>
      <c r="N1380" t="s">
        <v>729</v>
      </c>
      <c r="O1380">
        <v>2035554407</v>
      </c>
      <c r="P1380" t="s">
        <v>730</v>
      </c>
      <c r="R1380" t="s">
        <v>656</v>
      </c>
      <c r="S1380" t="s">
        <v>187</v>
      </c>
      <c r="T1380">
        <v>97561</v>
      </c>
      <c r="U1380" t="s">
        <v>100</v>
      </c>
      <c r="V1380" t="s">
        <v>101</v>
      </c>
      <c r="W1380" t="s">
        <v>731</v>
      </c>
      <c r="X1380" t="s">
        <v>732</v>
      </c>
      <c r="Y1380" t="s">
        <v>119</v>
      </c>
    </row>
    <row r="1381" spans="1:25">
      <c r="A1381">
        <v>10159</v>
      </c>
      <c r="B1381">
        <v>32</v>
      </c>
      <c r="C1381">
        <v>100</v>
      </c>
      <c r="D1381">
        <v>7</v>
      </c>
      <c r="E1381">
        <v>4618.88</v>
      </c>
      <c r="F1381" s="4">
        <v>37904</v>
      </c>
      <c r="G1381" t="s">
        <v>93</v>
      </c>
      <c r="H1381">
        <v>4</v>
      </c>
      <c r="I1381">
        <v>10</v>
      </c>
      <c r="J1381">
        <v>2003</v>
      </c>
      <c r="K1381" t="s">
        <v>265</v>
      </c>
      <c r="L1381">
        <v>148</v>
      </c>
      <c r="M1381" t="s">
        <v>805</v>
      </c>
      <c r="N1381" t="s">
        <v>127</v>
      </c>
      <c r="O1381">
        <v>6505551386</v>
      </c>
      <c r="P1381" t="s">
        <v>128</v>
      </c>
      <c r="R1381" t="s">
        <v>129</v>
      </c>
      <c r="S1381" t="s">
        <v>124</v>
      </c>
      <c r="U1381" t="s">
        <v>100</v>
      </c>
      <c r="V1381" t="s">
        <v>101</v>
      </c>
      <c r="W1381" t="s">
        <v>130</v>
      </c>
      <c r="X1381" t="s">
        <v>126</v>
      </c>
      <c r="Y1381" t="s">
        <v>119</v>
      </c>
    </row>
    <row r="1382" spans="1:25">
      <c r="A1382">
        <v>10169</v>
      </c>
      <c r="B1382">
        <v>33</v>
      </c>
      <c r="C1382">
        <v>100</v>
      </c>
      <c r="D1382">
        <v>7</v>
      </c>
      <c r="E1382">
        <v>4910.3999999999996</v>
      </c>
      <c r="F1382" s="4">
        <v>37722</v>
      </c>
      <c r="G1382" t="s">
        <v>93</v>
      </c>
      <c r="H1382">
        <v>4</v>
      </c>
      <c r="I1382">
        <v>11</v>
      </c>
      <c r="J1382">
        <v>2003</v>
      </c>
      <c r="K1382" t="s">
        <v>265</v>
      </c>
      <c r="L1382">
        <v>148</v>
      </c>
      <c r="M1382" t="s">
        <v>805</v>
      </c>
      <c r="N1382" t="s">
        <v>384</v>
      </c>
      <c r="O1382" t="s">
        <v>385</v>
      </c>
      <c r="P1382" t="s">
        <v>386</v>
      </c>
      <c r="Q1382" t="s">
        <v>387</v>
      </c>
      <c r="R1382" t="s">
        <v>388</v>
      </c>
      <c r="S1382" t="s">
        <v>239</v>
      </c>
      <c r="T1382">
        <v>2060</v>
      </c>
      <c r="U1382" t="s">
        <v>168</v>
      </c>
      <c r="V1382" t="s">
        <v>169</v>
      </c>
      <c r="W1382" t="s">
        <v>389</v>
      </c>
      <c r="X1382" t="s">
        <v>390</v>
      </c>
      <c r="Y1382" t="s">
        <v>119</v>
      </c>
    </row>
    <row r="1383" spans="1:25">
      <c r="A1383">
        <v>10180</v>
      </c>
      <c r="B1383">
        <v>44</v>
      </c>
      <c r="C1383">
        <v>100</v>
      </c>
      <c r="D1383">
        <v>2</v>
      </c>
      <c r="E1383">
        <v>5565.12</v>
      </c>
      <c r="F1383" s="4">
        <v>37936</v>
      </c>
      <c r="G1383" t="s">
        <v>93</v>
      </c>
      <c r="H1383">
        <v>4</v>
      </c>
      <c r="I1383">
        <v>11</v>
      </c>
      <c r="J1383">
        <v>2003</v>
      </c>
      <c r="K1383" t="s">
        <v>265</v>
      </c>
      <c r="L1383">
        <v>148</v>
      </c>
      <c r="M1383" t="s">
        <v>805</v>
      </c>
      <c r="N1383" t="s">
        <v>137</v>
      </c>
      <c r="O1383" t="s">
        <v>138</v>
      </c>
      <c r="P1383" t="s">
        <v>139</v>
      </c>
      <c r="R1383" t="s">
        <v>140</v>
      </c>
      <c r="T1383">
        <v>59000</v>
      </c>
      <c r="U1383" t="s">
        <v>109</v>
      </c>
      <c r="V1383" t="s">
        <v>110</v>
      </c>
      <c r="W1383" t="s">
        <v>141</v>
      </c>
      <c r="X1383" t="s">
        <v>142</v>
      </c>
      <c r="Y1383" t="s">
        <v>119</v>
      </c>
    </row>
    <row r="1384" spans="1:25">
      <c r="A1384">
        <v>10191</v>
      </c>
      <c r="B1384">
        <v>32</v>
      </c>
      <c r="C1384">
        <v>100</v>
      </c>
      <c r="D1384">
        <v>8</v>
      </c>
      <c r="E1384">
        <v>4237.76</v>
      </c>
      <c r="F1384" t="s">
        <v>561</v>
      </c>
      <c r="G1384" t="s">
        <v>93</v>
      </c>
      <c r="H1384">
        <v>4</v>
      </c>
      <c r="I1384">
        <v>11</v>
      </c>
      <c r="J1384">
        <v>2003</v>
      </c>
      <c r="K1384" t="s">
        <v>265</v>
      </c>
      <c r="L1384">
        <v>148</v>
      </c>
      <c r="M1384" t="s">
        <v>805</v>
      </c>
      <c r="N1384" t="s">
        <v>562</v>
      </c>
      <c r="O1384" t="s">
        <v>563</v>
      </c>
      <c r="P1384" t="s">
        <v>564</v>
      </c>
      <c r="R1384" t="s">
        <v>565</v>
      </c>
      <c r="T1384">
        <v>50739</v>
      </c>
      <c r="U1384" t="s">
        <v>566</v>
      </c>
      <c r="V1384" t="s">
        <v>110</v>
      </c>
      <c r="W1384" t="s">
        <v>567</v>
      </c>
      <c r="X1384" t="s">
        <v>568</v>
      </c>
      <c r="Y1384" t="s">
        <v>119</v>
      </c>
    </row>
    <row r="1385" spans="1:25">
      <c r="A1385">
        <v>10211</v>
      </c>
      <c r="B1385">
        <v>41</v>
      </c>
      <c r="C1385">
        <v>100</v>
      </c>
      <c r="D1385">
        <v>7</v>
      </c>
      <c r="E1385">
        <v>5673.58</v>
      </c>
      <c r="F1385" t="s">
        <v>155</v>
      </c>
      <c r="G1385" t="s">
        <v>93</v>
      </c>
      <c r="H1385">
        <v>1</v>
      </c>
      <c r="I1385">
        <v>1</v>
      </c>
      <c r="J1385">
        <v>2004</v>
      </c>
      <c r="K1385" t="s">
        <v>265</v>
      </c>
      <c r="L1385">
        <v>148</v>
      </c>
      <c r="M1385" t="s">
        <v>805</v>
      </c>
      <c r="N1385" t="s">
        <v>156</v>
      </c>
      <c r="O1385" t="s">
        <v>157</v>
      </c>
      <c r="P1385" t="s">
        <v>158</v>
      </c>
      <c r="R1385" t="s">
        <v>116</v>
      </c>
      <c r="T1385">
        <v>75016</v>
      </c>
      <c r="U1385" t="s">
        <v>109</v>
      </c>
      <c r="V1385" t="s">
        <v>110</v>
      </c>
      <c r="W1385" t="s">
        <v>159</v>
      </c>
      <c r="X1385" t="s">
        <v>160</v>
      </c>
      <c r="Y1385" t="s">
        <v>119</v>
      </c>
    </row>
    <row r="1386" spans="1:25">
      <c r="A1386">
        <v>10225</v>
      </c>
      <c r="B1386">
        <v>35</v>
      </c>
      <c r="C1386">
        <v>100</v>
      </c>
      <c r="D1386">
        <v>14</v>
      </c>
      <c r="E1386">
        <v>5260.15</v>
      </c>
      <c r="F1386" t="s">
        <v>569</v>
      </c>
      <c r="G1386" t="s">
        <v>93</v>
      </c>
      <c r="H1386">
        <v>1</v>
      </c>
      <c r="I1386">
        <v>2</v>
      </c>
      <c r="J1386">
        <v>2004</v>
      </c>
      <c r="K1386" t="s">
        <v>265</v>
      </c>
      <c r="L1386">
        <v>148</v>
      </c>
      <c r="M1386" t="s">
        <v>805</v>
      </c>
      <c r="N1386" t="s">
        <v>570</v>
      </c>
      <c r="O1386" t="s">
        <v>571</v>
      </c>
      <c r="P1386" t="s">
        <v>572</v>
      </c>
      <c r="R1386" t="s">
        <v>573</v>
      </c>
      <c r="T1386">
        <v>1203</v>
      </c>
      <c r="U1386" t="s">
        <v>574</v>
      </c>
      <c r="V1386" t="s">
        <v>110</v>
      </c>
      <c r="W1386" t="s">
        <v>575</v>
      </c>
      <c r="X1386" t="s">
        <v>176</v>
      </c>
      <c r="Y1386" t="s">
        <v>119</v>
      </c>
    </row>
    <row r="1387" spans="1:25">
      <c r="A1387">
        <v>10238</v>
      </c>
      <c r="B1387">
        <v>44</v>
      </c>
      <c r="C1387">
        <v>100</v>
      </c>
      <c r="D1387">
        <v>8</v>
      </c>
      <c r="E1387">
        <v>6350.96</v>
      </c>
      <c r="F1387" s="4">
        <v>38234</v>
      </c>
      <c r="G1387" t="s">
        <v>93</v>
      </c>
      <c r="H1387">
        <v>2</v>
      </c>
      <c r="I1387">
        <v>4</v>
      </c>
      <c r="J1387">
        <v>2004</v>
      </c>
      <c r="K1387" t="s">
        <v>265</v>
      </c>
      <c r="L1387">
        <v>148</v>
      </c>
      <c r="M1387" t="s">
        <v>805</v>
      </c>
      <c r="N1387" t="s">
        <v>425</v>
      </c>
      <c r="O1387" t="s">
        <v>426</v>
      </c>
      <c r="P1387" t="s">
        <v>427</v>
      </c>
      <c r="R1387" t="s">
        <v>428</v>
      </c>
      <c r="T1387">
        <v>1734</v>
      </c>
      <c r="U1387" t="s">
        <v>429</v>
      </c>
      <c r="V1387" t="s">
        <v>110</v>
      </c>
      <c r="W1387" t="s">
        <v>430</v>
      </c>
      <c r="X1387" t="s">
        <v>431</v>
      </c>
      <c r="Y1387" t="s">
        <v>119</v>
      </c>
    </row>
    <row r="1388" spans="1:25">
      <c r="A1388">
        <v>10252</v>
      </c>
      <c r="B1388">
        <v>26</v>
      </c>
      <c r="C1388">
        <v>100</v>
      </c>
      <c r="D1388">
        <v>4</v>
      </c>
      <c r="E1388">
        <v>3559.4</v>
      </c>
      <c r="F1388" t="s">
        <v>788</v>
      </c>
      <c r="G1388" t="s">
        <v>93</v>
      </c>
      <c r="H1388">
        <v>2</v>
      </c>
      <c r="I1388">
        <v>5</v>
      </c>
      <c r="J1388">
        <v>2004</v>
      </c>
      <c r="K1388" t="s">
        <v>265</v>
      </c>
      <c r="L1388">
        <v>148</v>
      </c>
      <c r="M1388" t="s">
        <v>805</v>
      </c>
      <c r="N1388" t="s">
        <v>156</v>
      </c>
      <c r="O1388" t="s">
        <v>157</v>
      </c>
      <c r="P1388" t="s">
        <v>158</v>
      </c>
      <c r="R1388" t="s">
        <v>116</v>
      </c>
      <c r="T1388">
        <v>75016</v>
      </c>
      <c r="U1388" t="s">
        <v>109</v>
      </c>
      <c r="V1388" t="s">
        <v>110</v>
      </c>
      <c r="W1388" t="s">
        <v>159</v>
      </c>
      <c r="X1388" t="s">
        <v>160</v>
      </c>
      <c r="Y1388" t="s">
        <v>119</v>
      </c>
    </row>
    <row r="1389" spans="1:25">
      <c r="A1389">
        <v>10264</v>
      </c>
      <c r="B1389">
        <v>20</v>
      </c>
      <c r="C1389">
        <v>100</v>
      </c>
      <c r="D1389">
        <v>2</v>
      </c>
      <c r="E1389">
        <v>2410.6</v>
      </c>
      <c r="F1389" t="s">
        <v>794</v>
      </c>
      <c r="G1389" t="s">
        <v>93</v>
      </c>
      <c r="H1389">
        <v>2</v>
      </c>
      <c r="I1389">
        <v>6</v>
      </c>
      <c r="J1389">
        <v>2004</v>
      </c>
      <c r="K1389" t="s">
        <v>265</v>
      </c>
      <c r="L1389">
        <v>148</v>
      </c>
      <c r="M1389" t="s">
        <v>805</v>
      </c>
      <c r="N1389" t="s">
        <v>490</v>
      </c>
      <c r="O1389">
        <v>6175559555</v>
      </c>
      <c r="P1389" t="s">
        <v>491</v>
      </c>
      <c r="R1389" t="s">
        <v>492</v>
      </c>
      <c r="S1389" t="s">
        <v>200</v>
      </c>
      <c r="T1389">
        <v>51003</v>
      </c>
      <c r="U1389" t="s">
        <v>100</v>
      </c>
      <c r="V1389" t="s">
        <v>101</v>
      </c>
      <c r="W1389" t="s">
        <v>493</v>
      </c>
      <c r="X1389" t="s">
        <v>136</v>
      </c>
      <c r="Y1389" t="s">
        <v>104</v>
      </c>
    </row>
    <row r="1390" spans="1:25">
      <c r="A1390">
        <v>10276</v>
      </c>
      <c r="B1390">
        <v>48</v>
      </c>
      <c r="C1390">
        <v>100</v>
      </c>
      <c r="D1390">
        <v>8</v>
      </c>
      <c r="E1390">
        <v>5713.92</v>
      </c>
      <c r="F1390" s="4">
        <v>38025</v>
      </c>
      <c r="G1390" t="s">
        <v>93</v>
      </c>
      <c r="H1390">
        <v>3</v>
      </c>
      <c r="I1390">
        <v>8</v>
      </c>
      <c r="J1390">
        <v>2004</v>
      </c>
      <c r="K1390" t="s">
        <v>265</v>
      </c>
      <c r="L1390">
        <v>148</v>
      </c>
      <c r="M1390" t="s">
        <v>805</v>
      </c>
      <c r="N1390" t="s">
        <v>582</v>
      </c>
      <c r="O1390">
        <v>6175557555</v>
      </c>
      <c r="P1390" t="s">
        <v>583</v>
      </c>
      <c r="R1390" t="s">
        <v>381</v>
      </c>
      <c r="S1390" t="s">
        <v>200</v>
      </c>
      <c r="T1390">
        <v>58339</v>
      </c>
      <c r="U1390" t="s">
        <v>100</v>
      </c>
      <c r="V1390" t="s">
        <v>101</v>
      </c>
      <c r="W1390" t="s">
        <v>584</v>
      </c>
      <c r="X1390" t="s">
        <v>585</v>
      </c>
      <c r="Y1390" t="s">
        <v>119</v>
      </c>
    </row>
    <row r="1391" spans="1:25">
      <c r="A1391">
        <v>10287</v>
      </c>
      <c r="B1391">
        <v>34</v>
      </c>
      <c r="C1391">
        <v>100</v>
      </c>
      <c r="D1391">
        <v>17</v>
      </c>
      <c r="E1391">
        <v>4300.32</v>
      </c>
      <c r="F1391" t="s">
        <v>586</v>
      </c>
      <c r="G1391" t="s">
        <v>93</v>
      </c>
      <c r="H1391">
        <v>3</v>
      </c>
      <c r="I1391">
        <v>8</v>
      </c>
      <c r="J1391">
        <v>2004</v>
      </c>
      <c r="K1391" t="s">
        <v>265</v>
      </c>
      <c r="L1391">
        <v>148</v>
      </c>
      <c r="M1391" t="s">
        <v>805</v>
      </c>
      <c r="N1391" t="s">
        <v>570</v>
      </c>
      <c r="O1391" t="s">
        <v>571</v>
      </c>
      <c r="P1391" t="s">
        <v>572</v>
      </c>
      <c r="R1391" t="s">
        <v>573</v>
      </c>
      <c r="T1391">
        <v>1203</v>
      </c>
      <c r="U1391" t="s">
        <v>574</v>
      </c>
      <c r="V1391" t="s">
        <v>110</v>
      </c>
      <c r="W1391" t="s">
        <v>575</v>
      </c>
      <c r="X1391" t="s">
        <v>176</v>
      </c>
      <c r="Y1391" t="s">
        <v>119</v>
      </c>
    </row>
    <row r="1392" spans="1:25">
      <c r="A1392">
        <v>10299</v>
      </c>
      <c r="B1392">
        <v>49</v>
      </c>
      <c r="C1392">
        <v>100</v>
      </c>
      <c r="D1392">
        <v>2</v>
      </c>
      <c r="E1392">
        <v>7947.31</v>
      </c>
      <c r="F1392" t="s">
        <v>203</v>
      </c>
      <c r="G1392" t="s">
        <v>93</v>
      </c>
      <c r="H1392">
        <v>3</v>
      </c>
      <c r="I1392">
        <v>9</v>
      </c>
      <c r="J1392">
        <v>2004</v>
      </c>
      <c r="K1392" t="s">
        <v>265</v>
      </c>
      <c r="L1392">
        <v>148</v>
      </c>
      <c r="M1392" t="s">
        <v>805</v>
      </c>
      <c r="N1392" t="s">
        <v>204</v>
      </c>
      <c r="O1392" t="s">
        <v>205</v>
      </c>
      <c r="P1392" t="s">
        <v>206</v>
      </c>
      <c r="R1392" t="s">
        <v>207</v>
      </c>
      <c r="T1392">
        <v>21240</v>
      </c>
      <c r="U1392" t="s">
        <v>208</v>
      </c>
      <c r="V1392" t="s">
        <v>110</v>
      </c>
      <c r="W1392" t="s">
        <v>209</v>
      </c>
      <c r="X1392" t="s">
        <v>210</v>
      </c>
      <c r="Y1392" t="s">
        <v>232</v>
      </c>
    </row>
    <row r="1393" spans="1:25">
      <c r="A1393">
        <v>10310</v>
      </c>
      <c r="B1393">
        <v>40</v>
      </c>
      <c r="C1393">
        <v>100</v>
      </c>
      <c r="D1393">
        <v>15</v>
      </c>
      <c r="E1393">
        <v>5356.8</v>
      </c>
      <c r="F1393" t="s">
        <v>592</v>
      </c>
      <c r="G1393" t="s">
        <v>93</v>
      </c>
      <c r="H1393">
        <v>4</v>
      </c>
      <c r="I1393">
        <v>10</v>
      </c>
      <c r="J1393">
        <v>2004</v>
      </c>
      <c r="K1393" t="s">
        <v>265</v>
      </c>
      <c r="L1393">
        <v>148</v>
      </c>
      <c r="M1393" t="s">
        <v>805</v>
      </c>
      <c r="N1393" t="s">
        <v>562</v>
      </c>
      <c r="O1393" t="s">
        <v>563</v>
      </c>
      <c r="P1393" t="s">
        <v>564</v>
      </c>
      <c r="R1393" t="s">
        <v>565</v>
      </c>
      <c r="T1393">
        <v>50739</v>
      </c>
      <c r="U1393" t="s">
        <v>566</v>
      </c>
      <c r="V1393" t="s">
        <v>110</v>
      </c>
      <c r="W1393" t="s">
        <v>567</v>
      </c>
      <c r="X1393" t="s">
        <v>568</v>
      </c>
      <c r="Y1393" t="s">
        <v>119</v>
      </c>
    </row>
    <row r="1394" spans="1:25">
      <c r="A1394">
        <v>10319</v>
      </c>
      <c r="B1394">
        <v>45</v>
      </c>
      <c r="C1394">
        <v>100</v>
      </c>
      <c r="D1394">
        <v>3</v>
      </c>
      <c r="E1394">
        <v>7901.1</v>
      </c>
      <c r="F1394" s="4">
        <v>38057</v>
      </c>
      <c r="G1394" t="s">
        <v>93</v>
      </c>
      <c r="H1394">
        <v>4</v>
      </c>
      <c r="I1394">
        <v>11</v>
      </c>
      <c r="J1394">
        <v>2004</v>
      </c>
      <c r="K1394" t="s">
        <v>265</v>
      </c>
      <c r="L1394">
        <v>148</v>
      </c>
      <c r="M1394" t="s">
        <v>805</v>
      </c>
      <c r="N1394" t="s">
        <v>643</v>
      </c>
      <c r="O1394">
        <v>2125551957</v>
      </c>
      <c r="P1394" t="s">
        <v>644</v>
      </c>
      <c r="Q1394" t="s">
        <v>645</v>
      </c>
      <c r="R1394" t="s">
        <v>98</v>
      </c>
      <c r="S1394" t="s">
        <v>99</v>
      </c>
      <c r="T1394">
        <v>10022</v>
      </c>
      <c r="U1394" t="s">
        <v>100</v>
      </c>
      <c r="V1394" t="s">
        <v>101</v>
      </c>
      <c r="W1394" t="s">
        <v>646</v>
      </c>
      <c r="X1394" t="s">
        <v>647</v>
      </c>
      <c r="Y1394" t="s">
        <v>232</v>
      </c>
    </row>
    <row r="1395" spans="1:25">
      <c r="A1395">
        <v>10330</v>
      </c>
      <c r="B1395">
        <v>50</v>
      </c>
      <c r="C1395">
        <v>100</v>
      </c>
      <c r="D1395">
        <v>4</v>
      </c>
      <c r="E1395">
        <v>6101</v>
      </c>
      <c r="F1395" t="s">
        <v>791</v>
      </c>
      <c r="G1395" t="s">
        <v>93</v>
      </c>
      <c r="H1395">
        <v>4</v>
      </c>
      <c r="I1395">
        <v>11</v>
      </c>
      <c r="J1395">
        <v>2004</v>
      </c>
      <c r="K1395" t="s">
        <v>265</v>
      </c>
      <c r="L1395">
        <v>148</v>
      </c>
      <c r="M1395" t="s">
        <v>805</v>
      </c>
      <c r="N1395" t="s">
        <v>547</v>
      </c>
      <c r="O1395" t="s">
        <v>548</v>
      </c>
      <c r="P1395" t="s">
        <v>549</v>
      </c>
      <c r="R1395" t="s">
        <v>550</v>
      </c>
      <c r="T1395" t="s">
        <v>551</v>
      </c>
      <c r="U1395" t="s">
        <v>552</v>
      </c>
      <c r="V1395" t="s">
        <v>288</v>
      </c>
      <c r="W1395" t="s">
        <v>553</v>
      </c>
      <c r="X1395" t="s">
        <v>554</v>
      </c>
      <c r="Y1395" t="s">
        <v>119</v>
      </c>
    </row>
    <row r="1396" spans="1:25">
      <c r="A1396">
        <v>10342</v>
      </c>
      <c r="B1396">
        <v>38</v>
      </c>
      <c r="C1396">
        <v>100</v>
      </c>
      <c r="D1396">
        <v>11</v>
      </c>
      <c r="E1396">
        <v>6276.46</v>
      </c>
      <c r="F1396" t="s">
        <v>224</v>
      </c>
      <c r="G1396" t="s">
        <v>93</v>
      </c>
      <c r="H1396">
        <v>4</v>
      </c>
      <c r="I1396">
        <v>11</v>
      </c>
      <c r="J1396">
        <v>2004</v>
      </c>
      <c r="K1396" t="s">
        <v>265</v>
      </c>
      <c r="L1396">
        <v>148</v>
      </c>
      <c r="M1396" t="s">
        <v>805</v>
      </c>
      <c r="N1396" t="s">
        <v>162</v>
      </c>
      <c r="O1396" t="s">
        <v>163</v>
      </c>
      <c r="P1396" t="s">
        <v>164</v>
      </c>
      <c r="Q1396" t="s">
        <v>165</v>
      </c>
      <c r="R1396" t="s">
        <v>166</v>
      </c>
      <c r="S1396" t="s">
        <v>167</v>
      </c>
      <c r="T1396">
        <v>3004</v>
      </c>
      <c r="U1396" t="s">
        <v>168</v>
      </c>
      <c r="V1396" t="s">
        <v>169</v>
      </c>
      <c r="W1396" t="s">
        <v>170</v>
      </c>
      <c r="X1396" t="s">
        <v>171</v>
      </c>
      <c r="Y1396" t="s">
        <v>119</v>
      </c>
    </row>
    <row r="1397" spans="1:25">
      <c r="A1397">
        <v>10355</v>
      </c>
      <c r="B1397">
        <v>25</v>
      </c>
      <c r="C1397">
        <v>100</v>
      </c>
      <c r="D1397">
        <v>2</v>
      </c>
      <c r="E1397">
        <v>4203.5</v>
      </c>
      <c r="F1397" s="4">
        <v>38180</v>
      </c>
      <c r="G1397" t="s">
        <v>93</v>
      </c>
      <c r="H1397">
        <v>4</v>
      </c>
      <c r="I1397">
        <v>12</v>
      </c>
      <c r="J1397">
        <v>2004</v>
      </c>
      <c r="K1397" t="s">
        <v>265</v>
      </c>
      <c r="L1397">
        <v>148</v>
      </c>
      <c r="M1397" t="s">
        <v>805</v>
      </c>
      <c r="N1397" t="s">
        <v>257</v>
      </c>
      <c r="O1397" t="s">
        <v>258</v>
      </c>
      <c r="P1397" t="s">
        <v>259</v>
      </c>
      <c r="R1397" t="s">
        <v>260</v>
      </c>
      <c r="T1397">
        <v>28034</v>
      </c>
      <c r="U1397" t="s">
        <v>261</v>
      </c>
      <c r="V1397" t="s">
        <v>110</v>
      </c>
      <c r="W1397" t="s">
        <v>262</v>
      </c>
      <c r="X1397" t="s">
        <v>263</v>
      </c>
      <c r="Y1397" t="s">
        <v>119</v>
      </c>
    </row>
    <row r="1398" spans="1:25">
      <c r="A1398">
        <v>10363</v>
      </c>
      <c r="B1398">
        <v>28</v>
      </c>
      <c r="C1398">
        <v>58.18</v>
      </c>
      <c r="D1398">
        <v>13</v>
      </c>
      <c r="E1398">
        <v>1629.04</v>
      </c>
      <c r="F1398" s="4">
        <v>38504</v>
      </c>
      <c r="G1398" t="s">
        <v>93</v>
      </c>
      <c r="H1398">
        <v>1</v>
      </c>
      <c r="I1398">
        <v>1</v>
      </c>
      <c r="J1398">
        <v>2005</v>
      </c>
      <c r="K1398" t="s">
        <v>265</v>
      </c>
      <c r="L1398">
        <v>148</v>
      </c>
      <c r="M1398" t="s">
        <v>805</v>
      </c>
      <c r="N1398" t="s">
        <v>593</v>
      </c>
      <c r="O1398" t="s">
        <v>594</v>
      </c>
      <c r="P1398" t="s">
        <v>595</v>
      </c>
      <c r="R1398" t="s">
        <v>596</v>
      </c>
      <c r="T1398" t="s">
        <v>597</v>
      </c>
      <c r="U1398" t="s">
        <v>208</v>
      </c>
      <c r="V1398" t="s">
        <v>110</v>
      </c>
      <c r="W1398" t="s">
        <v>598</v>
      </c>
      <c r="X1398" t="s">
        <v>599</v>
      </c>
      <c r="Y1398" t="s">
        <v>104</v>
      </c>
    </row>
    <row r="1399" spans="1:25">
      <c r="A1399">
        <v>10378</v>
      </c>
      <c r="B1399">
        <v>49</v>
      </c>
      <c r="C1399">
        <v>67.14</v>
      </c>
      <c r="D1399">
        <v>8</v>
      </c>
      <c r="E1399">
        <v>3289.86</v>
      </c>
      <c r="F1399" s="4">
        <v>38627</v>
      </c>
      <c r="G1399" t="s">
        <v>93</v>
      </c>
      <c r="H1399">
        <v>1</v>
      </c>
      <c r="I1399">
        <v>2</v>
      </c>
      <c r="J1399">
        <v>2005</v>
      </c>
      <c r="K1399" t="s">
        <v>265</v>
      </c>
      <c r="L1399">
        <v>148</v>
      </c>
      <c r="M1399" t="s">
        <v>805</v>
      </c>
      <c r="N1399" t="s">
        <v>257</v>
      </c>
      <c r="O1399" t="s">
        <v>258</v>
      </c>
      <c r="P1399" t="s">
        <v>259</v>
      </c>
      <c r="R1399" t="s">
        <v>260</v>
      </c>
      <c r="T1399">
        <v>28034</v>
      </c>
      <c r="U1399" t="s">
        <v>261</v>
      </c>
      <c r="V1399" t="s">
        <v>110</v>
      </c>
      <c r="W1399" t="s">
        <v>262</v>
      </c>
      <c r="X1399" t="s">
        <v>263</v>
      </c>
      <c r="Y1399" t="s">
        <v>119</v>
      </c>
    </row>
    <row r="1400" spans="1:25">
      <c r="A1400">
        <v>10390</v>
      </c>
      <c r="B1400">
        <v>49</v>
      </c>
      <c r="C1400">
        <v>100</v>
      </c>
      <c r="D1400">
        <v>3</v>
      </c>
      <c r="E1400">
        <v>6862.94</v>
      </c>
      <c r="F1400" s="4">
        <v>38445</v>
      </c>
      <c r="G1400" t="s">
        <v>93</v>
      </c>
      <c r="H1400">
        <v>1</v>
      </c>
      <c r="I1400">
        <v>3</v>
      </c>
      <c r="J1400">
        <v>2005</v>
      </c>
      <c r="K1400" t="s">
        <v>265</v>
      </c>
      <c r="L1400">
        <v>148</v>
      </c>
      <c r="M1400" t="s">
        <v>805</v>
      </c>
      <c r="N1400" t="s">
        <v>367</v>
      </c>
      <c r="O1400">
        <v>4155551450</v>
      </c>
      <c r="P1400" t="s">
        <v>368</v>
      </c>
      <c r="R1400" t="s">
        <v>369</v>
      </c>
      <c r="S1400" t="s">
        <v>124</v>
      </c>
      <c r="T1400">
        <v>97562</v>
      </c>
      <c r="U1400" t="s">
        <v>100</v>
      </c>
      <c r="V1400" t="s">
        <v>101</v>
      </c>
      <c r="W1400" t="s">
        <v>370</v>
      </c>
      <c r="X1400" t="s">
        <v>371</v>
      </c>
      <c r="Y1400" t="s">
        <v>119</v>
      </c>
    </row>
    <row r="1401" spans="1:25">
      <c r="A1401">
        <v>10110</v>
      </c>
      <c r="B1401">
        <v>42</v>
      </c>
      <c r="C1401">
        <v>61.29</v>
      </c>
      <c r="D1401">
        <v>9</v>
      </c>
      <c r="E1401">
        <v>2574.1799999999998</v>
      </c>
      <c r="F1401" t="s">
        <v>720</v>
      </c>
      <c r="G1401" t="s">
        <v>93</v>
      </c>
      <c r="H1401">
        <v>1</v>
      </c>
      <c r="I1401">
        <v>3</v>
      </c>
      <c r="J1401">
        <v>2003</v>
      </c>
      <c r="K1401" t="s">
        <v>265</v>
      </c>
      <c r="L1401">
        <v>71</v>
      </c>
      <c r="M1401" t="s">
        <v>806</v>
      </c>
      <c r="N1401" t="s">
        <v>624</v>
      </c>
      <c r="O1401" t="s">
        <v>625</v>
      </c>
      <c r="P1401" t="s">
        <v>626</v>
      </c>
      <c r="R1401" t="s">
        <v>627</v>
      </c>
      <c r="T1401" t="s">
        <v>628</v>
      </c>
      <c r="U1401" t="s">
        <v>252</v>
      </c>
      <c r="V1401" t="s">
        <v>110</v>
      </c>
      <c r="W1401" t="s">
        <v>629</v>
      </c>
      <c r="X1401" t="s">
        <v>167</v>
      </c>
      <c r="Y1401" t="s">
        <v>104</v>
      </c>
    </row>
    <row r="1402" spans="1:25">
      <c r="A1402">
        <v>10124</v>
      </c>
      <c r="B1402">
        <v>23</v>
      </c>
      <c r="C1402">
        <v>57.73</v>
      </c>
      <c r="D1402">
        <v>8</v>
      </c>
      <c r="E1402">
        <v>1327.79</v>
      </c>
      <c r="F1402" t="s">
        <v>700</v>
      </c>
      <c r="G1402" t="s">
        <v>93</v>
      </c>
      <c r="H1402">
        <v>2</v>
      </c>
      <c r="I1402">
        <v>5</v>
      </c>
      <c r="J1402">
        <v>2003</v>
      </c>
      <c r="K1402" t="s">
        <v>265</v>
      </c>
      <c r="L1402">
        <v>71</v>
      </c>
      <c r="M1402" t="s">
        <v>806</v>
      </c>
      <c r="N1402" t="s">
        <v>684</v>
      </c>
      <c r="O1402">
        <v>7025551838</v>
      </c>
      <c r="P1402" t="s">
        <v>685</v>
      </c>
      <c r="R1402" t="s">
        <v>686</v>
      </c>
      <c r="S1402" t="s">
        <v>687</v>
      </c>
      <c r="T1402">
        <v>83030</v>
      </c>
      <c r="U1402" t="s">
        <v>100</v>
      </c>
      <c r="V1402" t="s">
        <v>101</v>
      </c>
      <c r="W1402" t="s">
        <v>188</v>
      </c>
      <c r="X1402" t="s">
        <v>517</v>
      </c>
      <c r="Y1402" t="s">
        <v>104</v>
      </c>
    </row>
    <row r="1403" spans="1:25">
      <c r="A1403">
        <v>10148</v>
      </c>
      <c r="B1403">
        <v>29</v>
      </c>
      <c r="C1403">
        <v>81.25</v>
      </c>
      <c r="D1403">
        <v>2</v>
      </c>
      <c r="E1403">
        <v>2356.25</v>
      </c>
      <c r="F1403" s="4">
        <v>37934</v>
      </c>
      <c r="G1403" t="s">
        <v>93</v>
      </c>
      <c r="H1403">
        <v>3</v>
      </c>
      <c r="I1403">
        <v>9</v>
      </c>
      <c r="J1403">
        <v>2003</v>
      </c>
      <c r="K1403" t="s">
        <v>265</v>
      </c>
      <c r="L1403">
        <v>71</v>
      </c>
      <c r="M1403" t="s">
        <v>806</v>
      </c>
      <c r="N1403" t="s">
        <v>384</v>
      </c>
      <c r="O1403" t="s">
        <v>385</v>
      </c>
      <c r="P1403" t="s">
        <v>386</v>
      </c>
      <c r="Q1403" t="s">
        <v>387</v>
      </c>
      <c r="R1403" t="s">
        <v>388</v>
      </c>
      <c r="S1403" t="s">
        <v>239</v>
      </c>
      <c r="T1403">
        <v>2060</v>
      </c>
      <c r="U1403" t="s">
        <v>168</v>
      </c>
      <c r="V1403" t="s">
        <v>169</v>
      </c>
      <c r="W1403" t="s">
        <v>389</v>
      </c>
      <c r="X1403" t="s">
        <v>390</v>
      </c>
      <c r="Y1403" t="s">
        <v>104</v>
      </c>
    </row>
    <row r="1404" spans="1:25">
      <c r="A1404">
        <v>10161</v>
      </c>
      <c r="B1404">
        <v>25</v>
      </c>
      <c r="C1404">
        <v>80.540000000000006</v>
      </c>
      <c r="D1404">
        <v>1</v>
      </c>
      <c r="E1404">
        <v>2013.5</v>
      </c>
      <c r="F1404" t="s">
        <v>682</v>
      </c>
      <c r="G1404" t="s">
        <v>93</v>
      </c>
      <c r="H1404">
        <v>4</v>
      </c>
      <c r="I1404">
        <v>10</v>
      </c>
      <c r="J1404">
        <v>2003</v>
      </c>
      <c r="K1404" t="s">
        <v>265</v>
      </c>
      <c r="L1404">
        <v>71</v>
      </c>
      <c r="M1404" t="s">
        <v>806</v>
      </c>
      <c r="N1404" t="s">
        <v>630</v>
      </c>
      <c r="O1404" t="s">
        <v>631</v>
      </c>
      <c r="P1404" t="s">
        <v>632</v>
      </c>
      <c r="R1404" t="s">
        <v>633</v>
      </c>
      <c r="T1404">
        <v>8200</v>
      </c>
      <c r="U1404" t="s">
        <v>429</v>
      </c>
      <c r="V1404" t="s">
        <v>110</v>
      </c>
      <c r="W1404" t="s">
        <v>634</v>
      </c>
      <c r="X1404" t="s">
        <v>635</v>
      </c>
      <c r="Y1404" t="s">
        <v>104</v>
      </c>
    </row>
    <row r="1405" spans="1:25">
      <c r="A1405">
        <v>10173</v>
      </c>
      <c r="B1405">
        <v>39</v>
      </c>
      <c r="C1405">
        <v>71.98</v>
      </c>
      <c r="D1405">
        <v>15</v>
      </c>
      <c r="E1405">
        <v>2807.22</v>
      </c>
      <c r="F1405" s="4">
        <v>37752</v>
      </c>
      <c r="G1405" t="s">
        <v>93</v>
      </c>
      <c r="H1405">
        <v>4</v>
      </c>
      <c r="I1405">
        <v>11</v>
      </c>
      <c r="J1405">
        <v>2003</v>
      </c>
      <c r="K1405" t="s">
        <v>265</v>
      </c>
      <c r="L1405">
        <v>71</v>
      </c>
      <c r="M1405" t="s">
        <v>806</v>
      </c>
      <c r="N1405" t="s">
        <v>703</v>
      </c>
      <c r="O1405" t="s">
        <v>704</v>
      </c>
      <c r="P1405" t="s">
        <v>705</v>
      </c>
      <c r="R1405" t="s">
        <v>706</v>
      </c>
      <c r="T1405">
        <v>24100</v>
      </c>
      <c r="U1405" t="s">
        <v>352</v>
      </c>
      <c r="V1405" t="s">
        <v>110</v>
      </c>
      <c r="W1405" t="s">
        <v>707</v>
      </c>
      <c r="X1405" t="s">
        <v>708</v>
      </c>
      <c r="Y1405" t="s">
        <v>104</v>
      </c>
    </row>
    <row r="1406" spans="1:25">
      <c r="A1406">
        <v>10182</v>
      </c>
      <c r="B1406">
        <v>44</v>
      </c>
      <c r="C1406">
        <v>69.84</v>
      </c>
      <c r="D1406">
        <v>12</v>
      </c>
      <c r="E1406">
        <v>3072.96</v>
      </c>
      <c r="F1406" s="4">
        <v>37966</v>
      </c>
      <c r="G1406" t="s">
        <v>93</v>
      </c>
      <c r="H1406">
        <v>4</v>
      </c>
      <c r="I1406">
        <v>11</v>
      </c>
      <c r="J1406">
        <v>2003</v>
      </c>
      <c r="K1406" t="s">
        <v>265</v>
      </c>
      <c r="L1406">
        <v>71</v>
      </c>
      <c r="M1406" t="s">
        <v>806</v>
      </c>
      <c r="N1406" t="s">
        <v>367</v>
      </c>
      <c r="O1406">
        <v>4155551450</v>
      </c>
      <c r="P1406" t="s">
        <v>368</v>
      </c>
      <c r="R1406" t="s">
        <v>369</v>
      </c>
      <c r="S1406" t="s">
        <v>124</v>
      </c>
      <c r="T1406">
        <v>97562</v>
      </c>
      <c r="U1406" t="s">
        <v>100</v>
      </c>
      <c r="V1406" t="s">
        <v>101</v>
      </c>
      <c r="W1406" t="s">
        <v>370</v>
      </c>
      <c r="X1406" t="s">
        <v>371</v>
      </c>
      <c r="Y1406" t="s">
        <v>119</v>
      </c>
    </row>
    <row r="1407" spans="1:25">
      <c r="A1407">
        <v>10193</v>
      </c>
      <c r="B1407">
        <v>25</v>
      </c>
      <c r="C1407">
        <v>76.260000000000005</v>
      </c>
      <c r="D1407">
        <v>16</v>
      </c>
      <c r="E1407">
        <v>1906.5</v>
      </c>
      <c r="F1407" t="s">
        <v>709</v>
      </c>
      <c r="G1407" t="s">
        <v>93</v>
      </c>
      <c r="H1407">
        <v>4</v>
      </c>
      <c r="I1407">
        <v>11</v>
      </c>
      <c r="J1407">
        <v>2003</v>
      </c>
      <c r="K1407" t="s">
        <v>265</v>
      </c>
      <c r="L1407">
        <v>71</v>
      </c>
      <c r="M1407" t="s">
        <v>806</v>
      </c>
      <c r="N1407" t="s">
        <v>710</v>
      </c>
      <c r="O1407" t="s">
        <v>711</v>
      </c>
      <c r="P1407" t="s">
        <v>712</v>
      </c>
      <c r="R1407" t="s">
        <v>713</v>
      </c>
      <c r="S1407" t="s">
        <v>167</v>
      </c>
      <c r="T1407">
        <v>3150</v>
      </c>
      <c r="U1407" t="s">
        <v>168</v>
      </c>
      <c r="V1407" t="s">
        <v>169</v>
      </c>
      <c r="W1407" t="s">
        <v>714</v>
      </c>
      <c r="X1407" t="s">
        <v>715</v>
      </c>
      <c r="Y1407" t="s">
        <v>104</v>
      </c>
    </row>
    <row r="1408" spans="1:25">
      <c r="A1408">
        <v>10204</v>
      </c>
      <c r="B1408">
        <v>45</v>
      </c>
      <c r="C1408">
        <v>76.260000000000005</v>
      </c>
      <c r="D1408">
        <v>6</v>
      </c>
      <c r="E1408">
        <v>3431.7</v>
      </c>
      <c r="F1408" s="4">
        <v>37664</v>
      </c>
      <c r="G1408" t="s">
        <v>93</v>
      </c>
      <c r="H1408">
        <v>4</v>
      </c>
      <c r="I1408">
        <v>12</v>
      </c>
      <c r="J1408">
        <v>2003</v>
      </c>
      <c r="K1408" t="s">
        <v>265</v>
      </c>
      <c r="L1408">
        <v>71</v>
      </c>
      <c r="M1408" t="s">
        <v>806</v>
      </c>
      <c r="N1408" t="s">
        <v>603</v>
      </c>
      <c r="O1408">
        <v>2125557413</v>
      </c>
      <c r="P1408" t="s">
        <v>604</v>
      </c>
      <c r="Q1408" t="s">
        <v>605</v>
      </c>
      <c r="R1408" t="s">
        <v>98</v>
      </c>
      <c r="S1408" t="s">
        <v>99</v>
      </c>
      <c r="T1408">
        <v>10022</v>
      </c>
      <c r="U1408" t="s">
        <v>100</v>
      </c>
      <c r="V1408" t="s">
        <v>101</v>
      </c>
      <c r="W1408" t="s">
        <v>125</v>
      </c>
      <c r="X1408" t="s">
        <v>606</v>
      </c>
      <c r="Y1408" t="s">
        <v>119</v>
      </c>
    </row>
    <row r="1409" spans="1:25">
      <c r="A1409">
        <v>10213</v>
      </c>
      <c r="B1409">
        <v>25</v>
      </c>
      <c r="C1409">
        <v>83.39</v>
      </c>
      <c r="D1409">
        <v>2</v>
      </c>
      <c r="E1409">
        <v>2084.75</v>
      </c>
      <c r="F1409" t="s">
        <v>800</v>
      </c>
      <c r="G1409" t="s">
        <v>93</v>
      </c>
      <c r="H1409">
        <v>1</v>
      </c>
      <c r="I1409">
        <v>1</v>
      </c>
      <c r="J1409">
        <v>2004</v>
      </c>
      <c r="K1409" t="s">
        <v>265</v>
      </c>
      <c r="L1409">
        <v>71</v>
      </c>
      <c r="M1409" t="s">
        <v>806</v>
      </c>
      <c r="N1409" t="s">
        <v>452</v>
      </c>
      <c r="O1409" t="s">
        <v>453</v>
      </c>
      <c r="P1409" t="s">
        <v>454</v>
      </c>
      <c r="R1409" t="s">
        <v>436</v>
      </c>
      <c r="T1409" t="s">
        <v>455</v>
      </c>
      <c r="U1409" t="s">
        <v>252</v>
      </c>
      <c r="V1409" t="s">
        <v>110</v>
      </c>
      <c r="W1409" t="s">
        <v>456</v>
      </c>
      <c r="X1409" t="s">
        <v>457</v>
      </c>
      <c r="Y1409" t="s">
        <v>104</v>
      </c>
    </row>
    <row r="1410" spans="1:25">
      <c r="A1410">
        <v>10227</v>
      </c>
      <c r="B1410">
        <v>37</v>
      </c>
      <c r="C1410">
        <v>57.73</v>
      </c>
      <c r="D1410">
        <v>12</v>
      </c>
      <c r="E1410">
        <v>2136.0100000000002</v>
      </c>
      <c r="F1410" s="4">
        <v>38020</v>
      </c>
      <c r="G1410" t="s">
        <v>93</v>
      </c>
      <c r="H1410">
        <v>1</v>
      </c>
      <c r="I1410">
        <v>3</v>
      </c>
      <c r="J1410">
        <v>2004</v>
      </c>
      <c r="K1410" t="s">
        <v>265</v>
      </c>
      <c r="L1410">
        <v>71</v>
      </c>
      <c r="M1410" t="s">
        <v>806</v>
      </c>
      <c r="N1410" t="s">
        <v>310</v>
      </c>
      <c r="O1410" t="s">
        <v>311</v>
      </c>
      <c r="P1410" t="s">
        <v>312</v>
      </c>
      <c r="R1410" t="s">
        <v>313</v>
      </c>
      <c r="T1410">
        <v>69004</v>
      </c>
      <c r="U1410" t="s">
        <v>109</v>
      </c>
      <c r="V1410" t="s">
        <v>110</v>
      </c>
      <c r="W1410" t="s">
        <v>314</v>
      </c>
      <c r="X1410" t="s">
        <v>315</v>
      </c>
      <c r="Y1410" t="s">
        <v>104</v>
      </c>
    </row>
    <row r="1411" spans="1:25">
      <c r="A1411">
        <v>10241</v>
      </c>
      <c r="B1411">
        <v>30</v>
      </c>
      <c r="C1411">
        <v>66.989999999999995</v>
      </c>
      <c r="D1411">
        <v>4</v>
      </c>
      <c r="E1411">
        <v>2009.7</v>
      </c>
      <c r="F1411" t="s">
        <v>683</v>
      </c>
      <c r="G1411" t="s">
        <v>93</v>
      </c>
      <c r="H1411">
        <v>2</v>
      </c>
      <c r="I1411">
        <v>4</v>
      </c>
      <c r="J1411">
        <v>2004</v>
      </c>
      <c r="K1411" t="s">
        <v>265</v>
      </c>
      <c r="L1411">
        <v>71</v>
      </c>
      <c r="M1411" t="s">
        <v>806</v>
      </c>
      <c r="N1411" t="s">
        <v>674</v>
      </c>
      <c r="O1411" t="s">
        <v>675</v>
      </c>
      <c r="P1411" t="s">
        <v>676</v>
      </c>
      <c r="R1411" t="s">
        <v>677</v>
      </c>
      <c r="T1411">
        <v>67000</v>
      </c>
      <c r="U1411" t="s">
        <v>109</v>
      </c>
      <c r="V1411" t="s">
        <v>110</v>
      </c>
      <c r="W1411" t="s">
        <v>678</v>
      </c>
      <c r="X1411" t="s">
        <v>679</v>
      </c>
      <c r="Y1411" t="s">
        <v>104</v>
      </c>
    </row>
    <row r="1412" spans="1:25">
      <c r="A1412">
        <v>10267</v>
      </c>
      <c r="B1412">
        <v>36</v>
      </c>
      <c r="C1412">
        <v>75.55</v>
      </c>
      <c r="D1412">
        <v>1</v>
      </c>
      <c r="E1412">
        <v>2719.8</v>
      </c>
      <c r="F1412" s="4">
        <v>38175</v>
      </c>
      <c r="G1412" t="s">
        <v>93</v>
      </c>
      <c r="H1412">
        <v>3</v>
      </c>
      <c r="I1412">
        <v>7</v>
      </c>
      <c r="J1412">
        <v>2004</v>
      </c>
      <c r="K1412" t="s">
        <v>265</v>
      </c>
      <c r="L1412">
        <v>71</v>
      </c>
      <c r="M1412" t="s">
        <v>806</v>
      </c>
      <c r="N1412" t="s">
        <v>603</v>
      </c>
      <c r="O1412">
        <v>2125557413</v>
      </c>
      <c r="P1412" t="s">
        <v>604</v>
      </c>
      <c r="Q1412" t="s">
        <v>605</v>
      </c>
      <c r="R1412" t="s">
        <v>98</v>
      </c>
      <c r="S1412" t="s">
        <v>99</v>
      </c>
      <c r="T1412">
        <v>10022</v>
      </c>
      <c r="U1412" t="s">
        <v>100</v>
      </c>
      <c r="V1412" t="s">
        <v>101</v>
      </c>
      <c r="W1412" t="s">
        <v>125</v>
      </c>
      <c r="X1412" t="s">
        <v>606</v>
      </c>
      <c r="Y1412" t="s">
        <v>104</v>
      </c>
    </row>
    <row r="1413" spans="1:25">
      <c r="A1413">
        <v>10279</v>
      </c>
      <c r="B1413">
        <v>26</v>
      </c>
      <c r="C1413">
        <v>60.58</v>
      </c>
      <c r="D1413">
        <v>1</v>
      </c>
      <c r="E1413">
        <v>1575.08</v>
      </c>
      <c r="F1413" s="4">
        <v>38238</v>
      </c>
      <c r="G1413" t="s">
        <v>93</v>
      </c>
      <c r="H1413">
        <v>3</v>
      </c>
      <c r="I1413">
        <v>8</v>
      </c>
      <c r="J1413">
        <v>2004</v>
      </c>
      <c r="K1413" t="s">
        <v>265</v>
      </c>
      <c r="L1413">
        <v>71</v>
      </c>
      <c r="M1413" t="s">
        <v>806</v>
      </c>
      <c r="N1413" t="s">
        <v>257</v>
      </c>
      <c r="O1413" t="s">
        <v>258</v>
      </c>
      <c r="P1413" t="s">
        <v>259</v>
      </c>
      <c r="R1413" t="s">
        <v>260</v>
      </c>
      <c r="T1413">
        <v>28034</v>
      </c>
      <c r="U1413" t="s">
        <v>261</v>
      </c>
      <c r="V1413" t="s">
        <v>110</v>
      </c>
      <c r="W1413" t="s">
        <v>262</v>
      </c>
      <c r="X1413" t="s">
        <v>263</v>
      </c>
      <c r="Y1413" t="s">
        <v>104</v>
      </c>
    </row>
    <row r="1414" spans="1:25">
      <c r="A1414">
        <v>10288</v>
      </c>
      <c r="B1414">
        <v>23</v>
      </c>
      <c r="C1414">
        <v>73.41</v>
      </c>
      <c r="D1414">
        <v>7</v>
      </c>
      <c r="E1414">
        <v>1688.43</v>
      </c>
      <c r="F1414" s="4">
        <v>37995</v>
      </c>
      <c r="G1414" t="s">
        <v>93</v>
      </c>
      <c r="H1414">
        <v>3</v>
      </c>
      <c r="I1414">
        <v>9</v>
      </c>
      <c r="J1414">
        <v>2004</v>
      </c>
      <c r="K1414" t="s">
        <v>265</v>
      </c>
      <c r="L1414">
        <v>71</v>
      </c>
      <c r="M1414" t="s">
        <v>806</v>
      </c>
      <c r="N1414" t="s">
        <v>536</v>
      </c>
      <c r="O1414" t="s">
        <v>537</v>
      </c>
      <c r="P1414" t="s">
        <v>538</v>
      </c>
      <c r="Q1414" t="s">
        <v>539</v>
      </c>
      <c r="R1414" t="s">
        <v>287</v>
      </c>
      <c r="T1414">
        <v>69045</v>
      </c>
      <c r="U1414" t="s">
        <v>287</v>
      </c>
      <c r="V1414" t="s">
        <v>169</v>
      </c>
      <c r="W1414" t="s">
        <v>540</v>
      </c>
      <c r="X1414" t="s">
        <v>541</v>
      </c>
      <c r="Y1414" t="s">
        <v>104</v>
      </c>
    </row>
    <row r="1415" spans="1:25">
      <c r="A1415">
        <v>10302</v>
      </c>
      <c r="B1415">
        <v>23</v>
      </c>
      <c r="C1415">
        <v>72.7</v>
      </c>
      <c r="D1415">
        <v>3</v>
      </c>
      <c r="E1415">
        <v>1672.1</v>
      </c>
      <c r="F1415" s="4">
        <v>37782</v>
      </c>
      <c r="G1415" t="s">
        <v>93</v>
      </c>
      <c r="H1415">
        <v>4</v>
      </c>
      <c r="I1415">
        <v>10</v>
      </c>
      <c r="J1415">
        <v>2003</v>
      </c>
      <c r="K1415" t="s">
        <v>265</v>
      </c>
      <c r="L1415">
        <v>71</v>
      </c>
      <c r="M1415" t="s">
        <v>806</v>
      </c>
      <c r="N1415" t="s">
        <v>247</v>
      </c>
      <c r="O1415" t="s">
        <v>248</v>
      </c>
      <c r="P1415" t="s">
        <v>249</v>
      </c>
      <c r="R1415" t="s">
        <v>250</v>
      </c>
      <c r="T1415" t="s">
        <v>251</v>
      </c>
      <c r="U1415" t="s">
        <v>252</v>
      </c>
      <c r="V1415" t="s">
        <v>110</v>
      </c>
      <c r="W1415" t="s">
        <v>253</v>
      </c>
      <c r="X1415" t="s">
        <v>254</v>
      </c>
      <c r="Y1415" t="s">
        <v>104</v>
      </c>
    </row>
    <row r="1416" spans="1:25">
      <c r="A1416">
        <v>10311</v>
      </c>
      <c r="B1416">
        <v>25</v>
      </c>
      <c r="C1416">
        <v>66.989999999999995</v>
      </c>
      <c r="D1416">
        <v>2</v>
      </c>
      <c r="E1416">
        <v>1674.75</v>
      </c>
      <c r="F1416" t="s">
        <v>592</v>
      </c>
      <c r="G1416" t="s">
        <v>93</v>
      </c>
      <c r="H1416">
        <v>4</v>
      </c>
      <c r="I1416">
        <v>10</v>
      </c>
      <c r="J1416">
        <v>2004</v>
      </c>
      <c r="K1416" t="s">
        <v>265</v>
      </c>
      <c r="L1416">
        <v>71</v>
      </c>
      <c r="M1416" t="s">
        <v>806</v>
      </c>
      <c r="N1416" t="s">
        <v>257</v>
      </c>
      <c r="O1416" t="s">
        <v>258</v>
      </c>
      <c r="P1416" t="s">
        <v>259</v>
      </c>
      <c r="R1416" t="s">
        <v>260</v>
      </c>
      <c r="T1416">
        <v>28034</v>
      </c>
      <c r="U1416" t="s">
        <v>261</v>
      </c>
      <c r="V1416" t="s">
        <v>110</v>
      </c>
      <c r="W1416" t="s">
        <v>262</v>
      </c>
      <c r="X1416" t="s">
        <v>263</v>
      </c>
      <c r="Y1416" t="s">
        <v>104</v>
      </c>
    </row>
    <row r="1417" spans="1:25">
      <c r="A1417">
        <v>10332</v>
      </c>
      <c r="B1417">
        <v>21</v>
      </c>
      <c r="C1417">
        <v>100</v>
      </c>
      <c r="D1417">
        <v>3</v>
      </c>
      <c r="E1417">
        <v>3472.98</v>
      </c>
      <c r="F1417" t="s">
        <v>695</v>
      </c>
      <c r="G1417" t="s">
        <v>93</v>
      </c>
      <c r="H1417">
        <v>4</v>
      </c>
      <c r="I1417">
        <v>11</v>
      </c>
      <c r="J1417">
        <v>2004</v>
      </c>
      <c r="K1417" t="s">
        <v>265</v>
      </c>
      <c r="L1417">
        <v>71</v>
      </c>
      <c r="M1417" t="s">
        <v>806</v>
      </c>
      <c r="N1417" t="s">
        <v>624</v>
      </c>
      <c r="O1417" t="s">
        <v>625</v>
      </c>
      <c r="P1417" t="s">
        <v>626</v>
      </c>
      <c r="R1417" t="s">
        <v>627</v>
      </c>
      <c r="T1417" t="s">
        <v>628</v>
      </c>
      <c r="U1417" t="s">
        <v>252</v>
      </c>
      <c r="V1417" t="s">
        <v>110</v>
      </c>
      <c r="W1417" t="s">
        <v>629</v>
      </c>
      <c r="X1417" t="s">
        <v>167</v>
      </c>
      <c r="Y1417" t="s">
        <v>119</v>
      </c>
    </row>
    <row r="1418" spans="1:25">
      <c r="A1418">
        <v>10344</v>
      </c>
      <c r="B1418">
        <v>26</v>
      </c>
      <c r="C1418">
        <v>63.43</v>
      </c>
      <c r="D1418">
        <v>5</v>
      </c>
      <c r="E1418">
        <v>1649.18</v>
      </c>
      <c r="F1418" t="s">
        <v>753</v>
      </c>
      <c r="G1418" t="s">
        <v>93</v>
      </c>
      <c r="H1418">
        <v>4</v>
      </c>
      <c r="I1418">
        <v>11</v>
      </c>
      <c r="J1418">
        <v>2004</v>
      </c>
      <c r="K1418" t="s">
        <v>265</v>
      </c>
      <c r="L1418">
        <v>71</v>
      </c>
      <c r="M1418" t="s">
        <v>806</v>
      </c>
      <c r="N1418" t="s">
        <v>555</v>
      </c>
      <c r="O1418" t="s">
        <v>556</v>
      </c>
      <c r="P1418" t="s">
        <v>557</v>
      </c>
      <c r="R1418" t="s">
        <v>558</v>
      </c>
      <c r="T1418">
        <v>13008</v>
      </c>
      <c r="U1418" t="s">
        <v>109</v>
      </c>
      <c r="V1418" t="s">
        <v>110</v>
      </c>
      <c r="W1418" t="s">
        <v>559</v>
      </c>
      <c r="X1418" t="s">
        <v>560</v>
      </c>
      <c r="Y1418" t="s">
        <v>104</v>
      </c>
    </row>
    <row r="1419" spans="1:25">
      <c r="A1419">
        <v>10367</v>
      </c>
      <c r="B1419">
        <v>44</v>
      </c>
      <c r="C1419">
        <v>85.25</v>
      </c>
      <c r="D1419">
        <v>9</v>
      </c>
      <c r="E1419">
        <v>3751</v>
      </c>
      <c r="F1419" s="4">
        <v>38687</v>
      </c>
      <c r="G1419" t="s">
        <v>526</v>
      </c>
      <c r="H1419">
        <v>1</v>
      </c>
      <c r="I1419">
        <v>1</v>
      </c>
      <c r="J1419">
        <v>2005</v>
      </c>
      <c r="K1419" t="s">
        <v>265</v>
      </c>
      <c r="L1419">
        <v>71</v>
      </c>
      <c r="M1419" t="s">
        <v>806</v>
      </c>
      <c r="N1419" t="s">
        <v>121</v>
      </c>
      <c r="O1419">
        <v>6265557265</v>
      </c>
      <c r="P1419" t="s">
        <v>122</v>
      </c>
      <c r="R1419" t="s">
        <v>123</v>
      </c>
      <c r="S1419" t="s">
        <v>124</v>
      </c>
      <c r="T1419">
        <v>90003</v>
      </c>
      <c r="U1419" t="s">
        <v>100</v>
      </c>
      <c r="V1419" t="s">
        <v>101</v>
      </c>
      <c r="W1419" t="s">
        <v>125</v>
      </c>
      <c r="X1419" t="s">
        <v>126</v>
      </c>
      <c r="Y1419" t="s">
        <v>119</v>
      </c>
    </row>
    <row r="1420" spans="1:25">
      <c r="A1420">
        <v>10380</v>
      </c>
      <c r="B1420">
        <v>24</v>
      </c>
      <c r="C1420">
        <v>100</v>
      </c>
      <c r="D1420">
        <v>2</v>
      </c>
      <c r="E1420">
        <v>4536</v>
      </c>
      <c r="F1420" t="s">
        <v>717</v>
      </c>
      <c r="G1420" t="s">
        <v>93</v>
      </c>
      <c r="H1420">
        <v>1</v>
      </c>
      <c r="I1420">
        <v>2</v>
      </c>
      <c r="J1420">
        <v>2005</v>
      </c>
      <c r="K1420" t="s">
        <v>265</v>
      </c>
      <c r="L1420">
        <v>71</v>
      </c>
      <c r="M1420" t="s">
        <v>806</v>
      </c>
      <c r="N1420" t="s">
        <v>257</v>
      </c>
      <c r="O1420" t="s">
        <v>258</v>
      </c>
      <c r="P1420" t="s">
        <v>259</v>
      </c>
      <c r="R1420" t="s">
        <v>260</v>
      </c>
      <c r="T1420">
        <v>28034</v>
      </c>
      <c r="U1420" t="s">
        <v>261</v>
      </c>
      <c r="V1420" t="s">
        <v>110</v>
      </c>
      <c r="W1420" t="s">
        <v>262</v>
      </c>
      <c r="X1420" t="s">
        <v>263</v>
      </c>
      <c r="Y1420" t="s">
        <v>119</v>
      </c>
    </row>
    <row r="1421" spans="1:25">
      <c r="A1421">
        <v>10407</v>
      </c>
      <c r="B1421">
        <v>66</v>
      </c>
      <c r="C1421">
        <v>66.989999999999995</v>
      </c>
      <c r="D1421">
        <v>4</v>
      </c>
      <c r="E1421">
        <v>4421.34</v>
      </c>
      <c r="F1421" t="s">
        <v>724</v>
      </c>
      <c r="G1421" t="s">
        <v>518</v>
      </c>
      <c r="H1421">
        <v>2</v>
      </c>
      <c r="I1421">
        <v>4</v>
      </c>
      <c r="J1421">
        <v>2005</v>
      </c>
      <c r="K1421" t="s">
        <v>265</v>
      </c>
      <c r="L1421">
        <v>71</v>
      </c>
      <c r="M1421" t="s">
        <v>806</v>
      </c>
      <c r="N1421" t="s">
        <v>514</v>
      </c>
      <c r="O1421">
        <v>4085553659</v>
      </c>
      <c r="P1421" t="s">
        <v>515</v>
      </c>
      <c r="R1421" t="s">
        <v>516</v>
      </c>
      <c r="S1421" t="s">
        <v>124</v>
      </c>
      <c r="T1421">
        <v>94217</v>
      </c>
      <c r="U1421" t="s">
        <v>100</v>
      </c>
      <c r="V1421" t="s">
        <v>101</v>
      </c>
      <c r="W1421" t="s">
        <v>175</v>
      </c>
      <c r="X1421" t="s">
        <v>517</v>
      </c>
      <c r="Y1421" t="s">
        <v>119</v>
      </c>
    </row>
    <row r="1422" spans="1:25">
      <c r="A1422">
        <v>10420</v>
      </c>
      <c r="B1422">
        <v>36</v>
      </c>
      <c r="C1422">
        <v>57.73</v>
      </c>
      <c r="D1422">
        <v>7</v>
      </c>
      <c r="E1422">
        <v>2078.2800000000002</v>
      </c>
      <c r="F1422" t="s">
        <v>754</v>
      </c>
      <c r="G1422" t="s">
        <v>400</v>
      </c>
      <c r="H1422">
        <v>2</v>
      </c>
      <c r="I1422">
        <v>5</v>
      </c>
      <c r="J1422">
        <v>2005</v>
      </c>
      <c r="K1422" t="s">
        <v>265</v>
      </c>
      <c r="L1422">
        <v>71</v>
      </c>
      <c r="M1422" t="s">
        <v>806</v>
      </c>
      <c r="N1422" t="s">
        <v>234</v>
      </c>
      <c r="O1422" t="s">
        <v>235</v>
      </c>
      <c r="P1422" t="s">
        <v>236</v>
      </c>
      <c r="Q1422" t="s">
        <v>237</v>
      </c>
      <c r="R1422" t="s">
        <v>238</v>
      </c>
      <c r="S1422" t="s">
        <v>239</v>
      </c>
      <c r="T1422">
        <v>2067</v>
      </c>
      <c r="U1422" t="s">
        <v>168</v>
      </c>
      <c r="V1422" t="s">
        <v>169</v>
      </c>
      <c r="W1422" t="s">
        <v>240</v>
      </c>
      <c r="X1422" t="s">
        <v>241</v>
      </c>
      <c r="Y1422" t="s">
        <v>104</v>
      </c>
    </row>
    <row r="1423" spans="1:25">
      <c r="A1423">
        <v>10110</v>
      </c>
      <c r="B1423">
        <v>36</v>
      </c>
      <c r="C1423">
        <v>85.25</v>
      </c>
      <c r="D1423">
        <v>13</v>
      </c>
      <c r="E1423">
        <v>3069</v>
      </c>
      <c r="F1423" t="s">
        <v>720</v>
      </c>
      <c r="G1423" t="s">
        <v>93</v>
      </c>
      <c r="H1423">
        <v>1</v>
      </c>
      <c r="I1423">
        <v>3</v>
      </c>
      <c r="J1423">
        <v>2003</v>
      </c>
      <c r="K1423" t="s">
        <v>265</v>
      </c>
      <c r="L1423">
        <v>73</v>
      </c>
      <c r="M1423" t="s">
        <v>807</v>
      </c>
      <c r="N1423" t="s">
        <v>624</v>
      </c>
      <c r="O1423" t="s">
        <v>625</v>
      </c>
      <c r="P1423" t="s">
        <v>626</v>
      </c>
      <c r="R1423" t="s">
        <v>627</v>
      </c>
      <c r="T1423" t="s">
        <v>628</v>
      </c>
      <c r="U1423" t="s">
        <v>252</v>
      </c>
      <c r="V1423" t="s">
        <v>110</v>
      </c>
      <c r="W1423" t="s">
        <v>629</v>
      </c>
      <c r="X1423" t="s">
        <v>167</v>
      </c>
      <c r="Y1423" t="s">
        <v>119</v>
      </c>
    </row>
    <row r="1424" spans="1:25">
      <c r="A1424">
        <v>10124</v>
      </c>
      <c r="B1424">
        <v>22</v>
      </c>
      <c r="C1424">
        <v>77.900000000000006</v>
      </c>
      <c r="D1424">
        <v>12</v>
      </c>
      <c r="E1424">
        <v>1713.8</v>
      </c>
      <c r="F1424" t="s">
        <v>700</v>
      </c>
      <c r="G1424" t="s">
        <v>93</v>
      </c>
      <c r="H1424">
        <v>2</v>
      </c>
      <c r="I1424">
        <v>5</v>
      </c>
      <c r="J1424">
        <v>2003</v>
      </c>
      <c r="K1424" t="s">
        <v>265</v>
      </c>
      <c r="L1424">
        <v>73</v>
      </c>
      <c r="M1424" t="s">
        <v>807</v>
      </c>
      <c r="N1424" t="s">
        <v>684</v>
      </c>
      <c r="O1424">
        <v>7025551838</v>
      </c>
      <c r="P1424" t="s">
        <v>685</v>
      </c>
      <c r="R1424" t="s">
        <v>686</v>
      </c>
      <c r="S1424" t="s">
        <v>687</v>
      </c>
      <c r="T1424">
        <v>83030</v>
      </c>
      <c r="U1424" t="s">
        <v>100</v>
      </c>
      <c r="V1424" t="s">
        <v>101</v>
      </c>
      <c r="W1424" t="s">
        <v>188</v>
      </c>
      <c r="X1424" t="s">
        <v>517</v>
      </c>
      <c r="Y1424" t="s">
        <v>104</v>
      </c>
    </row>
    <row r="1425" spans="1:25">
      <c r="A1425">
        <v>10148</v>
      </c>
      <c r="B1425">
        <v>25</v>
      </c>
      <c r="C1425">
        <v>60.26</v>
      </c>
      <c r="D1425">
        <v>6</v>
      </c>
      <c r="E1425">
        <v>1506.5</v>
      </c>
      <c r="F1425" s="4">
        <v>37934</v>
      </c>
      <c r="G1425" t="s">
        <v>93</v>
      </c>
      <c r="H1425">
        <v>3</v>
      </c>
      <c r="I1425">
        <v>9</v>
      </c>
      <c r="J1425">
        <v>2003</v>
      </c>
      <c r="K1425" t="s">
        <v>265</v>
      </c>
      <c r="L1425">
        <v>73</v>
      </c>
      <c r="M1425" t="s">
        <v>807</v>
      </c>
      <c r="N1425" t="s">
        <v>384</v>
      </c>
      <c r="O1425" t="s">
        <v>385</v>
      </c>
      <c r="P1425" t="s">
        <v>386</v>
      </c>
      <c r="Q1425" t="s">
        <v>387</v>
      </c>
      <c r="R1425" t="s">
        <v>388</v>
      </c>
      <c r="S1425" t="s">
        <v>239</v>
      </c>
      <c r="T1425">
        <v>2060</v>
      </c>
      <c r="U1425" t="s">
        <v>168</v>
      </c>
      <c r="V1425" t="s">
        <v>169</v>
      </c>
      <c r="W1425" t="s">
        <v>389</v>
      </c>
      <c r="X1425" t="s">
        <v>390</v>
      </c>
      <c r="Y1425" t="s">
        <v>104</v>
      </c>
    </row>
    <row r="1426" spans="1:25">
      <c r="A1426">
        <v>10161</v>
      </c>
      <c r="B1426">
        <v>37</v>
      </c>
      <c r="C1426">
        <v>72.760000000000005</v>
      </c>
      <c r="D1426">
        <v>5</v>
      </c>
      <c r="E1426">
        <v>2692.12</v>
      </c>
      <c r="F1426" t="s">
        <v>682</v>
      </c>
      <c r="G1426" t="s">
        <v>93</v>
      </c>
      <c r="H1426">
        <v>4</v>
      </c>
      <c r="I1426">
        <v>10</v>
      </c>
      <c r="J1426">
        <v>2003</v>
      </c>
      <c r="K1426" t="s">
        <v>265</v>
      </c>
      <c r="L1426">
        <v>73</v>
      </c>
      <c r="M1426" t="s">
        <v>807</v>
      </c>
      <c r="N1426" t="s">
        <v>630</v>
      </c>
      <c r="O1426" t="s">
        <v>631</v>
      </c>
      <c r="P1426" t="s">
        <v>632</v>
      </c>
      <c r="R1426" t="s">
        <v>633</v>
      </c>
      <c r="T1426">
        <v>8200</v>
      </c>
      <c r="U1426" t="s">
        <v>429</v>
      </c>
      <c r="V1426" t="s">
        <v>110</v>
      </c>
      <c r="W1426" t="s">
        <v>634</v>
      </c>
      <c r="X1426" t="s">
        <v>635</v>
      </c>
      <c r="Y1426" t="s">
        <v>104</v>
      </c>
    </row>
    <row r="1427" spans="1:25">
      <c r="A1427">
        <v>10172</v>
      </c>
      <c r="B1427">
        <v>32</v>
      </c>
      <c r="C1427">
        <v>75.69</v>
      </c>
      <c r="D1427">
        <v>3</v>
      </c>
      <c r="E1427">
        <v>2422.08</v>
      </c>
      <c r="F1427" s="4">
        <v>37752</v>
      </c>
      <c r="G1427" t="s">
        <v>93</v>
      </c>
      <c r="H1427">
        <v>4</v>
      </c>
      <c r="I1427">
        <v>11</v>
      </c>
      <c r="J1427">
        <v>2003</v>
      </c>
      <c r="K1427" t="s">
        <v>265</v>
      </c>
      <c r="L1427">
        <v>73</v>
      </c>
      <c r="M1427" t="s">
        <v>807</v>
      </c>
      <c r="N1427" t="s">
        <v>184</v>
      </c>
      <c r="O1427">
        <v>2035552570</v>
      </c>
      <c r="P1427" t="s">
        <v>185</v>
      </c>
      <c r="R1427" t="s">
        <v>186</v>
      </c>
      <c r="S1427" t="s">
        <v>187</v>
      </c>
      <c r="T1427">
        <v>97562</v>
      </c>
      <c r="U1427" t="s">
        <v>100</v>
      </c>
      <c r="V1427" t="s">
        <v>101</v>
      </c>
      <c r="W1427" t="s">
        <v>188</v>
      </c>
      <c r="X1427" t="s">
        <v>126</v>
      </c>
      <c r="Y1427" t="s">
        <v>104</v>
      </c>
    </row>
    <row r="1428" spans="1:25">
      <c r="A1428">
        <v>10182</v>
      </c>
      <c r="B1428">
        <v>47</v>
      </c>
      <c r="C1428">
        <v>74.22</v>
      </c>
      <c r="D1428">
        <v>16</v>
      </c>
      <c r="E1428">
        <v>3488.34</v>
      </c>
      <c r="F1428" s="4">
        <v>37966</v>
      </c>
      <c r="G1428" t="s">
        <v>93</v>
      </c>
      <c r="H1428">
        <v>4</v>
      </c>
      <c r="I1428">
        <v>11</v>
      </c>
      <c r="J1428">
        <v>2003</v>
      </c>
      <c r="K1428" t="s">
        <v>265</v>
      </c>
      <c r="L1428">
        <v>73</v>
      </c>
      <c r="M1428" t="s">
        <v>807</v>
      </c>
      <c r="N1428" t="s">
        <v>367</v>
      </c>
      <c r="O1428">
        <v>4155551450</v>
      </c>
      <c r="P1428" t="s">
        <v>368</v>
      </c>
      <c r="R1428" t="s">
        <v>369</v>
      </c>
      <c r="S1428" t="s">
        <v>124</v>
      </c>
      <c r="T1428">
        <v>97562</v>
      </c>
      <c r="U1428" t="s">
        <v>100</v>
      </c>
      <c r="V1428" t="s">
        <v>101</v>
      </c>
      <c r="W1428" t="s">
        <v>370</v>
      </c>
      <c r="X1428" t="s">
        <v>371</v>
      </c>
      <c r="Y1428" t="s">
        <v>119</v>
      </c>
    </row>
    <row r="1429" spans="1:25">
      <c r="A1429">
        <v>10192</v>
      </c>
      <c r="B1429">
        <v>37</v>
      </c>
      <c r="C1429">
        <v>69.819999999999993</v>
      </c>
      <c r="D1429">
        <v>4</v>
      </c>
      <c r="E1429">
        <v>2583.34</v>
      </c>
      <c r="F1429" t="s">
        <v>561</v>
      </c>
      <c r="G1429" t="s">
        <v>93</v>
      </c>
      <c r="H1429">
        <v>4</v>
      </c>
      <c r="I1429">
        <v>11</v>
      </c>
      <c r="J1429">
        <v>2003</v>
      </c>
      <c r="K1429" t="s">
        <v>265</v>
      </c>
      <c r="L1429">
        <v>73</v>
      </c>
      <c r="M1429" t="s">
        <v>807</v>
      </c>
      <c r="N1429" t="s">
        <v>372</v>
      </c>
      <c r="O1429">
        <v>6035558647</v>
      </c>
      <c r="P1429" t="s">
        <v>373</v>
      </c>
      <c r="R1429" t="s">
        <v>374</v>
      </c>
      <c r="S1429" t="s">
        <v>375</v>
      </c>
      <c r="T1429">
        <v>62005</v>
      </c>
      <c r="U1429" t="s">
        <v>100</v>
      </c>
      <c r="V1429" t="s">
        <v>101</v>
      </c>
      <c r="W1429" t="s">
        <v>125</v>
      </c>
      <c r="X1429" t="s">
        <v>371</v>
      </c>
      <c r="Y1429" t="s">
        <v>104</v>
      </c>
    </row>
    <row r="1430" spans="1:25">
      <c r="A1430">
        <v>10204</v>
      </c>
      <c r="B1430">
        <v>20</v>
      </c>
      <c r="C1430">
        <v>62.47</v>
      </c>
      <c r="D1430">
        <v>10</v>
      </c>
      <c r="E1430">
        <v>1249.4000000000001</v>
      </c>
      <c r="F1430" s="4">
        <v>37664</v>
      </c>
      <c r="G1430" t="s">
        <v>93</v>
      </c>
      <c r="H1430">
        <v>4</v>
      </c>
      <c r="I1430">
        <v>12</v>
      </c>
      <c r="J1430">
        <v>2003</v>
      </c>
      <c r="K1430" t="s">
        <v>265</v>
      </c>
      <c r="L1430">
        <v>73</v>
      </c>
      <c r="M1430" t="s">
        <v>807</v>
      </c>
      <c r="N1430" t="s">
        <v>603</v>
      </c>
      <c r="O1430">
        <v>2125557413</v>
      </c>
      <c r="P1430" t="s">
        <v>604</v>
      </c>
      <c r="Q1430" t="s">
        <v>605</v>
      </c>
      <c r="R1430" t="s">
        <v>98</v>
      </c>
      <c r="S1430" t="s">
        <v>99</v>
      </c>
      <c r="T1430">
        <v>10022</v>
      </c>
      <c r="U1430" t="s">
        <v>100</v>
      </c>
      <c r="V1430" t="s">
        <v>101</v>
      </c>
      <c r="W1430" t="s">
        <v>125</v>
      </c>
      <c r="X1430" t="s">
        <v>606</v>
      </c>
      <c r="Y1430" t="s">
        <v>104</v>
      </c>
    </row>
    <row r="1431" spans="1:25">
      <c r="A1431">
        <v>10212</v>
      </c>
      <c r="B1431">
        <v>41</v>
      </c>
      <c r="C1431">
        <v>82.31</v>
      </c>
      <c r="D1431">
        <v>3</v>
      </c>
      <c r="E1431">
        <v>3374.71</v>
      </c>
      <c r="F1431" t="s">
        <v>653</v>
      </c>
      <c r="G1431" t="s">
        <v>93</v>
      </c>
      <c r="H1431">
        <v>1</v>
      </c>
      <c r="I1431">
        <v>1</v>
      </c>
      <c r="J1431">
        <v>2004</v>
      </c>
      <c r="K1431" t="s">
        <v>265</v>
      </c>
      <c r="L1431">
        <v>73</v>
      </c>
      <c r="M1431" t="s">
        <v>807</v>
      </c>
      <c r="N1431" t="s">
        <v>257</v>
      </c>
      <c r="O1431" t="s">
        <v>258</v>
      </c>
      <c r="P1431" t="s">
        <v>259</v>
      </c>
      <c r="R1431" t="s">
        <v>260</v>
      </c>
      <c r="T1431">
        <v>28034</v>
      </c>
      <c r="U1431" t="s">
        <v>261</v>
      </c>
      <c r="V1431" t="s">
        <v>110</v>
      </c>
      <c r="W1431" t="s">
        <v>262</v>
      </c>
      <c r="X1431" t="s">
        <v>263</v>
      </c>
      <c r="Y1431" t="s">
        <v>119</v>
      </c>
    </row>
    <row r="1432" spans="1:25">
      <c r="A1432">
        <v>10226</v>
      </c>
      <c r="B1432">
        <v>21</v>
      </c>
      <c r="C1432">
        <v>60.26</v>
      </c>
      <c r="D1432">
        <v>1</v>
      </c>
      <c r="E1432">
        <v>1265.46</v>
      </c>
      <c r="F1432" t="s">
        <v>723</v>
      </c>
      <c r="G1432" t="s">
        <v>93</v>
      </c>
      <c r="H1432">
        <v>1</v>
      </c>
      <c r="I1432">
        <v>2</v>
      </c>
      <c r="J1432">
        <v>2004</v>
      </c>
      <c r="K1432" t="s">
        <v>265</v>
      </c>
      <c r="L1432">
        <v>73</v>
      </c>
      <c r="M1432" t="s">
        <v>807</v>
      </c>
      <c r="N1432" t="s">
        <v>470</v>
      </c>
      <c r="O1432">
        <v>7605558146</v>
      </c>
      <c r="P1432" t="s">
        <v>471</v>
      </c>
      <c r="R1432" t="s">
        <v>472</v>
      </c>
      <c r="S1432" t="s">
        <v>124</v>
      </c>
      <c r="T1432">
        <v>91217</v>
      </c>
      <c r="U1432" t="s">
        <v>100</v>
      </c>
      <c r="V1432" t="s">
        <v>101</v>
      </c>
      <c r="W1432" t="s">
        <v>6</v>
      </c>
      <c r="X1432" t="s">
        <v>371</v>
      </c>
      <c r="Y1432" t="s">
        <v>104</v>
      </c>
    </row>
    <row r="1433" spans="1:25">
      <c r="A1433">
        <v>10241</v>
      </c>
      <c r="B1433">
        <v>22</v>
      </c>
      <c r="C1433">
        <v>76.430000000000007</v>
      </c>
      <c r="D1433">
        <v>8</v>
      </c>
      <c r="E1433">
        <v>1681.46</v>
      </c>
      <c r="F1433" t="s">
        <v>683</v>
      </c>
      <c r="G1433" t="s">
        <v>93</v>
      </c>
      <c r="H1433">
        <v>2</v>
      </c>
      <c r="I1433">
        <v>4</v>
      </c>
      <c r="J1433">
        <v>2004</v>
      </c>
      <c r="K1433" t="s">
        <v>265</v>
      </c>
      <c r="L1433">
        <v>73</v>
      </c>
      <c r="M1433" t="s">
        <v>807</v>
      </c>
      <c r="N1433" t="s">
        <v>674</v>
      </c>
      <c r="O1433" t="s">
        <v>675</v>
      </c>
      <c r="P1433" t="s">
        <v>676</v>
      </c>
      <c r="R1433" t="s">
        <v>677</v>
      </c>
      <c r="T1433">
        <v>67000</v>
      </c>
      <c r="U1433" t="s">
        <v>109</v>
      </c>
      <c r="V1433" t="s">
        <v>110</v>
      </c>
      <c r="W1433" t="s">
        <v>678</v>
      </c>
      <c r="X1433" t="s">
        <v>679</v>
      </c>
      <c r="Y1433" t="s">
        <v>104</v>
      </c>
    </row>
    <row r="1434" spans="1:25">
      <c r="A1434">
        <v>10267</v>
      </c>
      <c r="B1434">
        <v>40</v>
      </c>
      <c r="C1434">
        <v>80.099999999999994</v>
      </c>
      <c r="D1434">
        <v>5</v>
      </c>
      <c r="E1434">
        <v>3204</v>
      </c>
      <c r="F1434" s="4">
        <v>38175</v>
      </c>
      <c r="G1434" t="s">
        <v>93</v>
      </c>
      <c r="H1434">
        <v>3</v>
      </c>
      <c r="I1434">
        <v>7</v>
      </c>
      <c r="J1434">
        <v>2004</v>
      </c>
      <c r="K1434" t="s">
        <v>265</v>
      </c>
      <c r="L1434">
        <v>73</v>
      </c>
      <c r="M1434" t="s">
        <v>807</v>
      </c>
      <c r="N1434" t="s">
        <v>603</v>
      </c>
      <c r="O1434">
        <v>2125557413</v>
      </c>
      <c r="P1434" t="s">
        <v>604</v>
      </c>
      <c r="Q1434" t="s">
        <v>605</v>
      </c>
      <c r="R1434" t="s">
        <v>98</v>
      </c>
      <c r="S1434" t="s">
        <v>99</v>
      </c>
      <c r="T1434">
        <v>10022</v>
      </c>
      <c r="U1434" t="s">
        <v>100</v>
      </c>
      <c r="V1434" t="s">
        <v>101</v>
      </c>
      <c r="W1434" t="s">
        <v>125</v>
      </c>
      <c r="X1434" t="s">
        <v>606</v>
      </c>
      <c r="Y1434" t="s">
        <v>119</v>
      </c>
    </row>
    <row r="1435" spans="1:25">
      <c r="A1435">
        <v>10279</v>
      </c>
      <c r="B1435">
        <v>32</v>
      </c>
      <c r="C1435">
        <v>74.959999999999994</v>
      </c>
      <c r="D1435">
        <v>5</v>
      </c>
      <c r="E1435">
        <v>2398.7199999999998</v>
      </c>
      <c r="F1435" s="4">
        <v>38238</v>
      </c>
      <c r="G1435" t="s">
        <v>93</v>
      </c>
      <c r="H1435">
        <v>3</v>
      </c>
      <c r="I1435">
        <v>8</v>
      </c>
      <c r="J1435">
        <v>2004</v>
      </c>
      <c r="K1435" t="s">
        <v>265</v>
      </c>
      <c r="L1435">
        <v>73</v>
      </c>
      <c r="M1435" t="s">
        <v>807</v>
      </c>
      <c r="N1435" t="s">
        <v>257</v>
      </c>
      <c r="O1435" t="s">
        <v>258</v>
      </c>
      <c r="P1435" t="s">
        <v>259</v>
      </c>
      <c r="R1435" t="s">
        <v>260</v>
      </c>
      <c r="T1435">
        <v>28034</v>
      </c>
      <c r="U1435" t="s">
        <v>261</v>
      </c>
      <c r="V1435" t="s">
        <v>110</v>
      </c>
      <c r="W1435" t="s">
        <v>262</v>
      </c>
      <c r="X1435" t="s">
        <v>263</v>
      </c>
      <c r="Y1435" t="s">
        <v>104</v>
      </c>
    </row>
    <row r="1436" spans="1:25">
      <c r="A1436">
        <v>10288</v>
      </c>
      <c r="B1436">
        <v>36</v>
      </c>
      <c r="C1436">
        <v>66.14</v>
      </c>
      <c r="D1436">
        <v>11</v>
      </c>
      <c r="E1436">
        <v>2381.04</v>
      </c>
      <c r="F1436" s="4">
        <v>37995</v>
      </c>
      <c r="G1436" t="s">
        <v>93</v>
      </c>
      <c r="H1436">
        <v>3</v>
      </c>
      <c r="I1436">
        <v>9</v>
      </c>
      <c r="J1436">
        <v>2004</v>
      </c>
      <c r="K1436" t="s">
        <v>265</v>
      </c>
      <c r="L1436">
        <v>73</v>
      </c>
      <c r="M1436" t="s">
        <v>807</v>
      </c>
      <c r="N1436" t="s">
        <v>536</v>
      </c>
      <c r="O1436" t="s">
        <v>537</v>
      </c>
      <c r="P1436" t="s">
        <v>538</v>
      </c>
      <c r="Q1436" t="s">
        <v>539</v>
      </c>
      <c r="R1436" t="s">
        <v>287</v>
      </c>
      <c r="T1436">
        <v>69045</v>
      </c>
      <c r="U1436" t="s">
        <v>287</v>
      </c>
      <c r="V1436" t="s">
        <v>169</v>
      </c>
      <c r="W1436" t="s">
        <v>540</v>
      </c>
      <c r="X1436" t="s">
        <v>541</v>
      </c>
      <c r="Y1436" t="s">
        <v>104</v>
      </c>
    </row>
    <row r="1437" spans="1:25">
      <c r="A1437">
        <v>10301</v>
      </c>
      <c r="B1437">
        <v>27</v>
      </c>
      <c r="C1437">
        <v>72.02</v>
      </c>
      <c r="D1437">
        <v>1</v>
      </c>
      <c r="E1437">
        <v>1944.54</v>
      </c>
      <c r="F1437" s="4">
        <v>37751</v>
      </c>
      <c r="G1437" t="s">
        <v>93</v>
      </c>
      <c r="H1437">
        <v>4</v>
      </c>
      <c r="I1437">
        <v>10</v>
      </c>
      <c r="J1437">
        <v>2003</v>
      </c>
      <c r="K1437" t="s">
        <v>265</v>
      </c>
      <c r="L1437">
        <v>73</v>
      </c>
      <c r="M1437" t="s">
        <v>807</v>
      </c>
      <c r="N1437" t="s">
        <v>688</v>
      </c>
      <c r="O1437" t="s">
        <v>689</v>
      </c>
      <c r="P1437" t="s">
        <v>690</v>
      </c>
      <c r="R1437" t="s">
        <v>691</v>
      </c>
      <c r="T1437" t="s">
        <v>692</v>
      </c>
      <c r="U1437" t="s">
        <v>149</v>
      </c>
      <c r="V1437" t="s">
        <v>110</v>
      </c>
      <c r="W1437" t="s">
        <v>693</v>
      </c>
      <c r="X1437" t="s">
        <v>694</v>
      </c>
      <c r="Y1437" t="s">
        <v>104</v>
      </c>
    </row>
    <row r="1438" spans="1:25">
      <c r="A1438">
        <v>10311</v>
      </c>
      <c r="B1438">
        <v>26</v>
      </c>
      <c r="C1438">
        <v>87.45</v>
      </c>
      <c r="D1438">
        <v>6</v>
      </c>
      <c r="E1438">
        <v>2273.6999999999998</v>
      </c>
      <c r="F1438" t="s">
        <v>592</v>
      </c>
      <c r="G1438" t="s">
        <v>93</v>
      </c>
      <c r="H1438">
        <v>4</v>
      </c>
      <c r="I1438">
        <v>10</v>
      </c>
      <c r="J1438">
        <v>2004</v>
      </c>
      <c r="K1438" t="s">
        <v>265</v>
      </c>
      <c r="L1438">
        <v>73</v>
      </c>
      <c r="M1438" t="s">
        <v>807</v>
      </c>
      <c r="N1438" t="s">
        <v>257</v>
      </c>
      <c r="O1438" t="s">
        <v>258</v>
      </c>
      <c r="P1438" t="s">
        <v>259</v>
      </c>
      <c r="R1438" t="s">
        <v>260</v>
      </c>
      <c r="T1438">
        <v>28034</v>
      </c>
      <c r="U1438" t="s">
        <v>261</v>
      </c>
      <c r="V1438" t="s">
        <v>110</v>
      </c>
      <c r="W1438" t="s">
        <v>262</v>
      </c>
      <c r="X1438" t="s">
        <v>263</v>
      </c>
      <c r="Y1438" t="s">
        <v>104</v>
      </c>
    </row>
    <row r="1439" spans="1:25">
      <c r="A1439">
        <v>10321</v>
      </c>
      <c r="B1439">
        <v>30</v>
      </c>
      <c r="C1439">
        <v>70.55</v>
      </c>
      <c r="D1439">
        <v>3</v>
      </c>
      <c r="E1439">
        <v>2116.5</v>
      </c>
      <c r="F1439" s="4">
        <v>38088</v>
      </c>
      <c r="G1439" t="s">
        <v>93</v>
      </c>
      <c r="H1439">
        <v>4</v>
      </c>
      <c r="I1439">
        <v>11</v>
      </c>
      <c r="J1439">
        <v>2004</v>
      </c>
      <c r="K1439" t="s">
        <v>265</v>
      </c>
      <c r="L1439">
        <v>73</v>
      </c>
      <c r="M1439" t="s">
        <v>807</v>
      </c>
      <c r="N1439" t="s">
        <v>242</v>
      </c>
      <c r="O1439">
        <v>5085552555</v>
      </c>
      <c r="P1439" t="s">
        <v>243</v>
      </c>
      <c r="R1439" t="s">
        <v>244</v>
      </c>
      <c r="S1439" t="s">
        <v>200</v>
      </c>
      <c r="T1439">
        <v>50553</v>
      </c>
      <c r="U1439" t="s">
        <v>100</v>
      </c>
      <c r="V1439" t="s">
        <v>101</v>
      </c>
      <c r="W1439" t="s">
        <v>245</v>
      </c>
      <c r="X1439" t="s">
        <v>246</v>
      </c>
      <c r="Y1439" t="s">
        <v>104</v>
      </c>
    </row>
    <row r="1440" spans="1:25">
      <c r="A1440">
        <v>10332</v>
      </c>
      <c r="B1440">
        <v>23</v>
      </c>
      <c r="C1440">
        <v>56.84</v>
      </c>
      <c r="D1440">
        <v>4</v>
      </c>
      <c r="E1440">
        <v>1307.32</v>
      </c>
      <c r="F1440" t="s">
        <v>695</v>
      </c>
      <c r="G1440" t="s">
        <v>93</v>
      </c>
      <c r="H1440">
        <v>4</v>
      </c>
      <c r="I1440">
        <v>11</v>
      </c>
      <c r="J1440">
        <v>2004</v>
      </c>
      <c r="K1440" t="s">
        <v>265</v>
      </c>
      <c r="L1440">
        <v>73</v>
      </c>
      <c r="M1440" t="s">
        <v>807</v>
      </c>
      <c r="N1440" t="s">
        <v>624</v>
      </c>
      <c r="O1440" t="s">
        <v>625</v>
      </c>
      <c r="P1440" t="s">
        <v>626</v>
      </c>
      <c r="R1440" t="s">
        <v>627</v>
      </c>
      <c r="T1440" t="s">
        <v>628</v>
      </c>
      <c r="U1440" t="s">
        <v>252</v>
      </c>
      <c r="V1440" t="s">
        <v>110</v>
      </c>
      <c r="W1440" t="s">
        <v>629</v>
      </c>
      <c r="X1440" t="s">
        <v>167</v>
      </c>
      <c r="Y1440" t="s">
        <v>104</v>
      </c>
    </row>
    <row r="1441" spans="1:25">
      <c r="A1441">
        <v>10344</v>
      </c>
      <c r="B1441">
        <v>29</v>
      </c>
      <c r="C1441">
        <v>59.53</v>
      </c>
      <c r="D1441">
        <v>7</v>
      </c>
      <c r="E1441">
        <v>1726.37</v>
      </c>
      <c r="F1441" t="s">
        <v>753</v>
      </c>
      <c r="G1441" t="s">
        <v>93</v>
      </c>
      <c r="H1441">
        <v>4</v>
      </c>
      <c r="I1441">
        <v>11</v>
      </c>
      <c r="J1441">
        <v>2004</v>
      </c>
      <c r="K1441" t="s">
        <v>265</v>
      </c>
      <c r="L1441">
        <v>73</v>
      </c>
      <c r="M1441" t="s">
        <v>807</v>
      </c>
      <c r="N1441" t="s">
        <v>555</v>
      </c>
      <c r="O1441" t="s">
        <v>556</v>
      </c>
      <c r="P1441" t="s">
        <v>557</v>
      </c>
      <c r="R1441" t="s">
        <v>558</v>
      </c>
      <c r="T1441">
        <v>13008</v>
      </c>
      <c r="U1441" t="s">
        <v>109</v>
      </c>
      <c r="V1441" t="s">
        <v>110</v>
      </c>
      <c r="W1441" t="s">
        <v>559</v>
      </c>
      <c r="X1441" t="s">
        <v>560</v>
      </c>
      <c r="Y1441" t="s">
        <v>104</v>
      </c>
    </row>
    <row r="1442" spans="1:25">
      <c r="A1442">
        <v>10367</v>
      </c>
      <c r="B1442">
        <v>21</v>
      </c>
      <c r="C1442">
        <v>60.37</v>
      </c>
      <c r="D1442">
        <v>10</v>
      </c>
      <c r="E1442">
        <v>1267.77</v>
      </c>
      <c r="F1442" s="4">
        <v>38687</v>
      </c>
      <c r="G1442" t="s">
        <v>526</v>
      </c>
      <c r="H1442">
        <v>1</v>
      </c>
      <c r="I1442">
        <v>1</v>
      </c>
      <c r="J1442">
        <v>2005</v>
      </c>
      <c r="K1442" t="s">
        <v>265</v>
      </c>
      <c r="L1442">
        <v>73</v>
      </c>
      <c r="M1442" t="s">
        <v>807</v>
      </c>
      <c r="N1442" t="s">
        <v>121</v>
      </c>
      <c r="O1442">
        <v>6265557265</v>
      </c>
      <c r="P1442" t="s">
        <v>122</v>
      </c>
      <c r="R1442" t="s">
        <v>123</v>
      </c>
      <c r="S1442" t="s">
        <v>124</v>
      </c>
      <c r="T1442">
        <v>90003</v>
      </c>
      <c r="U1442" t="s">
        <v>100</v>
      </c>
      <c r="V1442" t="s">
        <v>101</v>
      </c>
      <c r="W1442" t="s">
        <v>125</v>
      </c>
      <c r="X1442" t="s">
        <v>126</v>
      </c>
      <c r="Y1442" t="s">
        <v>104</v>
      </c>
    </row>
    <row r="1443" spans="1:25">
      <c r="A1443">
        <v>10380</v>
      </c>
      <c r="B1443">
        <v>34</v>
      </c>
      <c r="C1443">
        <v>100</v>
      </c>
      <c r="D1443">
        <v>3</v>
      </c>
      <c r="E1443">
        <v>3441.82</v>
      </c>
      <c r="F1443" t="s">
        <v>717</v>
      </c>
      <c r="G1443" t="s">
        <v>93</v>
      </c>
      <c r="H1443">
        <v>1</v>
      </c>
      <c r="I1443">
        <v>2</v>
      </c>
      <c r="J1443">
        <v>2005</v>
      </c>
      <c r="K1443" t="s">
        <v>265</v>
      </c>
      <c r="L1443">
        <v>73</v>
      </c>
      <c r="M1443" t="s">
        <v>807</v>
      </c>
      <c r="N1443" t="s">
        <v>257</v>
      </c>
      <c r="O1443" t="s">
        <v>258</v>
      </c>
      <c r="P1443" t="s">
        <v>259</v>
      </c>
      <c r="R1443" t="s">
        <v>260</v>
      </c>
      <c r="T1443">
        <v>28034</v>
      </c>
      <c r="U1443" t="s">
        <v>261</v>
      </c>
      <c r="V1443" t="s">
        <v>110</v>
      </c>
      <c r="W1443" t="s">
        <v>262</v>
      </c>
      <c r="X1443" t="s">
        <v>263</v>
      </c>
      <c r="Y1443" t="s">
        <v>119</v>
      </c>
    </row>
    <row r="1444" spans="1:25">
      <c r="A1444">
        <v>10407</v>
      </c>
      <c r="B1444">
        <v>26</v>
      </c>
      <c r="C1444">
        <v>76.430000000000007</v>
      </c>
      <c r="D1444">
        <v>8</v>
      </c>
      <c r="E1444">
        <v>1987.18</v>
      </c>
      <c r="F1444" t="s">
        <v>724</v>
      </c>
      <c r="G1444" t="s">
        <v>518</v>
      </c>
      <c r="H1444">
        <v>2</v>
      </c>
      <c r="I1444">
        <v>4</v>
      </c>
      <c r="J1444">
        <v>2005</v>
      </c>
      <c r="K1444" t="s">
        <v>265</v>
      </c>
      <c r="L1444">
        <v>73</v>
      </c>
      <c r="M1444" t="s">
        <v>807</v>
      </c>
      <c r="N1444" t="s">
        <v>514</v>
      </c>
      <c r="O1444">
        <v>4085553659</v>
      </c>
      <c r="P1444" t="s">
        <v>515</v>
      </c>
      <c r="R1444" t="s">
        <v>516</v>
      </c>
      <c r="S1444" t="s">
        <v>124</v>
      </c>
      <c r="T1444">
        <v>94217</v>
      </c>
      <c r="U1444" t="s">
        <v>100</v>
      </c>
      <c r="V1444" t="s">
        <v>101</v>
      </c>
      <c r="W1444" t="s">
        <v>175</v>
      </c>
      <c r="X1444" t="s">
        <v>517</v>
      </c>
      <c r="Y1444" t="s">
        <v>104</v>
      </c>
    </row>
    <row r="1445" spans="1:25">
      <c r="A1445">
        <v>10420</v>
      </c>
      <c r="B1445">
        <v>60</v>
      </c>
      <c r="C1445">
        <v>64.67</v>
      </c>
      <c r="D1445">
        <v>11</v>
      </c>
      <c r="E1445">
        <v>3880.2</v>
      </c>
      <c r="F1445" t="s">
        <v>754</v>
      </c>
      <c r="G1445" t="s">
        <v>400</v>
      </c>
      <c r="H1445">
        <v>2</v>
      </c>
      <c r="I1445">
        <v>5</v>
      </c>
      <c r="J1445">
        <v>2005</v>
      </c>
      <c r="K1445" t="s">
        <v>265</v>
      </c>
      <c r="L1445">
        <v>73</v>
      </c>
      <c r="M1445" t="s">
        <v>807</v>
      </c>
      <c r="N1445" t="s">
        <v>234</v>
      </c>
      <c r="O1445" t="s">
        <v>235</v>
      </c>
      <c r="P1445" t="s">
        <v>236</v>
      </c>
      <c r="Q1445" t="s">
        <v>237</v>
      </c>
      <c r="R1445" t="s">
        <v>238</v>
      </c>
      <c r="S1445" t="s">
        <v>239</v>
      </c>
      <c r="T1445">
        <v>2067</v>
      </c>
      <c r="U1445" t="s">
        <v>168</v>
      </c>
      <c r="V1445" t="s">
        <v>169</v>
      </c>
      <c r="W1445" t="s">
        <v>240</v>
      </c>
      <c r="X1445" t="s">
        <v>241</v>
      </c>
      <c r="Y1445" t="s">
        <v>119</v>
      </c>
    </row>
    <row r="1446" spans="1:25">
      <c r="A1446">
        <v>10104</v>
      </c>
      <c r="B1446">
        <v>35</v>
      </c>
      <c r="C1446">
        <v>55.49</v>
      </c>
      <c r="D1446">
        <v>6</v>
      </c>
      <c r="E1446">
        <v>1942.15</v>
      </c>
      <c r="F1446" t="s">
        <v>648</v>
      </c>
      <c r="G1446" t="s">
        <v>93</v>
      </c>
      <c r="H1446">
        <v>1</v>
      </c>
      <c r="I1446">
        <v>1</v>
      </c>
      <c r="J1446">
        <v>2003</v>
      </c>
      <c r="K1446" t="s">
        <v>265</v>
      </c>
      <c r="L1446">
        <v>57</v>
      </c>
      <c r="M1446" t="s">
        <v>808</v>
      </c>
      <c r="N1446" t="s">
        <v>257</v>
      </c>
      <c r="O1446" t="s">
        <v>258</v>
      </c>
      <c r="P1446" t="s">
        <v>259</v>
      </c>
      <c r="R1446" t="s">
        <v>260</v>
      </c>
      <c r="T1446">
        <v>28034</v>
      </c>
      <c r="U1446" t="s">
        <v>261</v>
      </c>
      <c r="V1446" t="s">
        <v>110</v>
      </c>
      <c r="W1446" t="s">
        <v>262</v>
      </c>
      <c r="X1446" t="s">
        <v>263</v>
      </c>
      <c r="Y1446" t="s">
        <v>104</v>
      </c>
    </row>
    <row r="1447" spans="1:25">
      <c r="A1447">
        <v>10115</v>
      </c>
      <c r="B1447">
        <v>47</v>
      </c>
      <c r="C1447">
        <v>69.36</v>
      </c>
      <c r="D1447">
        <v>2</v>
      </c>
      <c r="E1447">
        <v>3259.92</v>
      </c>
      <c r="F1447" s="4">
        <v>37715</v>
      </c>
      <c r="G1447" t="s">
        <v>93</v>
      </c>
      <c r="H1447">
        <v>2</v>
      </c>
      <c r="I1447">
        <v>4</v>
      </c>
      <c r="J1447">
        <v>2003</v>
      </c>
      <c r="K1447" t="s">
        <v>265</v>
      </c>
      <c r="L1447">
        <v>57</v>
      </c>
      <c r="M1447" t="s">
        <v>808</v>
      </c>
      <c r="N1447" t="s">
        <v>292</v>
      </c>
      <c r="O1447">
        <v>2125558493</v>
      </c>
      <c r="P1447" t="s">
        <v>293</v>
      </c>
      <c r="Q1447" t="s">
        <v>294</v>
      </c>
      <c r="R1447" t="s">
        <v>98</v>
      </c>
      <c r="S1447" t="s">
        <v>99</v>
      </c>
      <c r="T1447">
        <v>10022</v>
      </c>
      <c r="U1447" t="s">
        <v>100</v>
      </c>
      <c r="V1447" t="s">
        <v>101</v>
      </c>
      <c r="W1447" t="s">
        <v>201</v>
      </c>
      <c r="X1447" t="s">
        <v>295</v>
      </c>
      <c r="Y1447" t="s">
        <v>119</v>
      </c>
    </row>
    <row r="1448" spans="1:25">
      <c r="A1448">
        <v>10127</v>
      </c>
      <c r="B1448">
        <v>20</v>
      </c>
      <c r="C1448">
        <v>60.69</v>
      </c>
      <c r="D1448">
        <v>8</v>
      </c>
      <c r="E1448">
        <v>1213.8</v>
      </c>
      <c r="F1448" s="4">
        <v>37686</v>
      </c>
      <c r="G1448" t="s">
        <v>93</v>
      </c>
      <c r="H1448">
        <v>2</v>
      </c>
      <c r="I1448">
        <v>6</v>
      </c>
      <c r="J1448">
        <v>2003</v>
      </c>
      <c r="K1448" t="s">
        <v>265</v>
      </c>
      <c r="L1448">
        <v>57</v>
      </c>
      <c r="M1448" t="s">
        <v>808</v>
      </c>
      <c r="N1448" t="s">
        <v>603</v>
      </c>
      <c r="O1448">
        <v>2125557413</v>
      </c>
      <c r="P1448" t="s">
        <v>604</v>
      </c>
      <c r="Q1448" t="s">
        <v>605</v>
      </c>
      <c r="R1448" t="s">
        <v>98</v>
      </c>
      <c r="S1448" t="s">
        <v>99</v>
      </c>
      <c r="T1448">
        <v>10022</v>
      </c>
      <c r="U1448" t="s">
        <v>100</v>
      </c>
      <c r="V1448" t="s">
        <v>101</v>
      </c>
      <c r="W1448" t="s">
        <v>125</v>
      </c>
      <c r="X1448" t="s">
        <v>606</v>
      </c>
      <c r="Y1448" t="s">
        <v>104</v>
      </c>
    </row>
    <row r="1449" spans="1:25">
      <c r="A1449">
        <v>10141</v>
      </c>
      <c r="B1449">
        <v>20</v>
      </c>
      <c r="C1449">
        <v>54.33</v>
      </c>
      <c r="D1449">
        <v>2</v>
      </c>
      <c r="E1449">
        <v>1086.5999999999999</v>
      </c>
      <c r="F1449" s="4">
        <v>37629</v>
      </c>
      <c r="G1449" t="s">
        <v>93</v>
      </c>
      <c r="H1449">
        <v>3</v>
      </c>
      <c r="I1449">
        <v>8</v>
      </c>
      <c r="J1449">
        <v>2003</v>
      </c>
      <c r="K1449" t="s">
        <v>265</v>
      </c>
      <c r="L1449">
        <v>57</v>
      </c>
      <c r="M1449" t="s">
        <v>808</v>
      </c>
      <c r="N1449" t="s">
        <v>593</v>
      </c>
      <c r="O1449" t="s">
        <v>594</v>
      </c>
      <c r="P1449" t="s">
        <v>595</v>
      </c>
      <c r="R1449" t="s">
        <v>596</v>
      </c>
      <c r="T1449" t="s">
        <v>597</v>
      </c>
      <c r="U1449" t="s">
        <v>208</v>
      </c>
      <c r="V1449" t="s">
        <v>110</v>
      </c>
      <c r="W1449" t="s">
        <v>598</v>
      </c>
      <c r="X1449" t="s">
        <v>599</v>
      </c>
      <c r="Y1449" t="s">
        <v>104</v>
      </c>
    </row>
    <row r="1450" spans="1:25">
      <c r="A1450">
        <v>10152</v>
      </c>
      <c r="B1450">
        <v>25</v>
      </c>
      <c r="C1450">
        <v>65.31</v>
      </c>
      <c r="D1450">
        <v>4</v>
      </c>
      <c r="E1450">
        <v>1632.75</v>
      </c>
      <c r="F1450" t="s">
        <v>798</v>
      </c>
      <c r="G1450" t="s">
        <v>93</v>
      </c>
      <c r="H1450">
        <v>3</v>
      </c>
      <c r="I1450">
        <v>9</v>
      </c>
      <c r="J1450">
        <v>2003</v>
      </c>
      <c r="K1450" t="s">
        <v>265</v>
      </c>
      <c r="L1450">
        <v>57</v>
      </c>
      <c r="M1450" t="s">
        <v>808</v>
      </c>
      <c r="N1450" t="s">
        <v>296</v>
      </c>
      <c r="O1450" t="s">
        <v>297</v>
      </c>
      <c r="P1450" t="s">
        <v>298</v>
      </c>
      <c r="R1450" t="s">
        <v>299</v>
      </c>
      <c r="S1450" t="s">
        <v>300</v>
      </c>
      <c r="T1450">
        <v>4101</v>
      </c>
      <c r="U1450" t="s">
        <v>168</v>
      </c>
      <c r="V1450" t="s">
        <v>169</v>
      </c>
      <c r="W1450" t="s">
        <v>301</v>
      </c>
      <c r="X1450" t="s">
        <v>302</v>
      </c>
      <c r="Y1450" t="s">
        <v>104</v>
      </c>
    </row>
    <row r="1451" spans="1:25">
      <c r="A1451">
        <v>10165</v>
      </c>
      <c r="B1451">
        <v>25</v>
      </c>
      <c r="C1451">
        <v>69.36</v>
      </c>
      <c r="D1451">
        <v>9</v>
      </c>
      <c r="E1451">
        <v>1734</v>
      </c>
      <c r="F1451" t="s">
        <v>608</v>
      </c>
      <c r="G1451" t="s">
        <v>93</v>
      </c>
      <c r="H1451">
        <v>4</v>
      </c>
      <c r="I1451">
        <v>10</v>
      </c>
      <c r="J1451">
        <v>2003</v>
      </c>
      <c r="K1451" t="s">
        <v>265</v>
      </c>
      <c r="L1451">
        <v>57</v>
      </c>
      <c r="M1451" t="s">
        <v>808</v>
      </c>
      <c r="N1451" t="s">
        <v>284</v>
      </c>
      <c r="O1451" t="s">
        <v>285</v>
      </c>
      <c r="P1451" t="s">
        <v>286</v>
      </c>
      <c r="R1451" t="s">
        <v>287</v>
      </c>
      <c r="T1451">
        <v>79903</v>
      </c>
      <c r="U1451" t="s">
        <v>287</v>
      </c>
      <c r="V1451" t="s">
        <v>288</v>
      </c>
      <c r="W1451" t="s">
        <v>289</v>
      </c>
      <c r="X1451" t="s">
        <v>290</v>
      </c>
      <c r="Y1451" t="s">
        <v>104</v>
      </c>
    </row>
    <row r="1452" spans="1:25">
      <c r="A1452">
        <v>10176</v>
      </c>
      <c r="B1452">
        <v>27</v>
      </c>
      <c r="C1452">
        <v>68.78</v>
      </c>
      <c r="D1452">
        <v>8</v>
      </c>
      <c r="E1452">
        <v>1857.06</v>
      </c>
      <c r="F1452" s="4">
        <v>37783</v>
      </c>
      <c r="G1452" t="s">
        <v>93</v>
      </c>
      <c r="H1452">
        <v>4</v>
      </c>
      <c r="I1452">
        <v>11</v>
      </c>
      <c r="J1452">
        <v>2003</v>
      </c>
      <c r="K1452" t="s">
        <v>265</v>
      </c>
      <c r="L1452">
        <v>57</v>
      </c>
      <c r="M1452" t="s">
        <v>808</v>
      </c>
      <c r="N1452" t="s">
        <v>576</v>
      </c>
      <c r="O1452" t="s">
        <v>577</v>
      </c>
      <c r="P1452" t="s">
        <v>578</v>
      </c>
      <c r="R1452" t="s">
        <v>579</v>
      </c>
      <c r="T1452">
        <v>42100</v>
      </c>
      <c r="U1452" t="s">
        <v>352</v>
      </c>
      <c r="V1452" t="s">
        <v>110</v>
      </c>
      <c r="W1452" t="s">
        <v>580</v>
      </c>
      <c r="X1452" t="s">
        <v>581</v>
      </c>
      <c r="Y1452" t="s">
        <v>104</v>
      </c>
    </row>
    <row r="1453" spans="1:25">
      <c r="A1453">
        <v>10184</v>
      </c>
      <c r="B1453">
        <v>31</v>
      </c>
      <c r="C1453">
        <v>60.11</v>
      </c>
      <c r="D1453">
        <v>3</v>
      </c>
      <c r="E1453">
        <v>1863.41</v>
      </c>
      <c r="F1453" t="s">
        <v>451</v>
      </c>
      <c r="G1453" t="s">
        <v>93</v>
      </c>
      <c r="H1453">
        <v>4</v>
      </c>
      <c r="I1453">
        <v>11</v>
      </c>
      <c r="J1453">
        <v>2003</v>
      </c>
      <c r="K1453" t="s">
        <v>265</v>
      </c>
      <c r="L1453">
        <v>57</v>
      </c>
      <c r="M1453" t="s">
        <v>808</v>
      </c>
      <c r="N1453" t="s">
        <v>662</v>
      </c>
      <c r="O1453" t="s">
        <v>663</v>
      </c>
      <c r="P1453" t="s">
        <v>664</v>
      </c>
      <c r="R1453" t="s">
        <v>665</v>
      </c>
      <c r="T1453">
        <v>41101</v>
      </c>
      <c r="U1453" t="s">
        <v>261</v>
      </c>
      <c r="V1453" t="s">
        <v>110</v>
      </c>
      <c r="W1453" t="s">
        <v>666</v>
      </c>
      <c r="X1453" t="s">
        <v>667</v>
      </c>
      <c r="Y1453" t="s">
        <v>104</v>
      </c>
    </row>
    <row r="1454" spans="1:25">
      <c r="A1454">
        <v>10195</v>
      </c>
      <c r="B1454">
        <v>44</v>
      </c>
      <c r="C1454">
        <v>66.47</v>
      </c>
      <c r="D1454">
        <v>3</v>
      </c>
      <c r="E1454">
        <v>2924.68</v>
      </c>
      <c r="F1454" t="s">
        <v>309</v>
      </c>
      <c r="G1454" t="s">
        <v>93</v>
      </c>
      <c r="H1454">
        <v>4</v>
      </c>
      <c r="I1454">
        <v>11</v>
      </c>
      <c r="J1454">
        <v>2003</v>
      </c>
      <c r="K1454" t="s">
        <v>265</v>
      </c>
      <c r="L1454">
        <v>57</v>
      </c>
      <c r="M1454" t="s">
        <v>808</v>
      </c>
      <c r="N1454" t="s">
        <v>419</v>
      </c>
      <c r="O1454">
        <v>9145554562</v>
      </c>
      <c r="P1454" t="s">
        <v>420</v>
      </c>
      <c r="R1454" t="s">
        <v>421</v>
      </c>
      <c r="S1454" t="s">
        <v>99</v>
      </c>
      <c r="T1454">
        <v>24067</v>
      </c>
      <c r="U1454" t="s">
        <v>100</v>
      </c>
      <c r="V1454" t="s">
        <v>101</v>
      </c>
      <c r="W1454" t="s">
        <v>175</v>
      </c>
      <c r="X1454" t="s">
        <v>329</v>
      </c>
      <c r="Y1454" t="s">
        <v>104</v>
      </c>
    </row>
    <row r="1455" spans="1:25">
      <c r="A1455">
        <v>10207</v>
      </c>
      <c r="B1455">
        <v>49</v>
      </c>
      <c r="C1455">
        <v>46.82</v>
      </c>
      <c r="D1455">
        <v>4</v>
      </c>
      <c r="E1455">
        <v>2294.1799999999998</v>
      </c>
      <c r="F1455" s="4">
        <v>37876</v>
      </c>
      <c r="G1455" t="s">
        <v>93</v>
      </c>
      <c r="H1455">
        <v>4</v>
      </c>
      <c r="I1455">
        <v>12</v>
      </c>
      <c r="J1455">
        <v>2003</v>
      </c>
      <c r="K1455" t="s">
        <v>265</v>
      </c>
      <c r="L1455">
        <v>57</v>
      </c>
      <c r="M1455" t="s">
        <v>808</v>
      </c>
      <c r="N1455" t="s">
        <v>533</v>
      </c>
      <c r="O1455">
        <v>6175552555</v>
      </c>
      <c r="P1455" t="s">
        <v>534</v>
      </c>
      <c r="R1455" t="s">
        <v>492</v>
      </c>
      <c r="S1455" t="s">
        <v>200</v>
      </c>
      <c r="T1455">
        <v>51003</v>
      </c>
      <c r="U1455" t="s">
        <v>100</v>
      </c>
      <c r="V1455" t="s">
        <v>101</v>
      </c>
      <c r="W1455" t="s">
        <v>535</v>
      </c>
      <c r="X1455" t="s">
        <v>371</v>
      </c>
      <c r="Y1455" t="s">
        <v>104</v>
      </c>
    </row>
    <row r="1456" spans="1:25">
      <c r="A1456">
        <v>10220</v>
      </c>
      <c r="B1456">
        <v>26</v>
      </c>
      <c r="C1456">
        <v>56.07</v>
      </c>
      <c r="D1456">
        <v>8</v>
      </c>
      <c r="E1456">
        <v>1457.82</v>
      </c>
      <c r="F1456" s="4">
        <v>38323</v>
      </c>
      <c r="G1456" t="s">
        <v>93</v>
      </c>
      <c r="H1456">
        <v>1</v>
      </c>
      <c r="I1456">
        <v>2</v>
      </c>
      <c r="J1456">
        <v>2004</v>
      </c>
      <c r="K1456" t="s">
        <v>265</v>
      </c>
      <c r="L1456">
        <v>57</v>
      </c>
      <c r="M1456" t="s">
        <v>808</v>
      </c>
      <c r="N1456" t="s">
        <v>609</v>
      </c>
      <c r="O1456" t="s">
        <v>610</v>
      </c>
      <c r="P1456" t="s">
        <v>611</v>
      </c>
      <c r="Q1456" t="s">
        <v>612</v>
      </c>
      <c r="R1456" t="s">
        <v>613</v>
      </c>
      <c r="T1456">
        <v>2</v>
      </c>
      <c r="U1456" t="s">
        <v>614</v>
      </c>
      <c r="V1456" t="s">
        <v>110</v>
      </c>
      <c r="W1456" t="s">
        <v>615</v>
      </c>
      <c r="X1456" t="s">
        <v>616</v>
      </c>
      <c r="Y1456" t="s">
        <v>104</v>
      </c>
    </row>
    <row r="1457" spans="1:25">
      <c r="A1457">
        <v>10230</v>
      </c>
      <c r="B1457">
        <v>36</v>
      </c>
      <c r="C1457">
        <v>54.33</v>
      </c>
      <c r="D1457">
        <v>6</v>
      </c>
      <c r="E1457">
        <v>1955.88</v>
      </c>
      <c r="F1457" t="s">
        <v>650</v>
      </c>
      <c r="G1457" t="s">
        <v>93</v>
      </c>
      <c r="H1457">
        <v>1</v>
      </c>
      <c r="I1457">
        <v>3</v>
      </c>
      <c r="J1457">
        <v>2004</v>
      </c>
      <c r="K1457" t="s">
        <v>265</v>
      </c>
      <c r="L1457">
        <v>57</v>
      </c>
      <c r="M1457" t="s">
        <v>808</v>
      </c>
      <c r="N1457" t="s">
        <v>587</v>
      </c>
      <c r="O1457" t="s">
        <v>588</v>
      </c>
      <c r="P1457" t="s">
        <v>589</v>
      </c>
      <c r="R1457" t="s">
        <v>590</v>
      </c>
      <c r="T1457">
        <v>60528</v>
      </c>
      <c r="U1457" t="s">
        <v>566</v>
      </c>
      <c r="V1457" t="s">
        <v>110</v>
      </c>
      <c r="W1457" t="s">
        <v>591</v>
      </c>
      <c r="X1457" t="s">
        <v>532</v>
      </c>
      <c r="Y1457" t="s">
        <v>104</v>
      </c>
    </row>
    <row r="1458" spans="1:25">
      <c r="A1458">
        <v>10246</v>
      </c>
      <c r="B1458">
        <v>44</v>
      </c>
      <c r="C1458">
        <v>52.6</v>
      </c>
      <c r="D1458">
        <v>2</v>
      </c>
      <c r="E1458">
        <v>2314.4</v>
      </c>
      <c r="F1458" s="4">
        <v>38112</v>
      </c>
      <c r="G1458" t="s">
        <v>93</v>
      </c>
      <c r="H1458">
        <v>2</v>
      </c>
      <c r="I1458">
        <v>5</v>
      </c>
      <c r="J1458">
        <v>2004</v>
      </c>
      <c r="K1458" t="s">
        <v>265</v>
      </c>
      <c r="L1458">
        <v>57</v>
      </c>
      <c r="M1458" t="s">
        <v>808</v>
      </c>
      <c r="N1458" t="s">
        <v>257</v>
      </c>
      <c r="O1458" t="s">
        <v>258</v>
      </c>
      <c r="P1458" t="s">
        <v>259</v>
      </c>
      <c r="R1458" t="s">
        <v>260</v>
      </c>
      <c r="T1458">
        <v>28034</v>
      </c>
      <c r="U1458" t="s">
        <v>261</v>
      </c>
      <c r="V1458" t="s">
        <v>110</v>
      </c>
      <c r="W1458" t="s">
        <v>262</v>
      </c>
      <c r="X1458" t="s">
        <v>263</v>
      </c>
      <c r="Y1458" t="s">
        <v>104</v>
      </c>
    </row>
    <row r="1459" spans="1:25">
      <c r="A1459">
        <v>10259</v>
      </c>
      <c r="B1459">
        <v>28</v>
      </c>
      <c r="C1459">
        <v>46.82</v>
      </c>
      <c r="D1459">
        <v>1</v>
      </c>
      <c r="E1459">
        <v>1310.96</v>
      </c>
      <c r="F1459" t="s">
        <v>337</v>
      </c>
      <c r="G1459" t="s">
        <v>93</v>
      </c>
      <c r="H1459">
        <v>2</v>
      </c>
      <c r="I1459">
        <v>6</v>
      </c>
      <c r="J1459">
        <v>2004</v>
      </c>
      <c r="K1459" t="s">
        <v>265</v>
      </c>
      <c r="L1459">
        <v>57</v>
      </c>
      <c r="M1459" t="s">
        <v>808</v>
      </c>
      <c r="N1459" t="s">
        <v>536</v>
      </c>
      <c r="O1459" t="s">
        <v>537</v>
      </c>
      <c r="P1459" t="s">
        <v>538</v>
      </c>
      <c r="Q1459" t="s">
        <v>539</v>
      </c>
      <c r="R1459" t="s">
        <v>287</v>
      </c>
      <c r="T1459">
        <v>69045</v>
      </c>
      <c r="U1459" t="s">
        <v>287</v>
      </c>
      <c r="V1459" t="s">
        <v>169</v>
      </c>
      <c r="W1459" t="s">
        <v>540</v>
      </c>
      <c r="X1459" t="s">
        <v>541</v>
      </c>
      <c r="Y1459" t="s">
        <v>104</v>
      </c>
    </row>
    <row r="1460" spans="1:25">
      <c r="A1460">
        <v>10271</v>
      </c>
      <c r="B1460">
        <v>45</v>
      </c>
      <c r="C1460">
        <v>64.739999999999995</v>
      </c>
      <c r="D1460">
        <v>2</v>
      </c>
      <c r="E1460">
        <v>2913.3</v>
      </c>
      <c r="F1460" t="s">
        <v>623</v>
      </c>
      <c r="G1460" t="s">
        <v>93</v>
      </c>
      <c r="H1460">
        <v>3</v>
      </c>
      <c r="I1460">
        <v>7</v>
      </c>
      <c r="J1460">
        <v>2004</v>
      </c>
      <c r="K1460" t="s">
        <v>265</v>
      </c>
      <c r="L1460">
        <v>57</v>
      </c>
      <c r="M1460" t="s">
        <v>808</v>
      </c>
      <c r="N1460" t="s">
        <v>367</v>
      </c>
      <c r="O1460">
        <v>4155551450</v>
      </c>
      <c r="P1460" t="s">
        <v>368</v>
      </c>
      <c r="R1460" t="s">
        <v>369</v>
      </c>
      <c r="S1460" t="s">
        <v>124</v>
      </c>
      <c r="T1460">
        <v>97562</v>
      </c>
      <c r="U1460" t="s">
        <v>100</v>
      </c>
      <c r="V1460" t="s">
        <v>101</v>
      </c>
      <c r="W1460" t="s">
        <v>370</v>
      </c>
      <c r="X1460" t="s">
        <v>371</v>
      </c>
      <c r="Y1460" t="s">
        <v>104</v>
      </c>
    </row>
    <row r="1461" spans="1:25">
      <c r="A1461">
        <v>10282</v>
      </c>
      <c r="B1461">
        <v>29</v>
      </c>
      <c r="C1461">
        <v>46.82</v>
      </c>
      <c r="D1461">
        <v>11</v>
      </c>
      <c r="E1461">
        <v>1357.78</v>
      </c>
      <c r="F1461" t="s">
        <v>483</v>
      </c>
      <c r="G1461" t="s">
        <v>93</v>
      </c>
      <c r="H1461">
        <v>3</v>
      </c>
      <c r="I1461">
        <v>8</v>
      </c>
      <c r="J1461">
        <v>2004</v>
      </c>
      <c r="K1461" t="s">
        <v>265</v>
      </c>
      <c r="L1461">
        <v>57</v>
      </c>
      <c r="M1461" t="s">
        <v>808</v>
      </c>
      <c r="N1461" t="s">
        <v>367</v>
      </c>
      <c r="O1461">
        <v>4155551450</v>
      </c>
      <c r="P1461" t="s">
        <v>368</v>
      </c>
      <c r="R1461" t="s">
        <v>369</v>
      </c>
      <c r="S1461" t="s">
        <v>124</v>
      </c>
      <c r="T1461">
        <v>97562</v>
      </c>
      <c r="U1461" t="s">
        <v>100</v>
      </c>
      <c r="V1461" t="s">
        <v>101</v>
      </c>
      <c r="W1461" t="s">
        <v>370</v>
      </c>
      <c r="X1461" t="s">
        <v>371</v>
      </c>
      <c r="Y1461" t="s">
        <v>104</v>
      </c>
    </row>
    <row r="1462" spans="1:25">
      <c r="A1462">
        <v>10292</v>
      </c>
      <c r="B1462">
        <v>40</v>
      </c>
      <c r="C1462">
        <v>53.75</v>
      </c>
      <c r="D1462">
        <v>5</v>
      </c>
      <c r="E1462">
        <v>2150</v>
      </c>
      <c r="F1462" s="4">
        <v>38208</v>
      </c>
      <c r="G1462" t="s">
        <v>93</v>
      </c>
      <c r="H1462">
        <v>3</v>
      </c>
      <c r="I1462">
        <v>9</v>
      </c>
      <c r="J1462">
        <v>2004</v>
      </c>
      <c r="K1462" t="s">
        <v>265</v>
      </c>
      <c r="L1462">
        <v>57</v>
      </c>
      <c r="M1462" t="s">
        <v>808</v>
      </c>
      <c r="N1462" t="s">
        <v>96</v>
      </c>
      <c r="O1462">
        <v>2125557818</v>
      </c>
      <c r="P1462" t="s">
        <v>97</v>
      </c>
      <c r="R1462" t="s">
        <v>98</v>
      </c>
      <c r="S1462" t="s">
        <v>99</v>
      </c>
      <c r="T1462">
        <v>10022</v>
      </c>
      <c r="U1462" t="s">
        <v>100</v>
      </c>
      <c r="V1462" t="s">
        <v>101</v>
      </c>
      <c r="W1462" t="s">
        <v>102</v>
      </c>
      <c r="X1462" t="s">
        <v>103</v>
      </c>
      <c r="Y1462" t="s">
        <v>104</v>
      </c>
    </row>
    <row r="1463" spans="1:25">
      <c r="A1463">
        <v>10305</v>
      </c>
      <c r="B1463">
        <v>45</v>
      </c>
      <c r="C1463">
        <v>61.85</v>
      </c>
      <c r="D1463">
        <v>2</v>
      </c>
      <c r="E1463">
        <v>2783.25</v>
      </c>
      <c r="F1463" t="s">
        <v>543</v>
      </c>
      <c r="G1463" t="s">
        <v>93</v>
      </c>
      <c r="H1463">
        <v>4</v>
      </c>
      <c r="I1463">
        <v>10</v>
      </c>
      <c r="J1463">
        <v>2004</v>
      </c>
      <c r="K1463" t="s">
        <v>265</v>
      </c>
      <c r="L1463">
        <v>57</v>
      </c>
      <c r="M1463" t="s">
        <v>808</v>
      </c>
      <c r="N1463" t="s">
        <v>197</v>
      </c>
      <c r="O1463">
        <v>6175558555</v>
      </c>
      <c r="P1463" t="s">
        <v>198</v>
      </c>
      <c r="R1463" t="s">
        <v>199</v>
      </c>
      <c r="S1463" t="s">
        <v>200</v>
      </c>
      <c r="T1463">
        <v>51247</v>
      </c>
      <c r="U1463" t="s">
        <v>100</v>
      </c>
      <c r="V1463" t="s">
        <v>101</v>
      </c>
      <c r="W1463" t="s">
        <v>201</v>
      </c>
      <c r="X1463" t="s">
        <v>202</v>
      </c>
      <c r="Y1463" t="s">
        <v>104</v>
      </c>
    </row>
    <row r="1464" spans="1:25">
      <c r="A1464">
        <v>10314</v>
      </c>
      <c r="B1464">
        <v>44</v>
      </c>
      <c r="C1464">
        <v>53.18</v>
      </c>
      <c r="D1464">
        <v>11</v>
      </c>
      <c r="E1464">
        <v>2339.92</v>
      </c>
      <c r="F1464" t="s">
        <v>544</v>
      </c>
      <c r="G1464" t="s">
        <v>93</v>
      </c>
      <c r="H1464">
        <v>4</v>
      </c>
      <c r="I1464">
        <v>10</v>
      </c>
      <c r="J1464">
        <v>2004</v>
      </c>
      <c r="K1464" t="s">
        <v>265</v>
      </c>
      <c r="L1464">
        <v>57</v>
      </c>
      <c r="M1464" t="s">
        <v>808</v>
      </c>
      <c r="N1464" t="s">
        <v>630</v>
      </c>
      <c r="O1464" t="s">
        <v>631</v>
      </c>
      <c r="P1464" t="s">
        <v>632</v>
      </c>
      <c r="R1464" t="s">
        <v>633</v>
      </c>
      <c r="T1464">
        <v>8200</v>
      </c>
      <c r="U1464" t="s">
        <v>429</v>
      </c>
      <c r="V1464" t="s">
        <v>110</v>
      </c>
      <c r="W1464" t="s">
        <v>634</v>
      </c>
      <c r="X1464" t="s">
        <v>635</v>
      </c>
      <c r="Y1464" t="s">
        <v>104</v>
      </c>
    </row>
    <row r="1465" spans="1:25">
      <c r="A1465">
        <v>10324</v>
      </c>
      <c r="B1465">
        <v>25</v>
      </c>
      <c r="C1465">
        <v>69.16</v>
      </c>
      <c r="D1465">
        <v>14</v>
      </c>
      <c r="E1465">
        <v>1729</v>
      </c>
      <c r="F1465" s="4">
        <v>38118</v>
      </c>
      <c r="G1465" t="s">
        <v>93</v>
      </c>
      <c r="H1465">
        <v>4</v>
      </c>
      <c r="I1465">
        <v>11</v>
      </c>
      <c r="J1465">
        <v>2004</v>
      </c>
      <c r="K1465" t="s">
        <v>265</v>
      </c>
      <c r="L1465">
        <v>57</v>
      </c>
      <c r="M1465" t="s">
        <v>808</v>
      </c>
      <c r="N1465" t="s">
        <v>172</v>
      </c>
      <c r="O1465">
        <v>2125551500</v>
      </c>
      <c r="P1465" t="s">
        <v>173</v>
      </c>
      <c r="Q1465" t="s">
        <v>174</v>
      </c>
      <c r="R1465" t="s">
        <v>98</v>
      </c>
      <c r="S1465" t="s">
        <v>99</v>
      </c>
      <c r="T1465">
        <v>10022</v>
      </c>
      <c r="U1465" t="s">
        <v>100</v>
      </c>
      <c r="V1465" t="s">
        <v>101</v>
      </c>
      <c r="W1465" t="s">
        <v>175</v>
      </c>
      <c r="X1465" t="s">
        <v>176</v>
      </c>
      <c r="Y1465" t="s">
        <v>104</v>
      </c>
    </row>
    <row r="1466" spans="1:25">
      <c r="A1466">
        <v>10336</v>
      </c>
      <c r="B1466">
        <v>45</v>
      </c>
      <c r="C1466">
        <v>100</v>
      </c>
      <c r="D1466">
        <v>4</v>
      </c>
      <c r="E1466">
        <v>5972.4</v>
      </c>
      <c r="F1466" t="s">
        <v>636</v>
      </c>
      <c r="G1466" t="s">
        <v>93</v>
      </c>
      <c r="H1466">
        <v>4</v>
      </c>
      <c r="I1466">
        <v>11</v>
      </c>
      <c r="J1466">
        <v>2004</v>
      </c>
      <c r="K1466" t="s">
        <v>265</v>
      </c>
      <c r="L1466">
        <v>57</v>
      </c>
      <c r="M1466" t="s">
        <v>808</v>
      </c>
      <c r="N1466" t="s">
        <v>520</v>
      </c>
      <c r="O1466" t="s">
        <v>521</v>
      </c>
      <c r="P1466" t="s">
        <v>522</v>
      </c>
      <c r="R1466" t="s">
        <v>116</v>
      </c>
      <c r="T1466">
        <v>75012</v>
      </c>
      <c r="U1466" t="s">
        <v>109</v>
      </c>
      <c r="V1466" t="s">
        <v>110</v>
      </c>
      <c r="W1466" t="s">
        <v>523</v>
      </c>
      <c r="X1466" t="s">
        <v>524</v>
      </c>
      <c r="Y1466" t="s">
        <v>119</v>
      </c>
    </row>
    <row r="1467" spans="1:25">
      <c r="A1467">
        <v>10349</v>
      </c>
      <c r="B1467">
        <v>48</v>
      </c>
      <c r="C1467">
        <v>47.4</v>
      </c>
      <c r="D1467">
        <v>4</v>
      </c>
      <c r="E1467">
        <v>2275.1999999999998</v>
      </c>
      <c r="F1467" s="4">
        <v>37998</v>
      </c>
      <c r="G1467" t="s">
        <v>93</v>
      </c>
      <c r="H1467">
        <v>4</v>
      </c>
      <c r="I1467">
        <v>12</v>
      </c>
      <c r="J1467">
        <v>2004</v>
      </c>
      <c r="K1467" t="s">
        <v>265</v>
      </c>
      <c r="L1467">
        <v>57</v>
      </c>
      <c r="M1467" t="s">
        <v>808</v>
      </c>
      <c r="N1467" t="s">
        <v>603</v>
      </c>
      <c r="O1467">
        <v>2125557413</v>
      </c>
      <c r="P1467" t="s">
        <v>604</v>
      </c>
      <c r="Q1467" t="s">
        <v>605</v>
      </c>
      <c r="R1467" t="s">
        <v>98</v>
      </c>
      <c r="S1467" t="s">
        <v>99</v>
      </c>
      <c r="T1467">
        <v>10022</v>
      </c>
      <c r="U1467" t="s">
        <v>100</v>
      </c>
      <c r="V1467" t="s">
        <v>101</v>
      </c>
      <c r="W1467" t="s">
        <v>125</v>
      </c>
      <c r="X1467" t="s">
        <v>606</v>
      </c>
      <c r="Y1467" t="s">
        <v>104</v>
      </c>
    </row>
    <row r="1468" spans="1:25">
      <c r="A1468">
        <v>10358</v>
      </c>
      <c r="B1468">
        <v>44</v>
      </c>
      <c r="C1468">
        <v>60.76</v>
      </c>
      <c r="D1468">
        <v>14</v>
      </c>
      <c r="E1468">
        <v>2673.44</v>
      </c>
      <c r="F1468" s="4">
        <v>38272</v>
      </c>
      <c r="G1468" t="s">
        <v>93</v>
      </c>
      <c r="H1468">
        <v>4</v>
      </c>
      <c r="I1468">
        <v>12</v>
      </c>
      <c r="J1468">
        <v>2004</v>
      </c>
      <c r="K1468" t="s">
        <v>265</v>
      </c>
      <c r="L1468">
        <v>57</v>
      </c>
      <c r="M1468" t="s">
        <v>808</v>
      </c>
      <c r="N1468" t="s">
        <v>257</v>
      </c>
      <c r="O1468" t="s">
        <v>258</v>
      </c>
      <c r="P1468" t="s">
        <v>259</v>
      </c>
      <c r="R1468" t="s">
        <v>260</v>
      </c>
      <c r="T1468">
        <v>28034</v>
      </c>
      <c r="U1468" t="s">
        <v>261</v>
      </c>
      <c r="V1468" t="s">
        <v>110</v>
      </c>
      <c r="W1468" t="s">
        <v>262</v>
      </c>
      <c r="X1468" t="s">
        <v>263</v>
      </c>
      <c r="Y1468" t="s">
        <v>104</v>
      </c>
    </row>
    <row r="1469" spans="1:25">
      <c r="A1469">
        <v>10371</v>
      </c>
      <c r="B1469">
        <v>25</v>
      </c>
      <c r="C1469">
        <v>97.27</v>
      </c>
      <c r="D1469">
        <v>12</v>
      </c>
      <c r="E1469">
        <v>2431.75</v>
      </c>
      <c r="F1469" t="s">
        <v>637</v>
      </c>
      <c r="G1469" t="s">
        <v>93</v>
      </c>
      <c r="H1469">
        <v>1</v>
      </c>
      <c r="I1469">
        <v>1</v>
      </c>
      <c r="J1469">
        <v>2005</v>
      </c>
      <c r="K1469" t="s">
        <v>265</v>
      </c>
      <c r="L1469">
        <v>57</v>
      </c>
      <c r="M1469" t="s">
        <v>808</v>
      </c>
      <c r="N1469" t="s">
        <v>367</v>
      </c>
      <c r="O1469">
        <v>4155551450</v>
      </c>
      <c r="P1469" t="s">
        <v>368</v>
      </c>
      <c r="R1469" t="s">
        <v>369</v>
      </c>
      <c r="S1469" t="s">
        <v>124</v>
      </c>
      <c r="T1469">
        <v>97562</v>
      </c>
      <c r="U1469" t="s">
        <v>100</v>
      </c>
      <c r="V1469" t="s">
        <v>101</v>
      </c>
      <c r="W1469" t="s">
        <v>370</v>
      </c>
      <c r="X1469" t="s">
        <v>371</v>
      </c>
      <c r="Y1469" t="s">
        <v>104</v>
      </c>
    </row>
    <row r="1470" spans="1:25">
      <c r="A1470">
        <v>10383</v>
      </c>
      <c r="B1470">
        <v>22</v>
      </c>
      <c r="C1470">
        <v>91.76</v>
      </c>
      <c r="D1470">
        <v>2</v>
      </c>
      <c r="E1470">
        <v>2018.72</v>
      </c>
      <c r="F1470" t="s">
        <v>760</v>
      </c>
      <c r="G1470" t="s">
        <v>93</v>
      </c>
      <c r="H1470">
        <v>1</v>
      </c>
      <c r="I1470">
        <v>2</v>
      </c>
      <c r="J1470">
        <v>2005</v>
      </c>
      <c r="K1470" t="s">
        <v>265</v>
      </c>
      <c r="L1470">
        <v>57</v>
      </c>
      <c r="M1470" t="s">
        <v>808</v>
      </c>
      <c r="N1470" t="s">
        <v>257</v>
      </c>
      <c r="O1470" t="s">
        <v>258</v>
      </c>
      <c r="P1470" t="s">
        <v>259</v>
      </c>
      <c r="R1470" t="s">
        <v>260</v>
      </c>
      <c r="T1470">
        <v>28034</v>
      </c>
      <c r="U1470" t="s">
        <v>261</v>
      </c>
      <c r="V1470" t="s">
        <v>110</v>
      </c>
      <c r="W1470" t="s">
        <v>262</v>
      </c>
      <c r="X1470" t="s">
        <v>263</v>
      </c>
      <c r="Y1470" t="s">
        <v>104</v>
      </c>
    </row>
    <row r="1471" spans="1:25">
      <c r="A1471">
        <v>10394</v>
      </c>
      <c r="B1471">
        <v>31</v>
      </c>
      <c r="C1471">
        <v>50.29</v>
      </c>
      <c r="D1471">
        <v>2</v>
      </c>
      <c r="E1471">
        <v>1558.99</v>
      </c>
      <c r="F1471" t="s">
        <v>784</v>
      </c>
      <c r="G1471" t="s">
        <v>93</v>
      </c>
      <c r="H1471">
        <v>1</v>
      </c>
      <c r="I1471">
        <v>3</v>
      </c>
      <c r="J1471">
        <v>2005</v>
      </c>
      <c r="K1471" t="s">
        <v>265</v>
      </c>
      <c r="L1471">
        <v>57</v>
      </c>
      <c r="M1471" t="s">
        <v>808</v>
      </c>
      <c r="N1471" t="s">
        <v>257</v>
      </c>
      <c r="O1471" t="s">
        <v>258</v>
      </c>
      <c r="P1471" t="s">
        <v>259</v>
      </c>
      <c r="R1471" t="s">
        <v>260</v>
      </c>
      <c r="T1471">
        <v>28034</v>
      </c>
      <c r="U1471" t="s">
        <v>261</v>
      </c>
      <c r="V1471" t="s">
        <v>110</v>
      </c>
      <c r="W1471" t="s">
        <v>262</v>
      </c>
      <c r="X1471" t="s">
        <v>263</v>
      </c>
      <c r="Y1471" t="s">
        <v>104</v>
      </c>
    </row>
    <row r="1472" spans="1:25">
      <c r="A1472">
        <v>10412</v>
      </c>
      <c r="B1472">
        <v>21</v>
      </c>
      <c r="C1472">
        <v>52.6</v>
      </c>
      <c r="D1472">
        <v>2</v>
      </c>
      <c r="E1472">
        <v>1104.5999999999999</v>
      </c>
      <c r="F1472" s="4">
        <v>38416</v>
      </c>
      <c r="G1472" t="s">
        <v>93</v>
      </c>
      <c r="H1472">
        <v>2</v>
      </c>
      <c r="I1472">
        <v>5</v>
      </c>
      <c r="J1472">
        <v>2005</v>
      </c>
      <c r="K1472" t="s">
        <v>265</v>
      </c>
      <c r="L1472">
        <v>57</v>
      </c>
      <c r="M1472" t="s">
        <v>808</v>
      </c>
      <c r="N1472" t="s">
        <v>257</v>
      </c>
      <c r="O1472" t="s">
        <v>258</v>
      </c>
      <c r="P1472" t="s">
        <v>259</v>
      </c>
      <c r="R1472" t="s">
        <v>260</v>
      </c>
      <c r="T1472">
        <v>28034</v>
      </c>
      <c r="U1472" t="s">
        <v>261</v>
      </c>
      <c r="V1472" t="s">
        <v>110</v>
      </c>
      <c r="W1472" t="s">
        <v>262</v>
      </c>
      <c r="X1472" t="s">
        <v>263</v>
      </c>
      <c r="Y1472" t="s">
        <v>104</v>
      </c>
    </row>
    <row r="1473" spans="1:25">
      <c r="A1473">
        <v>10425</v>
      </c>
      <c r="B1473">
        <v>55</v>
      </c>
      <c r="C1473">
        <v>46.82</v>
      </c>
      <c r="D1473">
        <v>1</v>
      </c>
      <c r="E1473">
        <v>2575.1</v>
      </c>
      <c r="F1473" t="s">
        <v>399</v>
      </c>
      <c r="G1473" t="s">
        <v>400</v>
      </c>
      <c r="H1473">
        <v>2</v>
      </c>
      <c r="I1473">
        <v>5</v>
      </c>
      <c r="J1473">
        <v>2005</v>
      </c>
      <c r="K1473" t="s">
        <v>265</v>
      </c>
      <c r="L1473">
        <v>57</v>
      </c>
      <c r="M1473" t="s">
        <v>808</v>
      </c>
      <c r="N1473" t="s">
        <v>190</v>
      </c>
      <c r="O1473" t="s">
        <v>191</v>
      </c>
      <c r="P1473" t="s">
        <v>192</v>
      </c>
      <c r="R1473" t="s">
        <v>193</v>
      </c>
      <c r="T1473">
        <v>44000</v>
      </c>
      <c r="U1473" t="s">
        <v>109</v>
      </c>
      <c r="V1473" t="s">
        <v>110</v>
      </c>
      <c r="W1473" t="s">
        <v>194</v>
      </c>
      <c r="X1473" t="s">
        <v>195</v>
      </c>
      <c r="Y1473" t="s">
        <v>104</v>
      </c>
    </row>
    <row r="1474" spans="1:25">
      <c r="A1474">
        <v>10107</v>
      </c>
      <c r="B1474">
        <v>25</v>
      </c>
      <c r="C1474">
        <v>100</v>
      </c>
      <c r="D1474">
        <v>3</v>
      </c>
      <c r="E1474">
        <v>2845.75</v>
      </c>
      <c r="F1474" t="s">
        <v>92</v>
      </c>
      <c r="G1474" t="s">
        <v>93</v>
      </c>
      <c r="H1474">
        <v>1</v>
      </c>
      <c r="I1474">
        <v>2</v>
      </c>
      <c r="J1474">
        <v>2003</v>
      </c>
      <c r="K1474" t="s">
        <v>94</v>
      </c>
      <c r="L1474">
        <v>112</v>
      </c>
      <c r="M1474" t="s">
        <v>809</v>
      </c>
      <c r="N1474" t="s">
        <v>96</v>
      </c>
      <c r="O1474">
        <v>2125557818</v>
      </c>
      <c r="P1474" t="s">
        <v>97</v>
      </c>
      <c r="R1474" t="s">
        <v>98</v>
      </c>
      <c r="S1474" t="s">
        <v>99</v>
      </c>
      <c r="T1474">
        <v>10022</v>
      </c>
      <c r="U1474" t="s">
        <v>100</v>
      </c>
      <c r="V1474" t="s">
        <v>101</v>
      </c>
      <c r="W1474" t="s">
        <v>102</v>
      </c>
      <c r="X1474" t="s">
        <v>103</v>
      </c>
      <c r="Y1474" t="s">
        <v>104</v>
      </c>
    </row>
    <row r="1475" spans="1:25">
      <c r="A1475">
        <v>10120</v>
      </c>
      <c r="B1475">
        <v>35</v>
      </c>
      <c r="C1475">
        <v>98.05</v>
      </c>
      <c r="D1475">
        <v>1</v>
      </c>
      <c r="E1475">
        <v>3431.75</v>
      </c>
      <c r="F1475" t="s">
        <v>402</v>
      </c>
      <c r="G1475" t="s">
        <v>93</v>
      </c>
      <c r="H1475">
        <v>2</v>
      </c>
      <c r="I1475">
        <v>4</v>
      </c>
      <c r="J1475">
        <v>2003</v>
      </c>
      <c r="K1475" t="s">
        <v>94</v>
      </c>
      <c r="L1475">
        <v>112</v>
      </c>
      <c r="M1475" t="s">
        <v>809</v>
      </c>
      <c r="N1475" t="s">
        <v>162</v>
      </c>
      <c r="O1475" t="s">
        <v>163</v>
      </c>
      <c r="P1475" t="s">
        <v>164</v>
      </c>
      <c r="Q1475" t="s">
        <v>165</v>
      </c>
      <c r="R1475" t="s">
        <v>166</v>
      </c>
      <c r="S1475" t="s">
        <v>167</v>
      </c>
      <c r="T1475">
        <v>3004</v>
      </c>
      <c r="U1475" t="s">
        <v>168</v>
      </c>
      <c r="V1475" t="s">
        <v>169</v>
      </c>
      <c r="W1475" t="s">
        <v>170</v>
      </c>
      <c r="X1475" t="s">
        <v>171</v>
      </c>
      <c r="Y1475" t="s">
        <v>119</v>
      </c>
    </row>
    <row r="1476" spans="1:25">
      <c r="A1476">
        <v>10134</v>
      </c>
      <c r="B1476">
        <v>35</v>
      </c>
      <c r="C1476">
        <v>93.54</v>
      </c>
      <c r="D1476">
        <v>3</v>
      </c>
      <c r="E1476">
        <v>3273.9</v>
      </c>
      <c r="F1476" s="4">
        <v>37628</v>
      </c>
      <c r="G1476" t="s">
        <v>93</v>
      </c>
      <c r="H1476">
        <v>3</v>
      </c>
      <c r="I1476">
        <v>7</v>
      </c>
      <c r="J1476">
        <v>2003</v>
      </c>
      <c r="K1476" t="s">
        <v>94</v>
      </c>
      <c r="L1476">
        <v>112</v>
      </c>
      <c r="M1476" t="s">
        <v>809</v>
      </c>
      <c r="N1476" t="s">
        <v>113</v>
      </c>
      <c r="O1476" t="s">
        <v>114</v>
      </c>
      <c r="P1476" t="s">
        <v>115</v>
      </c>
      <c r="R1476" t="s">
        <v>116</v>
      </c>
      <c r="T1476">
        <v>75508</v>
      </c>
      <c r="U1476" t="s">
        <v>109</v>
      </c>
      <c r="V1476" t="s">
        <v>110</v>
      </c>
      <c r="W1476" t="s">
        <v>117</v>
      </c>
      <c r="X1476" t="s">
        <v>118</v>
      </c>
      <c r="Y1476" t="s">
        <v>119</v>
      </c>
    </row>
    <row r="1477" spans="1:25">
      <c r="A1477">
        <v>10145</v>
      </c>
      <c r="B1477">
        <v>43</v>
      </c>
      <c r="C1477">
        <v>95.8</v>
      </c>
      <c r="D1477">
        <v>7</v>
      </c>
      <c r="E1477">
        <v>4119.3999999999996</v>
      </c>
      <c r="F1477" t="s">
        <v>120</v>
      </c>
      <c r="G1477" t="s">
        <v>93</v>
      </c>
      <c r="H1477">
        <v>3</v>
      </c>
      <c r="I1477">
        <v>8</v>
      </c>
      <c r="J1477">
        <v>2003</v>
      </c>
      <c r="K1477" t="s">
        <v>94</v>
      </c>
      <c r="L1477">
        <v>112</v>
      </c>
      <c r="M1477" t="s">
        <v>809</v>
      </c>
      <c r="N1477" t="s">
        <v>121</v>
      </c>
      <c r="O1477">
        <v>6265557265</v>
      </c>
      <c r="P1477" t="s">
        <v>122</v>
      </c>
      <c r="R1477" t="s">
        <v>123</v>
      </c>
      <c r="S1477" t="s">
        <v>124</v>
      </c>
      <c r="T1477">
        <v>90003</v>
      </c>
      <c r="U1477" t="s">
        <v>100</v>
      </c>
      <c r="V1477" t="s">
        <v>101</v>
      </c>
      <c r="W1477" t="s">
        <v>125</v>
      </c>
      <c r="X1477" t="s">
        <v>126</v>
      </c>
      <c r="Y1477" t="s">
        <v>119</v>
      </c>
    </row>
    <row r="1478" spans="1:25">
      <c r="A1478">
        <v>10159</v>
      </c>
      <c r="B1478">
        <v>44</v>
      </c>
      <c r="C1478">
        <v>100</v>
      </c>
      <c r="D1478">
        <v>15</v>
      </c>
      <c r="E1478">
        <v>5355.68</v>
      </c>
      <c r="F1478" s="4">
        <v>37904</v>
      </c>
      <c r="G1478" t="s">
        <v>93</v>
      </c>
      <c r="H1478">
        <v>4</v>
      </c>
      <c r="I1478">
        <v>10</v>
      </c>
      <c r="J1478">
        <v>2003</v>
      </c>
      <c r="K1478" t="s">
        <v>94</v>
      </c>
      <c r="L1478">
        <v>112</v>
      </c>
      <c r="M1478" t="s">
        <v>809</v>
      </c>
      <c r="N1478" t="s">
        <v>127</v>
      </c>
      <c r="O1478">
        <v>6505551386</v>
      </c>
      <c r="P1478" t="s">
        <v>128</v>
      </c>
      <c r="R1478" t="s">
        <v>129</v>
      </c>
      <c r="S1478" t="s">
        <v>124</v>
      </c>
      <c r="U1478" t="s">
        <v>100</v>
      </c>
      <c r="V1478" t="s">
        <v>101</v>
      </c>
      <c r="W1478" t="s">
        <v>130</v>
      </c>
      <c r="X1478" t="s">
        <v>126</v>
      </c>
      <c r="Y1478" t="s">
        <v>119</v>
      </c>
    </row>
    <row r="1479" spans="1:25">
      <c r="A1479">
        <v>10168</v>
      </c>
      <c r="B1479">
        <v>50</v>
      </c>
      <c r="C1479">
        <v>100</v>
      </c>
      <c r="D1479">
        <v>2</v>
      </c>
      <c r="E1479">
        <v>5747.5</v>
      </c>
      <c r="F1479" t="s">
        <v>131</v>
      </c>
      <c r="G1479" t="s">
        <v>93</v>
      </c>
      <c r="H1479">
        <v>4</v>
      </c>
      <c r="I1479">
        <v>10</v>
      </c>
      <c r="J1479">
        <v>2003</v>
      </c>
      <c r="K1479" t="s">
        <v>94</v>
      </c>
      <c r="L1479">
        <v>112</v>
      </c>
      <c r="M1479" t="s">
        <v>809</v>
      </c>
      <c r="N1479" t="s">
        <v>132</v>
      </c>
      <c r="O1479">
        <v>6505556809</v>
      </c>
      <c r="P1479" t="s">
        <v>133</v>
      </c>
      <c r="R1479" t="s">
        <v>134</v>
      </c>
      <c r="S1479" t="s">
        <v>124</v>
      </c>
      <c r="T1479">
        <v>94217</v>
      </c>
      <c r="U1479" t="s">
        <v>100</v>
      </c>
      <c r="V1479" t="s">
        <v>101</v>
      </c>
      <c r="W1479" t="s">
        <v>135</v>
      </c>
      <c r="X1479" t="s">
        <v>136</v>
      </c>
      <c r="Y1479" t="s">
        <v>119</v>
      </c>
    </row>
    <row r="1480" spans="1:25">
      <c r="A1480">
        <v>10180</v>
      </c>
      <c r="B1480">
        <v>48</v>
      </c>
      <c r="C1480">
        <v>100</v>
      </c>
      <c r="D1480">
        <v>10</v>
      </c>
      <c r="E1480">
        <v>5355.36</v>
      </c>
      <c r="F1480" s="4">
        <v>37936</v>
      </c>
      <c r="G1480" t="s">
        <v>93</v>
      </c>
      <c r="H1480">
        <v>4</v>
      </c>
      <c r="I1480">
        <v>11</v>
      </c>
      <c r="J1480">
        <v>2003</v>
      </c>
      <c r="K1480" t="s">
        <v>94</v>
      </c>
      <c r="L1480">
        <v>112</v>
      </c>
      <c r="M1480" t="s">
        <v>809</v>
      </c>
      <c r="N1480" t="s">
        <v>137</v>
      </c>
      <c r="O1480" t="s">
        <v>138</v>
      </c>
      <c r="P1480" t="s">
        <v>139</v>
      </c>
      <c r="R1480" t="s">
        <v>140</v>
      </c>
      <c r="T1480">
        <v>59000</v>
      </c>
      <c r="U1480" t="s">
        <v>109</v>
      </c>
      <c r="V1480" t="s">
        <v>110</v>
      </c>
      <c r="W1480" t="s">
        <v>141</v>
      </c>
      <c r="X1480" t="s">
        <v>142</v>
      </c>
      <c r="Y1480" t="s">
        <v>119</v>
      </c>
    </row>
    <row r="1481" spans="1:25">
      <c r="A1481">
        <v>10188</v>
      </c>
      <c r="B1481">
        <v>25</v>
      </c>
      <c r="C1481">
        <v>100</v>
      </c>
      <c r="D1481">
        <v>2</v>
      </c>
      <c r="E1481">
        <v>2535.75</v>
      </c>
      <c r="F1481" t="s">
        <v>143</v>
      </c>
      <c r="G1481" t="s">
        <v>93</v>
      </c>
      <c r="H1481">
        <v>4</v>
      </c>
      <c r="I1481">
        <v>11</v>
      </c>
      <c r="J1481">
        <v>2003</v>
      </c>
      <c r="K1481" t="s">
        <v>94</v>
      </c>
      <c r="L1481">
        <v>112</v>
      </c>
      <c r="M1481" t="s">
        <v>809</v>
      </c>
      <c r="N1481" t="s">
        <v>144</v>
      </c>
      <c r="O1481" t="s">
        <v>145</v>
      </c>
      <c r="P1481" t="s">
        <v>146</v>
      </c>
      <c r="R1481" t="s">
        <v>147</v>
      </c>
      <c r="T1481" t="s">
        <v>148</v>
      </c>
      <c r="U1481" t="s">
        <v>149</v>
      </c>
      <c r="V1481" t="s">
        <v>110</v>
      </c>
      <c r="W1481" t="s">
        <v>150</v>
      </c>
      <c r="X1481" t="s">
        <v>151</v>
      </c>
      <c r="Y1481" t="s">
        <v>104</v>
      </c>
    </row>
    <row r="1482" spans="1:25">
      <c r="A1482">
        <v>10201</v>
      </c>
      <c r="B1482">
        <v>39</v>
      </c>
      <c r="C1482">
        <v>100</v>
      </c>
      <c r="D1482">
        <v>3</v>
      </c>
      <c r="E1482">
        <v>4351.2299999999996</v>
      </c>
      <c r="F1482" s="4">
        <v>37633</v>
      </c>
      <c r="G1482" t="s">
        <v>93</v>
      </c>
      <c r="H1482">
        <v>4</v>
      </c>
      <c r="I1482">
        <v>12</v>
      </c>
      <c r="J1482">
        <v>2003</v>
      </c>
      <c r="K1482" t="s">
        <v>94</v>
      </c>
      <c r="L1482">
        <v>112</v>
      </c>
      <c r="M1482" t="s">
        <v>809</v>
      </c>
      <c r="N1482" t="s">
        <v>152</v>
      </c>
      <c r="O1482">
        <v>6505555787</v>
      </c>
      <c r="P1482" t="s">
        <v>153</v>
      </c>
      <c r="R1482" t="s">
        <v>129</v>
      </c>
      <c r="S1482" t="s">
        <v>124</v>
      </c>
      <c r="U1482" t="s">
        <v>100</v>
      </c>
      <c r="V1482" t="s">
        <v>101</v>
      </c>
      <c r="W1482" t="s">
        <v>154</v>
      </c>
      <c r="X1482" t="s">
        <v>126</v>
      </c>
      <c r="Y1482" t="s">
        <v>119</v>
      </c>
    </row>
    <row r="1483" spans="1:25">
      <c r="A1483">
        <v>10211</v>
      </c>
      <c r="B1483">
        <v>25</v>
      </c>
      <c r="C1483">
        <v>90.16</v>
      </c>
      <c r="D1483">
        <v>15</v>
      </c>
      <c r="E1483">
        <v>2254</v>
      </c>
      <c r="F1483" t="s">
        <v>155</v>
      </c>
      <c r="G1483" t="s">
        <v>93</v>
      </c>
      <c r="H1483">
        <v>1</v>
      </c>
      <c r="I1483">
        <v>1</v>
      </c>
      <c r="J1483">
        <v>2004</v>
      </c>
      <c r="K1483" t="s">
        <v>94</v>
      </c>
      <c r="L1483">
        <v>112</v>
      </c>
      <c r="M1483" t="s">
        <v>809</v>
      </c>
      <c r="N1483" t="s">
        <v>156</v>
      </c>
      <c r="O1483" t="s">
        <v>157</v>
      </c>
      <c r="P1483" t="s">
        <v>158</v>
      </c>
      <c r="R1483" t="s">
        <v>116</v>
      </c>
      <c r="T1483">
        <v>75016</v>
      </c>
      <c r="U1483" t="s">
        <v>109</v>
      </c>
      <c r="V1483" t="s">
        <v>110</v>
      </c>
      <c r="W1483" t="s">
        <v>159</v>
      </c>
      <c r="X1483" t="s">
        <v>160</v>
      </c>
      <c r="Y1483" t="s">
        <v>104</v>
      </c>
    </row>
    <row r="1484" spans="1:25">
      <c r="A1484">
        <v>10223</v>
      </c>
      <c r="B1484">
        <v>32</v>
      </c>
      <c r="C1484">
        <v>91.29</v>
      </c>
      <c r="D1484">
        <v>2</v>
      </c>
      <c r="E1484">
        <v>2921.28</v>
      </c>
      <c r="F1484" t="s">
        <v>161</v>
      </c>
      <c r="G1484" t="s">
        <v>93</v>
      </c>
      <c r="H1484">
        <v>1</v>
      </c>
      <c r="I1484">
        <v>2</v>
      </c>
      <c r="J1484">
        <v>2004</v>
      </c>
      <c r="K1484" t="s">
        <v>94</v>
      </c>
      <c r="L1484">
        <v>112</v>
      </c>
      <c r="M1484" t="s">
        <v>809</v>
      </c>
      <c r="N1484" t="s">
        <v>162</v>
      </c>
      <c r="O1484" t="s">
        <v>163</v>
      </c>
      <c r="P1484" t="s">
        <v>164</v>
      </c>
      <c r="Q1484" t="s">
        <v>165</v>
      </c>
      <c r="R1484" t="s">
        <v>166</v>
      </c>
      <c r="S1484" t="s">
        <v>167</v>
      </c>
      <c r="T1484">
        <v>3004</v>
      </c>
      <c r="U1484" t="s">
        <v>168</v>
      </c>
      <c r="V1484" t="s">
        <v>169</v>
      </c>
      <c r="W1484" t="s">
        <v>170</v>
      </c>
      <c r="X1484" t="s">
        <v>171</v>
      </c>
      <c r="Y1484" t="s">
        <v>104</v>
      </c>
    </row>
    <row r="1485" spans="1:25">
      <c r="A1485">
        <v>10237</v>
      </c>
      <c r="B1485">
        <v>20</v>
      </c>
      <c r="C1485">
        <v>100</v>
      </c>
      <c r="D1485">
        <v>8</v>
      </c>
      <c r="E1485">
        <v>2299</v>
      </c>
      <c r="F1485" s="4">
        <v>38111</v>
      </c>
      <c r="G1485" t="s">
        <v>93</v>
      </c>
      <c r="H1485">
        <v>2</v>
      </c>
      <c r="I1485">
        <v>4</v>
      </c>
      <c r="J1485">
        <v>2004</v>
      </c>
      <c r="K1485" t="s">
        <v>94</v>
      </c>
      <c r="L1485">
        <v>112</v>
      </c>
      <c r="M1485" t="s">
        <v>809</v>
      </c>
      <c r="N1485" t="s">
        <v>172</v>
      </c>
      <c r="O1485">
        <v>2125551500</v>
      </c>
      <c r="P1485" t="s">
        <v>173</v>
      </c>
      <c r="Q1485" t="s">
        <v>174</v>
      </c>
      <c r="R1485" t="s">
        <v>98</v>
      </c>
      <c r="S1485" t="s">
        <v>99</v>
      </c>
      <c r="T1485">
        <v>10022</v>
      </c>
      <c r="U1485" t="s">
        <v>100</v>
      </c>
      <c r="V1485" t="s">
        <v>101</v>
      </c>
      <c r="W1485" t="s">
        <v>175</v>
      </c>
      <c r="X1485" t="s">
        <v>176</v>
      </c>
      <c r="Y1485" t="s">
        <v>104</v>
      </c>
    </row>
    <row r="1486" spans="1:25">
      <c r="A1486">
        <v>10251</v>
      </c>
      <c r="B1486">
        <v>26</v>
      </c>
      <c r="C1486">
        <v>100</v>
      </c>
      <c r="D1486">
        <v>3</v>
      </c>
      <c r="E1486">
        <v>2637.18</v>
      </c>
      <c r="F1486" t="s">
        <v>177</v>
      </c>
      <c r="G1486" t="s">
        <v>93</v>
      </c>
      <c r="H1486">
        <v>2</v>
      </c>
      <c r="I1486">
        <v>5</v>
      </c>
      <c r="J1486">
        <v>2004</v>
      </c>
      <c r="K1486" t="s">
        <v>94</v>
      </c>
      <c r="L1486">
        <v>112</v>
      </c>
      <c r="M1486" t="s">
        <v>809</v>
      </c>
      <c r="N1486" t="s">
        <v>178</v>
      </c>
      <c r="O1486">
        <v>2015559350</v>
      </c>
      <c r="P1486" t="s">
        <v>179</v>
      </c>
      <c r="R1486" t="s">
        <v>180</v>
      </c>
      <c r="S1486" t="s">
        <v>181</v>
      </c>
      <c r="T1486">
        <v>94019</v>
      </c>
      <c r="U1486" t="s">
        <v>100</v>
      </c>
      <c r="V1486" t="s">
        <v>101</v>
      </c>
      <c r="W1486" t="s">
        <v>130</v>
      </c>
      <c r="X1486" t="s">
        <v>182</v>
      </c>
      <c r="Y1486" t="s">
        <v>104</v>
      </c>
    </row>
    <row r="1487" spans="1:25">
      <c r="A1487">
        <v>10263</v>
      </c>
      <c r="B1487">
        <v>42</v>
      </c>
      <c r="C1487">
        <v>100</v>
      </c>
      <c r="D1487">
        <v>3</v>
      </c>
      <c r="E1487">
        <v>4307.5200000000004</v>
      </c>
      <c r="F1487" t="s">
        <v>183</v>
      </c>
      <c r="G1487" t="s">
        <v>93</v>
      </c>
      <c r="H1487">
        <v>2</v>
      </c>
      <c r="I1487">
        <v>6</v>
      </c>
      <c r="J1487">
        <v>2004</v>
      </c>
      <c r="K1487" t="s">
        <v>94</v>
      </c>
      <c r="L1487">
        <v>112</v>
      </c>
      <c r="M1487" t="s">
        <v>809</v>
      </c>
      <c r="N1487" t="s">
        <v>184</v>
      </c>
      <c r="O1487">
        <v>2035552570</v>
      </c>
      <c r="P1487" t="s">
        <v>185</v>
      </c>
      <c r="R1487" t="s">
        <v>186</v>
      </c>
      <c r="S1487" t="s">
        <v>187</v>
      </c>
      <c r="T1487">
        <v>97562</v>
      </c>
      <c r="U1487" t="s">
        <v>100</v>
      </c>
      <c r="V1487" t="s">
        <v>101</v>
      </c>
      <c r="W1487" t="s">
        <v>188</v>
      </c>
      <c r="X1487" t="s">
        <v>126</v>
      </c>
      <c r="Y1487" t="s">
        <v>119</v>
      </c>
    </row>
    <row r="1488" spans="1:25">
      <c r="A1488">
        <v>10275</v>
      </c>
      <c r="B1488">
        <v>21</v>
      </c>
      <c r="C1488">
        <v>100</v>
      </c>
      <c r="D1488">
        <v>2</v>
      </c>
      <c r="E1488">
        <v>2153.7600000000002</v>
      </c>
      <c r="F1488" t="s">
        <v>189</v>
      </c>
      <c r="G1488" t="s">
        <v>93</v>
      </c>
      <c r="H1488">
        <v>3</v>
      </c>
      <c r="I1488">
        <v>7</v>
      </c>
      <c r="J1488">
        <v>2004</v>
      </c>
      <c r="K1488" t="s">
        <v>94</v>
      </c>
      <c r="L1488">
        <v>112</v>
      </c>
      <c r="M1488" t="s">
        <v>809</v>
      </c>
      <c r="N1488" t="s">
        <v>190</v>
      </c>
      <c r="O1488" t="s">
        <v>191</v>
      </c>
      <c r="P1488" t="s">
        <v>192</v>
      </c>
      <c r="R1488" t="s">
        <v>193</v>
      </c>
      <c r="T1488">
        <v>44000</v>
      </c>
      <c r="U1488" t="s">
        <v>109</v>
      </c>
      <c r="V1488" t="s">
        <v>110</v>
      </c>
      <c r="W1488" t="s">
        <v>194</v>
      </c>
      <c r="X1488" t="s">
        <v>195</v>
      </c>
      <c r="Y1488" t="s">
        <v>104</v>
      </c>
    </row>
    <row r="1489" spans="1:25">
      <c r="A1489">
        <v>10285</v>
      </c>
      <c r="B1489">
        <v>34</v>
      </c>
      <c r="C1489">
        <v>100</v>
      </c>
      <c r="D1489">
        <v>7</v>
      </c>
      <c r="E1489">
        <v>3716.88</v>
      </c>
      <c r="F1489" t="s">
        <v>196</v>
      </c>
      <c r="G1489" t="s">
        <v>93</v>
      </c>
      <c r="H1489">
        <v>3</v>
      </c>
      <c r="I1489">
        <v>8</v>
      </c>
      <c r="J1489">
        <v>2004</v>
      </c>
      <c r="K1489" t="s">
        <v>94</v>
      </c>
      <c r="L1489">
        <v>112</v>
      </c>
      <c r="M1489" t="s">
        <v>809</v>
      </c>
      <c r="N1489" t="s">
        <v>197</v>
      </c>
      <c r="O1489">
        <v>6175558555</v>
      </c>
      <c r="P1489" t="s">
        <v>198</v>
      </c>
      <c r="R1489" t="s">
        <v>199</v>
      </c>
      <c r="S1489" t="s">
        <v>200</v>
      </c>
      <c r="T1489">
        <v>51247</v>
      </c>
      <c r="U1489" t="s">
        <v>100</v>
      </c>
      <c r="V1489" t="s">
        <v>101</v>
      </c>
      <c r="W1489" t="s">
        <v>201</v>
      </c>
      <c r="X1489" t="s">
        <v>202</v>
      </c>
      <c r="Y1489" t="s">
        <v>119</v>
      </c>
    </row>
    <row r="1490" spans="1:25">
      <c r="A1490">
        <v>10299</v>
      </c>
      <c r="B1490">
        <v>47</v>
      </c>
      <c r="C1490">
        <v>100</v>
      </c>
      <c r="D1490">
        <v>10</v>
      </c>
      <c r="E1490">
        <v>5455.76</v>
      </c>
      <c r="F1490" t="s">
        <v>203</v>
      </c>
      <c r="G1490" t="s">
        <v>93</v>
      </c>
      <c r="H1490">
        <v>3</v>
      </c>
      <c r="I1490">
        <v>9</v>
      </c>
      <c r="J1490">
        <v>2004</v>
      </c>
      <c r="K1490" t="s">
        <v>94</v>
      </c>
      <c r="L1490">
        <v>112</v>
      </c>
      <c r="M1490" t="s">
        <v>809</v>
      </c>
      <c r="N1490" t="s">
        <v>204</v>
      </c>
      <c r="O1490" t="s">
        <v>205</v>
      </c>
      <c r="P1490" t="s">
        <v>206</v>
      </c>
      <c r="R1490" t="s">
        <v>207</v>
      </c>
      <c r="T1490">
        <v>21240</v>
      </c>
      <c r="U1490" t="s">
        <v>208</v>
      </c>
      <c r="V1490" t="s">
        <v>110</v>
      </c>
      <c r="W1490" t="s">
        <v>209</v>
      </c>
      <c r="X1490" t="s">
        <v>210</v>
      </c>
      <c r="Y1490" t="s">
        <v>119</v>
      </c>
    </row>
    <row r="1491" spans="1:25">
      <c r="A1491">
        <v>10309</v>
      </c>
      <c r="B1491">
        <v>21</v>
      </c>
      <c r="C1491">
        <v>100</v>
      </c>
      <c r="D1491">
        <v>6</v>
      </c>
      <c r="E1491">
        <v>2650.62</v>
      </c>
      <c r="F1491" t="s">
        <v>211</v>
      </c>
      <c r="G1491" t="s">
        <v>93</v>
      </c>
      <c r="H1491">
        <v>4</v>
      </c>
      <c r="I1491">
        <v>10</v>
      </c>
      <c r="J1491">
        <v>2004</v>
      </c>
      <c r="K1491" t="s">
        <v>94</v>
      </c>
      <c r="L1491">
        <v>112</v>
      </c>
      <c r="M1491" t="s">
        <v>809</v>
      </c>
      <c r="N1491" t="s">
        <v>212</v>
      </c>
      <c r="O1491" t="s">
        <v>213</v>
      </c>
      <c r="P1491" t="s">
        <v>214</v>
      </c>
      <c r="R1491" t="s">
        <v>215</v>
      </c>
      <c r="T1491">
        <v>4110</v>
      </c>
      <c r="U1491" t="s">
        <v>149</v>
      </c>
      <c r="V1491" t="s">
        <v>110</v>
      </c>
      <c r="W1491" t="s">
        <v>216</v>
      </c>
      <c r="X1491" t="s">
        <v>217</v>
      </c>
      <c r="Y1491" t="s">
        <v>104</v>
      </c>
    </row>
    <row r="1492" spans="1:25">
      <c r="A1492">
        <v>10318</v>
      </c>
      <c r="B1492">
        <v>48</v>
      </c>
      <c r="C1492">
        <v>100</v>
      </c>
      <c r="D1492">
        <v>2</v>
      </c>
      <c r="E1492">
        <v>6437.28</v>
      </c>
      <c r="F1492" s="4">
        <v>38028</v>
      </c>
      <c r="G1492" t="s">
        <v>93</v>
      </c>
      <c r="H1492">
        <v>4</v>
      </c>
      <c r="I1492">
        <v>11</v>
      </c>
      <c r="J1492">
        <v>2004</v>
      </c>
      <c r="K1492" t="s">
        <v>94</v>
      </c>
      <c r="L1492">
        <v>112</v>
      </c>
      <c r="M1492" t="s">
        <v>809</v>
      </c>
      <c r="N1492" t="s">
        <v>218</v>
      </c>
      <c r="O1492">
        <v>2155551555</v>
      </c>
      <c r="P1492" t="s">
        <v>219</v>
      </c>
      <c r="R1492" t="s">
        <v>220</v>
      </c>
      <c r="S1492" t="s">
        <v>221</v>
      </c>
      <c r="T1492">
        <v>70267</v>
      </c>
      <c r="U1492" t="s">
        <v>100</v>
      </c>
      <c r="V1492" t="s">
        <v>101</v>
      </c>
      <c r="W1492" t="s">
        <v>102</v>
      </c>
      <c r="X1492" t="s">
        <v>222</v>
      </c>
      <c r="Y1492" t="s">
        <v>119</v>
      </c>
    </row>
    <row r="1493" spans="1:25">
      <c r="A1493">
        <v>10329</v>
      </c>
      <c r="B1493">
        <v>30</v>
      </c>
      <c r="C1493">
        <v>87.78</v>
      </c>
      <c r="D1493">
        <v>7</v>
      </c>
      <c r="E1493">
        <v>2633.4</v>
      </c>
      <c r="F1493" t="s">
        <v>223</v>
      </c>
      <c r="G1493" t="s">
        <v>93</v>
      </c>
      <c r="H1493">
        <v>4</v>
      </c>
      <c r="I1493">
        <v>11</v>
      </c>
      <c r="J1493">
        <v>2004</v>
      </c>
      <c r="K1493" t="s">
        <v>94</v>
      </c>
      <c r="L1493">
        <v>112</v>
      </c>
      <c r="M1493" t="s">
        <v>809</v>
      </c>
      <c r="N1493" t="s">
        <v>96</v>
      </c>
      <c r="O1493">
        <v>2125557818</v>
      </c>
      <c r="P1493" t="s">
        <v>97</v>
      </c>
      <c r="R1493" t="s">
        <v>98</v>
      </c>
      <c r="S1493" t="s">
        <v>99</v>
      </c>
      <c r="T1493">
        <v>10022</v>
      </c>
      <c r="U1493" t="s">
        <v>100</v>
      </c>
      <c r="V1493" t="s">
        <v>101</v>
      </c>
      <c r="W1493" t="s">
        <v>102</v>
      </c>
      <c r="X1493" t="s">
        <v>103</v>
      </c>
      <c r="Y1493" t="s">
        <v>104</v>
      </c>
    </row>
    <row r="1494" spans="1:25">
      <c r="A1494">
        <v>10339</v>
      </c>
      <c r="B1494">
        <v>27</v>
      </c>
      <c r="C1494">
        <v>84.39</v>
      </c>
      <c r="D1494">
        <v>10</v>
      </c>
      <c r="E1494">
        <v>2278.5300000000002</v>
      </c>
      <c r="F1494" t="s">
        <v>422</v>
      </c>
      <c r="G1494" t="s">
        <v>93</v>
      </c>
      <c r="H1494">
        <v>4</v>
      </c>
      <c r="I1494">
        <v>11</v>
      </c>
      <c r="J1494">
        <v>2004</v>
      </c>
      <c r="K1494" t="s">
        <v>94</v>
      </c>
      <c r="L1494">
        <v>112</v>
      </c>
      <c r="M1494" t="s">
        <v>809</v>
      </c>
      <c r="N1494" t="s">
        <v>338</v>
      </c>
      <c r="O1494" t="s">
        <v>339</v>
      </c>
      <c r="P1494" t="s">
        <v>340</v>
      </c>
      <c r="R1494" t="s">
        <v>341</v>
      </c>
      <c r="S1494" t="s">
        <v>342</v>
      </c>
      <c r="T1494" t="s">
        <v>343</v>
      </c>
      <c r="U1494" t="s">
        <v>288</v>
      </c>
      <c r="V1494" t="s">
        <v>288</v>
      </c>
      <c r="W1494" t="s">
        <v>344</v>
      </c>
      <c r="X1494" t="s">
        <v>345</v>
      </c>
      <c r="Y1494" t="s">
        <v>104</v>
      </c>
    </row>
    <row r="1495" spans="1:25">
      <c r="A1495">
        <v>10362</v>
      </c>
      <c r="B1495">
        <v>50</v>
      </c>
      <c r="C1495">
        <v>96.92</v>
      </c>
      <c r="D1495">
        <v>2</v>
      </c>
      <c r="E1495">
        <v>4846</v>
      </c>
      <c r="F1495" s="4">
        <v>38473</v>
      </c>
      <c r="G1495" t="s">
        <v>93</v>
      </c>
      <c r="H1495">
        <v>1</v>
      </c>
      <c r="I1495">
        <v>1</v>
      </c>
      <c r="J1495">
        <v>2005</v>
      </c>
      <c r="K1495" t="s">
        <v>94</v>
      </c>
      <c r="L1495">
        <v>112</v>
      </c>
      <c r="M1495" t="s">
        <v>809</v>
      </c>
      <c r="N1495" t="s">
        <v>132</v>
      </c>
      <c r="O1495">
        <v>6505556809</v>
      </c>
      <c r="P1495" t="s">
        <v>133</v>
      </c>
      <c r="R1495" t="s">
        <v>134</v>
      </c>
      <c r="S1495" t="s">
        <v>124</v>
      </c>
      <c r="T1495">
        <v>94217</v>
      </c>
      <c r="U1495" t="s">
        <v>100</v>
      </c>
      <c r="V1495" t="s">
        <v>101</v>
      </c>
      <c r="W1495" t="s">
        <v>135</v>
      </c>
      <c r="X1495" t="s">
        <v>136</v>
      </c>
      <c r="Y1495" t="s">
        <v>119</v>
      </c>
    </row>
    <row r="1496" spans="1:25">
      <c r="A1496">
        <v>10374</v>
      </c>
      <c r="B1496">
        <v>38</v>
      </c>
      <c r="C1496">
        <v>100</v>
      </c>
      <c r="D1496">
        <v>6</v>
      </c>
      <c r="E1496">
        <v>4197.1000000000004</v>
      </c>
      <c r="F1496" s="4">
        <v>38385</v>
      </c>
      <c r="G1496" t="s">
        <v>93</v>
      </c>
      <c r="H1496">
        <v>1</v>
      </c>
      <c r="I1496">
        <v>2</v>
      </c>
      <c r="J1496">
        <v>2005</v>
      </c>
      <c r="K1496" t="s">
        <v>94</v>
      </c>
      <c r="L1496">
        <v>112</v>
      </c>
      <c r="M1496" t="s">
        <v>809</v>
      </c>
      <c r="N1496" t="s">
        <v>296</v>
      </c>
      <c r="O1496" t="s">
        <v>297</v>
      </c>
      <c r="P1496" t="s">
        <v>298</v>
      </c>
      <c r="R1496" t="s">
        <v>299</v>
      </c>
      <c r="S1496" t="s">
        <v>300</v>
      </c>
      <c r="T1496">
        <v>4101</v>
      </c>
      <c r="U1496" t="s">
        <v>168</v>
      </c>
      <c r="V1496" t="s">
        <v>169</v>
      </c>
      <c r="W1496" t="s">
        <v>301</v>
      </c>
      <c r="X1496" t="s">
        <v>302</v>
      </c>
      <c r="Y1496" t="s">
        <v>119</v>
      </c>
    </row>
    <row r="1497" spans="1:25">
      <c r="A1497">
        <v>10389</v>
      </c>
      <c r="B1497">
        <v>45</v>
      </c>
      <c r="C1497">
        <v>100</v>
      </c>
      <c r="D1497">
        <v>1</v>
      </c>
      <c r="E1497">
        <v>4597.6499999999996</v>
      </c>
      <c r="F1497" s="4">
        <v>38414</v>
      </c>
      <c r="G1497" t="s">
        <v>93</v>
      </c>
      <c r="H1497">
        <v>1</v>
      </c>
      <c r="I1497">
        <v>3</v>
      </c>
      <c r="J1497">
        <v>2005</v>
      </c>
      <c r="K1497" t="s">
        <v>94</v>
      </c>
      <c r="L1497">
        <v>112</v>
      </c>
      <c r="M1497" t="s">
        <v>809</v>
      </c>
      <c r="N1497" t="s">
        <v>355</v>
      </c>
      <c r="O1497" t="s">
        <v>356</v>
      </c>
      <c r="P1497" t="s">
        <v>357</v>
      </c>
      <c r="R1497" t="s">
        <v>358</v>
      </c>
      <c r="T1497" t="s">
        <v>359</v>
      </c>
      <c r="U1497" t="s">
        <v>273</v>
      </c>
      <c r="V1497" t="s">
        <v>110</v>
      </c>
      <c r="W1497" t="s">
        <v>360</v>
      </c>
      <c r="X1497" t="s">
        <v>295</v>
      </c>
      <c r="Y1497" t="s">
        <v>119</v>
      </c>
    </row>
    <row r="1498" spans="1:25">
      <c r="A1498">
        <v>10403</v>
      </c>
      <c r="B1498">
        <v>46</v>
      </c>
      <c r="C1498">
        <v>100</v>
      </c>
      <c r="D1498">
        <v>8</v>
      </c>
      <c r="E1498">
        <v>5287.7</v>
      </c>
      <c r="F1498" s="4">
        <v>38568</v>
      </c>
      <c r="G1498" t="s">
        <v>93</v>
      </c>
      <c r="H1498">
        <v>2</v>
      </c>
      <c r="I1498">
        <v>4</v>
      </c>
      <c r="J1498">
        <v>2005</v>
      </c>
      <c r="K1498" t="s">
        <v>94</v>
      </c>
      <c r="L1498">
        <v>112</v>
      </c>
      <c r="M1498" t="s">
        <v>809</v>
      </c>
      <c r="N1498" t="s">
        <v>247</v>
      </c>
      <c r="O1498" t="s">
        <v>248</v>
      </c>
      <c r="P1498" t="s">
        <v>249</v>
      </c>
      <c r="R1498" t="s">
        <v>250</v>
      </c>
      <c r="T1498" t="s">
        <v>251</v>
      </c>
      <c r="U1498" t="s">
        <v>252</v>
      </c>
      <c r="V1498" t="s">
        <v>110</v>
      </c>
      <c r="W1498" t="s">
        <v>253</v>
      </c>
      <c r="X1498" t="s">
        <v>254</v>
      </c>
      <c r="Y1498" t="s">
        <v>119</v>
      </c>
    </row>
    <row r="1499" spans="1:25">
      <c r="A1499">
        <v>10417</v>
      </c>
      <c r="B1499">
        <v>35</v>
      </c>
      <c r="C1499">
        <v>100</v>
      </c>
      <c r="D1499">
        <v>3</v>
      </c>
      <c r="E1499">
        <v>3550.05</v>
      </c>
      <c r="F1499" t="s">
        <v>255</v>
      </c>
      <c r="G1499" t="s">
        <v>256</v>
      </c>
      <c r="H1499">
        <v>2</v>
      </c>
      <c r="I1499">
        <v>5</v>
      </c>
      <c r="J1499">
        <v>2005</v>
      </c>
      <c r="K1499" t="s">
        <v>94</v>
      </c>
      <c r="L1499">
        <v>112</v>
      </c>
      <c r="M1499" t="s">
        <v>809</v>
      </c>
      <c r="N1499" t="s">
        <v>257</v>
      </c>
      <c r="O1499" t="s">
        <v>258</v>
      </c>
      <c r="P1499" t="s">
        <v>259</v>
      </c>
      <c r="R1499" t="s">
        <v>260</v>
      </c>
      <c r="T1499">
        <v>28034</v>
      </c>
      <c r="U1499" t="s">
        <v>261</v>
      </c>
      <c r="V1499" t="s">
        <v>110</v>
      </c>
      <c r="W1499" t="s">
        <v>262</v>
      </c>
      <c r="X1499" t="s">
        <v>263</v>
      </c>
      <c r="Y1499" t="s">
        <v>119</v>
      </c>
    </row>
    <row r="1500" spans="1:25">
      <c r="A1500">
        <v>10110</v>
      </c>
      <c r="B1500">
        <v>29</v>
      </c>
      <c r="C1500">
        <v>59.37</v>
      </c>
      <c r="D1500">
        <v>15</v>
      </c>
      <c r="E1500">
        <v>1721.73</v>
      </c>
      <c r="F1500" t="s">
        <v>720</v>
      </c>
      <c r="G1500" t="s">
        <v>93</v>
      </c>
      <c r="H1500">
        <v>1</v>
      </c>
      <c r="I1500">
        <v>3</v>
      </c>
      <c r="J1500">
        <v>2003</v>
      </c>
      <c r="K1500" t="s">
        <v>265</v>
      </c>
      <c r="L1500">
        <v>50</v>
      </c>
      <c r="M1500" t="s">
        <v>810</v>
      </c>
      <c r="N1500" t="s">
        <v>624</v>
      </c>
      <c r="O1500" t="s">
        <v>625</v>
      </c>
      <c r="P1500" t="s">
        <v>626</v>
      </c>
      <c r="R1500" t="s">
        <v>627</v>
      </c>
      <c r="T1500" t="s">
        <v>628</v>
      </c>
      <c r="U1500" t="s">
        <v>252</v>
      </c>
      <c r="V1500" t="s">
        <v>110</v>
      </c>
      <c r="W1500" t="s">
        <v>629</v>
      </c>
      <c r="X1500" t="s">
        <v>167</v>
      </c>
      <c r="Y1500" t="s">
        <v>104</v>
      </c>
    </row>
    <row r="1501" spans="1:25">
      <c r="A1501">
        <v>10123</v>
      </c>
      <c r="B1501">
        <v>50</v>
      </c>
      <c r="C1501">
        <v>59.87</v>
      </c>
      <c r="D1501">
        <v>1</v>
      </c>
      <c r="E1501">
        <v>2993.5</v>
      </c>
      <c r="F1501" t="s">
        <v>722</v>
      </c>
      <c r="G1501" t="s">
        <v>93</v>
      </c>
      <c r="H1501">
        <v>2</v>
      </c>
      <c r="I1501">
        <v>5</v>
      </c>
      <c r="J1501">
        <v>2003</v>
      </c>
      <c r="K1501" t="s">
        <v>265</v>
      </c>
      <c r="L1501">
        <v>50</v>
      </c>
      <c r="M1501" t="s">
        <v>810</v>
      </c>
      <c r="N1501" t="s">
        <v>414</v>
      </c>
      <c r="O1501" t="s">
        <v>415</v>
      </c>
      <c r="P1501" t="s">
        <v>416</v>
      </c>
      <c r="R1501" t="s">
        <v>193</v>
      </c>
      <c r="T1501">
        <v>44000</v>
      </c>
      <c r="U1501" t="s">
        <v>109</v>
      </c>
      <c r="V1501" t="s">
        <v>110</v>
      </c>
      <c r="W1501" t="s">
        <v>417</v>
      </c>
      <c r="X1501" t="s">
        <v>418</v>
      </c>
      <c r="Y1501" t="s">
        <v>104</v>
      </c>
    </row>
    <row r="1502" spans="1:25">
      <c r="A1502">
        <v>10137</v>
      </c>
      <c r="B1502">
        <v>26</v>
      </c>
      <c r="C1502">
        <v>49.81</v>
      </c>
      <c r="D1502">
        <v>1</v>
      </c>
      <c r="E1502">
        <v>1295.06</v>
      </c>
      <c r="F1502" s="4">
        <v>37901</v>
      </c>
      <c r="G1502" t="s">
        <v>93</v>
      </c>
      <c r="H1502">
        <v>3</v>
      </c>
      <c r="I1502">
        <v>7</v>
      </c>
      <c r="J1502">
        <v>2003</v>
      </c>
      <c r="K1502" t="s">
        <v>265</v>
      </c>
      <c r="L1502">
        <v>50</v>
      </c>
      <c r="M1502" t="s">
        <v>810</v>
      </c>
      <c r="N1502" t="s">
        <v>105</v>
      </c>
      <c r="O1502" t="s">
        <v>106</v>
      </c>
      <c r="P1502" t="s">
        <v>107</v>
      </c>
      <c r="R1502" t="s">
        <v>108</v>
      </c>
      <c r="T1502">
        <v>51100</v>
      </c>
      <c r="U1502" t="s">
        <v>109</v>
      </c>
      <c r="V1502" t="s">
        <v>110</v>
      </c>
      <c r="W1502" t="s">
        <v>111</v>
      </c>
      <c r="X1502" t="s">
        <v>112</v>
      </c>
      <c r="Y1502" t="s">
        <v>104</v>
      </c>
    </row>
    <row r="1503" spans="1:25">
      <c r="A1503">
        <v>10148</v>
      </c>
      <c r="B1503">
        <v>47</v>
      </c>
      <c r="C1503">
        <v>56.85</v>
      </c>
      <c r="D1503">
        <v>8</v>
      </c>
      <c r="E1503">
        <v>2671.95</v>
      </c>
      <c r="F1503" s="4">
        <v>37934</v>
      </c>
      <c r="G1503" t="s">
        <v>93</v>
      </c>
      <c r="H1503">
        <v>3</v>
      </c>
      <c r="I1503">
        <v>9</v>
      </c>
      <c r="J1503">
        <v>2003</v>
      </c>
      <c r="K1503" t="s">
        <v>265</v>
      </c>
      <c r="L1503">
        <v>50</v>
      </c>
      <c r="M1503" t="s">
        <v>810</v>
      </c>
      <c r="N1503" t="s">
        <v>384</v>
      </c>
      <c r="O1503" t="s">
        <v>385</v>
      </c>
      <c r="P1503" t="s">
        <v>386</v>
      </c>
      <c r="Q1503" t="s">
        <v>387</v>
      </c>
      <c r="R1503" t="s">
        <v>388</v>
      </c>
      <c r="S1503" t="s">
        <v>239</v>
      </c>
      <c r="T1503">
        <v>2060</v>
      </c>
      <c r="U1503" t="s">
        <v>168</v>
      </c>
      <c r="V1503" t="s">
        <v>169</v>
      </c>
      <c r="W1503" t="s">
        <v>389</v>
      </c>
      <c r="X1503" t="s">
        <v>390</v>
      </c>
      <c r="Y1503" t="s">
        <v>104</v>
      </c>
    </row>
    <row r="1504" spans="1:25">
      <c r="A1504">
        <v>10161</v>
      </c>
      <c r="B1504">
        <v>23</v>
      </c>
      <c r="C1504">
        <v>53.33</v>
      </c>
      <c r="D1504">
        <v>7</v>
      </c>
      <c r="E1504">
        <v>1226.5899999999999</v>
      </c>
      <c r="F1504" t="s">
        <v>682</v>
      </c>
      <c r="G1504" t="s">
        <v>93</v>
      </c>
      <c r="H1504">
        <v>4</v>
      </c>
      <c r="I1504">
        <v>10</v>
      </c>
      <c r="J1504">
        <v>2003</v>
      </c>
      <c r="K1504" t="s">
        <v>265</v>
      </c>
      <c r="L1504">
        <v>50</v>
      </c>
      <c r="M1504" t="s">
        <v>810</v>
      </c>
      <c r="N1504" t="s">
        <v>630</v>
      </c>
      <c r="O1504" t="s">
        <v>631</v>
      </c>
      <c r="P1504" t="s">
        <v>632</v>
      </c>
      <c r="R1504" t="s">
        <v>633</v>
      </c>
      <c r="T1504">
        <v>8200</v>
      </c>
      <c r="U1504" t="s">
        <v>429</v>
      </c>
      <c r="V1504" t="s">
        <v>110</v>
      </c>
      <c r="W1504" t="s">
        <v>634</v>
      </c>
      <c r="X1504" t="s">
        <v>635</v>
      </c>
      <c r="Y1504" t="s">
        <v>104</v>
      </c>
    </row>
    <row r="1505" spans="1:25">
      <c r="A1505">
        <v>10172</v>
      </c>
      <c r="B1505">
        <v>34</v>
      </c>
      <c r="C1505">
        <v>42.76</v>
      </c>
      <c r="D1505">
        <v>5</v>
      </c>
      <c r="E1505">
        <v>1453.84</v>
      </c>
      <c r="F1505" s="4">
        <v>37752</v>
      </c>
      <c r="G1505" t="s">
        <v>93</v>
      </c>
      <c r="H1505">
        <v>4</v>
      </c>
      <c r="I1505">
        <v>11</v>
      </c>
      <c r="J1505">
        <v>2003</v>
      </c>
      <c r="K1505" t="s">
        <v>265</v>
      </c>
      <c r="L1505">
        <v>50</v>
      </c>
      <c r="M1505" t="s">
        <v>810</v>
      </c>
      <c r="N1505" t="s">
        <v>184</v>
      </c>
      <c r="O1505">
        <v>2035552570</v>
      </c>
      <c r="P1505" t="s">
        <v>185</v>
      </c>
      <c r="R1505" t="s">
        <v>186</v>
      </c>
      <c r="S1505" t="s">
        <v>187</v>
      </c>
      <c r="T1505">
        <v>97562</v>
      </c>
      <c r="U1505" t="s">
        <v>100</v>
      </c>
      <c r="V1505" t="s">
        <v>101</v>
      </c>
      <c r="W1505" t="s">
        <v>188</v>
      </c>
      <c r="X1505" t="s">
        <v>126</v>
      </c>
      <c r="Y1505" t="s">
        <v>104</v>
      </c>
    </row>
    <row r="1506" spans="1:25">
      <c r="A1506">
        <v>10181</v>
      </c>
      <c r="B1506">
        <v>34</v>
      </c>
      <c r="C1506">
        <v>53.83</v>
      </c>
      <c r="D1506">
        <v>1</v>
      </c>
      <c r="E1506">
        <v>1830.22</v>
      </c>
      <c r="F1506" s="4">
        <v>37966</v>
      </c>
      <c r="G1506" t="s">
        <v>93</v>
      </c>
      <c r="H1506">
        <v>4</v>
      </c>
      <c r="I1506">
        <v>11</v>
      </c>
      <c r="J1506">
        <v>2003</v>
      </c>
      <c r="K1506" t="s">
        <v>265</v>
      </c>
      <c r="L1506">
        <v>50</v>
      </c>
      <c r="M1506" t="s">
        <v>810</v>
      </c>
      <c r="N1506" t="s">
        <v>144</v>
      </c>
      <c r="O1506" t="s">
        <v>145</v>
      </c>
      <c r="P1506" t="s">
        <v>146</v>
      </c>
      <c r="R1506" t="s">
        <v>147</v>
      </c>
      <c r="T1506" t="s">
        <v>148</v>
      </c>
      <c r="U1506" t="s">
        <v>149</v>
      </c>
      <c r="V1506" t="s">
        <v>110</v>
      </c>
      <c r="W1506" t="s">
        <v>150</v>
      </c>
      <c r="X1506" t="s">
        <v>151</v>
      </c>
      <c r="Y1506" t="s">
        <v>104</v>
      </c>
    </row>
    <row r="1507" spans="1:25">
      <c r="A1507">
        <v>10192</v>
      </c>
      <c r="B1507">
        <v>47</v>
      </c>
      <c r="C1507">
        <v>53.83</v>
      </c>
      <c r="D1507">
        <v>6</v>
      </c>
      <c r="E1507">
        <v>2530.0100000000002</v>
      </c>
      <c r="F1507" t="s">
        <v>561</v>
      </c>
      <c r="G1507" t="s">
        <v>93</v>
      </c>
      <c r="H1507">
        <v>4</v>
      </c>
      <c r="I1507">
        <v>11</v>
      </c>
      <c r="J1507">
        <v>2003</v>
      </c>
      <c r="K1507" t="s">
        <v>265</v>
      </c>
      <c r="L1507">
        <v>50</v>
      </c>
      <c r="M1507" t="s">
        <v>810</v>
      </c>
      <c r="N1507" t="s">
        <v>372</v>
      </c>
      <c r="O1507">
        <v>6035558647</v>
      </c>
      <c r="P1507" t="s">
        <v>373</v>
      </c>
      <c r="R1507" t="s">
        <v>374</v>
      </c>
      <c r="S1507" t="s">
        <v>375</v>
      </c>
      <c r="T1507">
        <v>62005</v>
      </c>
      <c r="U1507" t="s">
        <v>100</v>
      </c>
      <c r="V1507" t="s">
        <v>101</v>
      </c>
      <c r="W1507" t="s">
        <v>125</v>
      </c>
      <c r="X1507" t="s">
        <v>371</v>
      </c>
      <c r="Y1507" t="s">
        <v>104</v>
      </c>
    </row>
    <row r="1508" spans="1:25">
      <c r="A1508">
        <v>10204</v>
      </c>
      <c r="B1508">
        <v>45</v>
      </c>
      <c r="C1508">
        <v>49.81</v>
      </c>
      <c r="D1508">
        <v>12</v>
      </c>
      <c r="E1508">
        <v>2241.4499999999998</v>
      </c>
      <c r="F1508" s="4">
        <v>37664</v>
      </c>
      <c r="G1508" t="s">
        <v>93</v>
      </c>
      <c r="H1508">
        <v>4</v>
      </c>
      <c r="I1508">
        <v>12</v>
      </c>
      <c r="J1508">
        <v>2003</v>
      </c>
      <c r="K1508" t="s">
        <v>265</v>
      </c>
      <c r="L1508">
        <v>50</v>
      </c>
      <c r="M1508" t="s">
        <v>810</v>
      </c>
      <c r="N1508" t="s">
        <v>603</v>
      </c>
      <c r="O1508">
        <v>2125557413</v>
      </c>
      <c r="P1508" t="s">
        <v>604</v>
      </c>
      <c r="Q1508" t="s">
        <v>605</v>
      </c>
      <c r="R1508" t="s">
        <v>98</v>
      </c>
      <c r="S1508" t="s">
        <v>99</v>
      </c>
      <c r="T1508">
        <v>10022</v>
      </c>
      <c r="U1508" t="s">
        <v>100</v>
      </c>
      <c r="V1508" t="s">
        <v>101</v>
      </c>
      <c r="W1508" t="s">
        <v>125</v>
      </c>
      <c r="X1508" t="s">
        <v>606</v>
      </c>
      <c r="Y1508" t="s">
        <v>104</v>
      </c>
    </row>
    <row r="1509" spans="1:25">
      <c r="A1509">
        <v>10212</v>
      </c>
      <c r="B1509">
        <v>45</v>
      </c>
      <c r="C1509">
        <v>53.33</v>
      </c>
      <c r="D1509">
        <v>5</v>
      </c>
      <c r="E1509">
        <v>2399.85</v>
      </c>
      <c r="F1509" t="s">
        <v>653</v>
      </c>
      <c r="G1509" t="s">
        <v>93</v>
      </c>
      <c r="H1509">
        <v>1</v>
      </c>
      <c r="I1509">
        <v>1</v>
      </c>
      <c r="J1509">
        <v>2004</v>
      </c>
      <c r="K1509" t="s">
        <v>265</v>
      </c>
      <c r="L1509">
        <v>50</v>
      </c>
      <c r="M1509" t="s">
        <v>810</v>
      </c>
      <c r="N1509" t="s">
        <v>257</v>
      </c>
      <c r="O1509" t="s">
        <v>258</v>
      </c>
      <c r="P1509" t="s">
        <v>259</v>
      </c>
      <c r="R1509" t="s">
        <v>260</v>
      </c>
      <c r="T1509">
        <v>28034</v>
      </c>
      <c r="U1509" t="s">
        <v>261</v>
      </c>
      <c r="V1509" t="s">
        <v>110</v>
      </c>
      <c r="W1509" t="s">
        <v>262</v>
      </c>
      <c r="X1509" t="s">
        <v>263</v>
      </c>
      <c r="Y1509" t="s">
        <v>104</v>
      </c>
    </row>
    <row r="1510" spans="1:25">
      <c r="A1510">
        <v>10226</v>
      </c>
      <c r="B1510">
        <v>36</v>
      </c>
      <c r="C1510">
        <v>43.27</v>
      </c>
      <c r="D1510">
        <v>3</v>
      </c>
      <c r="E1510">
        <v>1557.72</v>
      </c>
      <c r="F1510" t="s">
        <v>723</v>
      </c>
      <c r="G1510" t="s">
        <v>93</v>
      </c>
      <c r="H1510">
        <v>1</v>
      </c>
      <c r="I1510">
        <v>2</v>
      </c>
      <c r="J1510">
        <v>2004</v>
      </c>
      <c r="K1510" t="s">
        <v>265</v>
      </c>
      <c r="L1510">
        <v>50</v>
      </c>
      <c r="M1510" t="s">
        <v>810</v>
      </c>
      <c r="N1510" t="s">
        <v>470</v>
      </c>
      <c r="O1510">
        <v>7605558146</v>
      </c>
      <c r="P1510" t="s">
        <v>471</v>
      </c>
      <c r="R1510" t="s">
        <v>472</v>
      </c>
      <c r="S1510" t="s">
        <v>124</v>
      </c>
      <c r="T1510">
        <v>91217</v>
      </c>
      <c r="U1510" t="s">
        <v>100</v>
      </c>
      <c r="V1510" t="s">
        <v>101</v>
      </c>
      <c r="W1510" t="s">
        <v>6</v>
      </c>
      <c r="X1510" t="s">
        <v>371</v>
      </c>
      <c r="Y1510" t="s">
        <v>104</v>
      </c>
    </row>
    <row r="1511" spans="1:25">
      <c r="A1511">
        <v>10241</v>
      </c>
      <c r="B1511">
        <v>21</v>
      </c>
      <c r="C1511">
        <v>40.25</v>
      </c>
      <c r="D1511">
        <v>10</v>
      </c>
      <c r="E1511">
        <v>845.25</v>
      </c>
      <c r="F1511" t="s">
        <v>683</v>
      </c>
      <c r="G1511" t="s">
        <v>93</v>
      </c>
      <c r="H1511">
        <v>2</v>
      </c>
      <c r="I1511">
        <v>4</v>
      </c>
      <c r="J1511">
        <v>2004</v>
      </c>
      <c r="K1511" t="s">
        <v>265</v>
      </c>
      <c r="L1511">
        <v>50</v>
      </c>
      <c r="M1511" t="s">
        <v>810</v>
      </c>
      <c r="N1511" t="s">
        <v>674</v>
      </c>
      <c r="O1511" t="s">
        <v>675</v>
      </c>
      <c r="P1511" t="s">
        <v>676</v>
      </c>
      <c r="R1511" t="s">
        <v>677</v>
      </c>
      <c r="T1511">
        <v>67000</v>
      </c>
      <c r="U1511" t="s">
        <v>109</v>
      </c>
      <c r="V1511" t="s">
        <v>110</v>
      </c>
      <c r="W1511" t="s">
        <v>678</v>
      </c>
      <c r="X1511" t="s">
        <v>679</v>
      </c>
      <c r="Y1511" t="s">
        <v>104</v>
      </c>
    </row>
    <row r="1512" spans="1:25">
      <c r="A1512">
        <v>10266</v>
      </c>
      <c r="B1512">
        <v>28</v>
      </c>
      <c r="C1512">
        <v>48.3</v>
      </c>
      <c r="D1512">
        <v>1</v>
      </c>
      <c r="E1512">
        <v>1352.4</v>
      </c>
      <c r="F1512" s="4">
        <v>38145</v>
      </c>
      <c r="G1512" t="s">
        <v>93</v>
      </c>
      <c r="H1512">
        <v>3</v>
      </c>
      <c r="I1512">
        <v>7</v>
      </c>
      <c r="J1512">
        <v>2004</v>
      </c>
      <c r="K1512" t="s">
        <v>265</v>
      </c>
      <c r="L1512">
        <v>50</v>
      </c>
      <c r="M1512" t="s">
        <v>810</v>
      </c>
      <c r="N1512" t="s">
        <v>576</v>
      </c>
      <c r="O1512" t="s">
        <v>577</v>
      </c>
      <c r="P1512" t="s">
        <v>578</v>
      </c>
      <c r="R1512" t="s">
        <v>579</v>
      </c>
      <c r="T1512">
        <v>42100</v>
      </c>
      <c r="U1512" t="s">
        <v>352</v>
      </c>
      <c r="V1512" t="s">
        <v>110</v>
      </c>
      <c r="W1512" t="s">
        <v>580</v>
      </c>
      <c r="X1512" t="s">
        <v>581</v>
      </c>
      <c r="Y1512" t="s">
        <v>104</v>
      </c>
    </row>
    <row r="1513" spans="1:25">
      <c r="A1513">
        <v>10278</v>
      </c>
      <c r="B1513">
        <v>35</v>
      </c>
      <c r="C1513">
        <v>45.28</v>
      </c>
      <c r="D1513">
        <v>1</v>
      </c>
      <c r="E1513">
        <v>1584.8</v>
      </c>
      <c r="F1513" s="4">
        <v>38146</v>
      </c>
      <c r="G1513" t="s">
        <v>93</v>
      </c>
      <c r="H1513">
        <v>3</v>
      </c>
      <c r="I1513">
        <v>8</v>
      </c>
      <c r="J1513">
        <v>2004</v>
      </c>
      <c r="K1513" t="s">
        <v>265</v>
      </c>
      <c r="L1513">
        <v>50</v>
      </c>
      <c r="M1513" t="s">
        <v>810</v>
      </c>
      <c r="N1513" t="s">
        <v>684</v>
      </c>
      <c r="O1513">
        <v>7025551838</v>
      </c>
      <c r="P1513" t="s">
        <v>685</v>
      </c>
      <c r="R1513" t="s">
        <v>686</v>
      </c>
      <c r="S1513" t="s">
        <v>687</v>
      </c>
      <c r="T1513">
        <v>83030</v>
      </c>
      <c r="U1513" t="s">
        <v>100</v>
      </c>
      <c r="V1513" t="s">
        <v>101</v>
      </c>
      <c r="W1513" t="s">
        <v>188</v>
      </c>
      <c r="X1513" t="s">
        <v>517</v>
      </c>
      <c r="Y1513" t="s">
        <v>104</v>
      </c>
    </row>
    <row r="1514" spans="1:25">
      <c r="A1514">
        <v>10288</v>
      </c>
      <c r="B1514">
        <v>50</v>
      </c>
      <c r="C1514">
        <v>52.32</v>
      </c>
      <c r="D1514">
        <v>13</v>
      </c>
      <c r="E1514">
        <v>2616</v>
      </c>
      <c r="F1514" s="4">
        <v>37995</v>
      </c>
      <c r="G1514" t="s">
        <v>93</v>
      </c>
      <c r="H1514">
        <v>3</v>
      </c>
      <c r="I1514">
        <v>9</v>
      </c>
      <c r="J1514">
        <v>2004</v>
      </c>
      <c r="K1514" t="s">
        <v>265</v>
      </c>
      <c r="L1514">
        <v>50</v>
      </c>
      <c r="M1514" t="s">
        <v>810</v>
      </c>
      <c r="N1514" t="s">
        <v>536</v>
      </c>
      <c r="O1514" t="s">
        <v>537</v>
      </c>
      <c r="P1514" t="s">
        <v>538</v>
      </c>
      <c r="Q1514" t="s">
        <v>539</v>
      </c>
      <c r="R1514" t="s">
        <v>287</v>
      </c>
      <c r="T1514">
        <v>69045</v>
      </c>
      <c r="U1514" t="s">
        <v>287</v>
      </c>
      <c r="V1514" t="s">
        <v>169</v>
      </c>
      <c r="W1514" t="s">
        <v>540</v>
      </c>
      <c r="X1514" t="s">
        <v>541</v>
      </c>
      <c r="Y1514" t="s">
        <v>104</v>
      </c>
    </row>
    <row r="1515" spans="1:25">
      <c r="A1515">
        <v>10301</v>
      </c>
      <c r="B1515">
        <v>22</v>
      </c>
      <c r="C1515">
        <v>51.32</v>
      </c>
      <c r="D1515">
        <v>3</v>
      </c>
      <c r="E1515">
        <v>1129.04</v>
      </c>
      <c r="F1515" s="4">
        <v>37751</v>
      </c>
      <c r="G1515" t="s">
        <v>93</v>
      </c>
      <c r="H1515">
        <v>4</v>
      </c>
      <c r="I1515">
        <v>10</v>
      </c>
      <c r="J1515">
        <v>2003</v>
      </c>
      <c r="K1515" t="s">
        <v>265</v>
      </c>
      <c r="L1515">
        <v>50</v>
      </c>
      <c r="M1515" t="s">
        <v>810</v>
      </c>
      <c r="N1515" t="s">
        <v>688</v>
      </c>
      <c r="O1515" t="s">
        <v>689</v>
      </c>
      <c r="P1515" t="s">
        <v>690</v>
      </c>
      <c r="R1515" t="s">
        <v>691</v>
      </c>
      <c r="T1515" t="s">
        <v>692</v>
      </c>
      <c r="U1515" t="s">
        <v>149</v>
      </c>
      <c r="V1515" t="s">
        <v>110</v>
      </c>
      <c r="W1515" t="s">
        <v>693</v>
      </c>
      <c r="X1515" t="s">
        <v>694</v>
      </c>
      <c r="Y1515" t="s">
        <v>104</v>
      </c>
    </row>
    <row r="1516" spans="1:25">
      <c r="A1516">
        <v>10311</v>
      </c>
      <c r="B1516">
        <v>45</v>
      </c>
      <c r="C1516">
        <v>49.3</v>
      </c>
      <c r="D1516">
        <v>8</v>
      </c>
      <c r="E1516">
        <v>2218.5</v>
      </c>
      <c r="F1516" t="s">
        <v>592</v>
      </c>
      <c r="G1516" t="s">
        <v>93</v>
      </c>
      <c r="H1516">
        <v>4</v>
      </c>
      <c r="I1516">
        <v>10</v>
      </c>
      <c r="J1516">
        <v>2004</v>
      </c>
      <c r="K1516" t="s">
        <v>265</v>
      </c>
      <c r="L1516">
        <v>50</v>
      </c>
      <c r="M1516" t="s">
        <v>810</v>
      </c>
      <c r="N1516" t="s">
        <v>257</v>
      </c>
      <c r="O1516" t="s">
        <v>258</v>
      </c>
      <c r="P1516" t="s">
        <v>259</v>
      </c>
      <c r="R1516" t="s">
        <v>260</v>
      </c>
      <c r="T1516">
        <v>28034</v>
      </c>
      <c r="U1516" t="s">
        <v>261</v>
      </c>
      <c r="V1516" t="s">
        <v>110</v>
      </c>
      <c r="W1516" t="s">
        <v>262</v>
      </c>
      <c r="X1516" t="s">
        <v>263</v>
      </c>
      <c r="Y1516" t="s">
        <v>104</v>
      </c>
    </row>
    <row r="1517" spans="1:25">
      <c r="A1517">
        <v>10321</v>
      </c>
      <c r="B1517">
        <v>48</v>
      </c>
      <c r="C1517">
        <v>42.26</v>
      </c>
      <c r="D1517">
        <v>5</v>
      </c>
      <c r="E1517">
        <v>2028.48</v>
      </c>
      <c r="F1517" s="4">
        <v>38088</v>
      </c>
      <c r="G1517" t="s">
        <v>93</v>
      </c>
      <c r="H1517">
        <v>4</v>
      </c>
      <c r="I1517">
        <v>11</v>
      </c>
      <c r="J1517">
        <v>2004</v>
      </c>
      <c r="K1517" t="s">
        <v>265</v>
      </c>
      <c r="L1517">
        <v>50</v>
      </c>
      <c r="M1517" t="s">
        <v>810</v>
      </c>
      <c r="N1517" t="s">
        <v>242</v>
      </c>
      <c r="O1517">
        <v>5085552555</v>
      </c>
      <c r="P1517" t="s">
        <v>243</v>
      </c>
      <c r="R1517" t="s">
        <v>244</v>
      </c>
      <c r="S1517" t="s">
        <v>200</v>
      </c>
      <c r="T1517">
        <v>50553</v>
      </c>
      <c r="U1517" t="s">
        <v>100</v>
      </c>
      <c r="V1517" t="s">
        <v>101</v>
      </c>
      <c r="W1517" t="s">
        <v>245</v>
      </c>
      <c r="X1517" t="s">
        <v>246</v>
      </c>
      <c r="Y1517" t="s">
        <v>104</v>
      </c>
    </row>
    <row r="1518" spans="1:25">
      <c r="A1518">
        <v>10332</v>
      </c>
      <c r="B1518">
        <v>20</v>
      </c>
      <c r="C1518">
        <v>87.96</v>
      </c>
      <c r="D1518">
        <v>5</v>
      </c>
      <c r="E1518">
        <v>1759.2</v>
      </c>
      <c r="F1518" t="s">
        <v>695</v>
      </c>
      <c r="G1518" t="s">
        <v>93</v>
      </c>
      <c r="H1518">
        <v>4</v>
      </c>
      <c r="I1518">
        <v>11</v>
      </c>
      <c r="J1518">
        <v>2004</v>
      </c>
      <c r="K1518" t="s">
        <v>265</v>
      </c>
      <c r="L1518">
        <v>50</v>
      </c>
      <c r="M1518" t="s">
        <v>810</v>
      </c>
      <c r="N1518" t="s">
        <v>624</v>
      </c>
      <c r="O1518" t="s">
        <v>625</v>
      </c>
      <c r="P1518" t="s">
        <v>626</v>
      </c>
      <c r="R1518" t="s">
        <v>627</v>
      </c>
      <c r="T1518" t="s">
        <v>628</v>
      </c>
      <c r="U1518" t="s">
        <v>252</v>
      </c>
      <c r="V1518" t="s">
        <v>110</v>
      </c>
      <c r="W1518" t="s">
        <v>629</v>
      </c>
      <c r="X1518" t="s">
        <v>167</v>
      </c>
      <c r="Y1518" t="s">
        <v>104</v>
      </c>
    </row>
    <row r="1519" spans="1:25">
      <c r="A1519">
        <v>10343</v>
      </c>
      <c r="B1519">
        <v>27</v>
      </c>
      <c r="C1519">
        <v>36.21</v>
      </c>
      <c r="D1519">
        <v>6</v>
      </c>
      <c r="E1519">
        <v>977.67</v>
      </c>
      <c r="F1519" t="s">
        <v>224</v>
      </c>
      <c r="G1519" t="s">
        <v>93</v>
      </c>
      <c r="H1519">
        <v>4</v>
      </c>
      <c r="I1519">
        <v>11</v>
      </c>
      <c r="J1519">
        <v>2004</v>
      </c>
      <c r="K1519" t="s">
        <v>265</v>
      </c>
      <c r="L1519">
        <v>50</v>
      </c>
      <c r="M1519" t="s">
        <v>810</v>
      </c>
      <c r="N1519" t="s">
        <v>105</v>
      </c>
      <c r="O1519" t="s">
        <v>106</v>
      </c>
      <c r="P1519" t="s">
        <v>107</v>
      </c>
      <c r="R1519" t="s">
        <v>108</v>
      </c>
      <c r="T1519">
        <v>51100</v>
      </c>
      <c r="U1519" t="s">
        <v>109</v>
      </c>
      <c r="V1519" t="s">
        <v>110</v>
      </c>
      <c r="W1519" t="s">
        <v>111</v>
      </c>
      <c r="X1519" t="s">
        <v>112</v>
      </c>
      <c r="Y1519" t="s">
        <v>104</v>
      </c>
    </row>
    <row r="1520" spans="1:25">
      <c r="A1520">
        <v>10367</v>
      </c>
      <c r="B1520">
        <v>38</v>
      </c>
      <c r="C1520">
        <v>38.5</v>
      </c>
      <c r="D1520">
        <v>11</v>
      </c>
      <c r="E1520">
        <v>1463</v>
      </c>
      <c r="F1520" s="4">
        <v>38687</v>
      </c>
      <c r="G1520" t="s">
        <v>526</v>
      </c>
      <c r="H1520">
        <v>1</v>
      </c>
      <c r="I1520">
        <v>1</v>
      </c>
      <c r="J1520">
        <v>2005</v>
      </c>
      <c r="K1520" t="s">
        <v>265</v>
      </c>
      <c r="L1520">
        <v>50</v>
      </c>
      <c r="M1520" t="s">
        <v>810</v>
      </c>
      <c r="N1520" t="s">
        <v>121</v>
      </c>
      <c r="O1520">
        <v>6265557265</v>
      </c>
      <c r="P1520" t="s">
        <v>122</v>
      </c>
      <c r="R1520" t="s">
        <v>123</v>
      </c>
      <c r="S1520" t="s">
        <v>124</v>
      </c>
      <c r="T1520">
        <v>90003</v>
      </c>
      <c r="U1520" t="s">
        <v>100</v>
      </c>
      <c r="V1520" t="s">
        <v>101</v>
      </c>
      <c r="W1520" t="s">
        <v>125</v>
      </c>
      <c r="X1520" t="s">
        <v>126</v>
      </c>
      <c r="Y1520" t="s">
        <v>104</v>
      </c>
    </row>
    <row r="1521" spans="1:25">
      <c r="A1521">
        <v>10379</v>
      </c>
      <c r="B1521">
        <v>32</v>
      </c>
      <c r="C1521">
        <v>100</v>
      </c>
      <c r="D1521">
        <v>3</v>
      </c>
      <c r="E1521">
        <v>3970.56</v>
      </c>
      <c r="F1521" s="4">
        <v>38627</v>
      </c>
      <c r="G1521" t="s">
        <v>93</v>
      </c>
      <c r="H1521">
        <v>1</v>
      </c>
      <c r="I1521">
        <v>2</v>
      </c>
      <c r="J1521">
        <v>2005</v>
      </c>
      <c r="K1521" t="s">
        <v>265</v>
      </c>
      <c r="L1521">
        <v>50</v>
      </c>
      <c r="M1521" t="s">
        <v>810</v>
      </c>
      <c r="N1521" t="s">
        <v>257</v>
      </c>
      <c r="O1521" t="s">
        <v>258</v>
      </c>
      <c r="P1521" t="s">
        <v>259</v>
      </c>
      <c r="R1521" t="s">
        <v>260</v>
      </c>
      <c r="T1521">
        <v>28034</v>
      </c>
      <c r="U1521" t="s">
        <v>261</v>
      </c>
      <c r="V1521" t="s">
        <v>110</v>
      </c>
      <c r="W1521" t="s">
        <v>262</v>
      </c>
      <c r="X1521" t="s">
        <v>263</v>
      </c>
      <c r="Y1521" t="s">
        <v>119</v>
      </c>
    </row>
    <row r="1522" spans="1:25">
      <c r="A1522">
        <v>10407</v>
      </c>
      <c r="B1522">
        <v>64</v>
      </c>
      <c r="C1522">
        <v>40.25</v>
      </c>
      <c r="D1522">
        <v>10</v>
      </c>
      <c r="E1522">
        <v>2576</v>
      </c>
      <c r="F1522" t="s">
        <v>724</v>
      </c>
      <c r="G1522" t="s">
        <v>518</v>
      </c>
      <c r="H1522">
        <v>2</v>
      </c>
      <c r="I1522">
        <v>4</v>
      </c>
      <c r="J1522">
        <v>2005</v>
      </c>
      <c r="K1522" t="s">
        <v>265</v>
      </c>
      <c r="L1522">
        <v>50</v>
      </c>
      <c r="M1522" t="s">
        <v>810</v>
      </c>
      <c r="N1522" t="s">
        <v>514</v>
      </c>
      <c r="O1522">
        <v>4085553659</v>
      </c>
      <c r="P1522" t="s">
        <v>515</v>
      </c>
      <c r="R1522" t="s">
        <v>516</v>
      </c>
      <c r="S1522" t="s">
        <v>124</v>
      </c>
      <c r="T1522">
        <v>94217</v>
      </c>
      <c r="U1522" t="s">
        <v>100</v>
      </c>
      <c r="V1522" t="s">
        <v>101</v>
      </c>
      <c r="W1522" t="s">
        <v>175</v>
      </c>
      <c r="X1522" t="s">
        <v>517</v>
      </c>
      <c r="Y1522" t="s">
        <v>104</v>
      </c>
    </row>
    <row r="1523" spans="1:25">
      <c r="A1523">
        <v>10420</v>
      </c>
      <c r="B1523">
        <v>37</v>
      </c>
      <c r="C1523">
        <v>60.37</v>
      </c>
      <c r="D1523">
        <v>13</v>
      </c>
      <c r="E1523">
        <v>2233.69</v>
      </c>
      <c r="F1523" t="s">
        <v>754</v>
      </c>
      <c r="G1523" t="s">
        <v>400</v>
      </c>
      <c r="H1523">
        <v>2</v>
      </c>
      <c r="I1523">
        <v>5</v>
      </c>
      <c r="J1523">
        <v>2005</v>
      </c>
      <c r="K1523" t="s">
        <v>265</v>
      </c>
      <c r="L1523">
        <v>50</v>
      </c>
      <c r="M1523" t="s">
        <v>810</v>
      </c>
      <c r="N1523" t="s">
        <v>234</v>
      </c>
      <c r="O1523" t="s">
        <v>235</v>
      </c>
      <c r="P1523" t="s">
        <v>236</v>
      </c>
      <c r="Q1523" t="s">
        <v>237</v>
      </c>
      <c r="R1523" t="s">
        <v>238</v>
      </c>
      <c r="S1523" t="s">
        <v>239</v>
      </c>
      <c r="T1523">
        <v>2067</v>
      </c>
      <c r="U1523" t="s">
        <v>168</v>
      </c>
      <c r="V1523" t="s">
        <v>169</v>
      </c>
      <c r="W1523" t="s">
        <v>240</v>
      </c>
      <c r="X1523" t="s">
        <v>241</v>
      </c>
      <c r="Y1523" t="s">
        <v>104</v>
      </c>
    </row>
    <row r="1524" spans="1:25">
      <c r="A1524">
        <v>10106</v>
      </c>
      <c r="B1524">
        <v>28</v>
      </c>
      <c r="C1524">
        <v>88.63</v>
      </c>
      <c r="D1524">
        <v>4</v>
      </c>
      <c r="E1524">
        <v>2481.64</v>
      </c>
      <c r="F1524" t="s">
        <v>725</v>
      </c>
      <c r="G1524" t="s">
        <v>93</v>
      </c>
      <c r="H1524">
        <v>1</v>
      </c>
      <c r="I1524">
        <v>2</v>
      </c>
      <c r="J1524">
        <v>2003</v>
      </c>
      <c r="K1524" t="s">
        <v>726</v>
      </c>
      <c r="L1524">
        <v>109</v>
      </c>
      <c r="M1524" t="s">
        <v>811</v>
      </c>
      <c r="N1524" t="s">
        <v>703</v>
      </c>
      <c r="O1524" t="s">
        <v>704</v>
      </c>
      <c r="P1524" t="s">
        <v>705</v>
      </c>
      <c r="R1524" t="s">
        <v>706</v>
      </c>
      <c r="T1524">
        <v>24100</v>
      </c>
      <c r="U1524" t="s">
        <v>352</v>
      </c>
      <c r="V1524" t="s">
        <v>110</v>
      </c>
      <c r="W1524" t="s">
        <v>707</v>
      </c>
      <c r="X1524" t="s">
        <v>708</v>
      </c>
      <c r="Y1524" t="s">
        <v>104</v>
      </c>
    </row>
    <row r="1525" spans="1:25">
      <c r="A1525">
        <v>10120</v>
      </c>
      <c r="B1525">
        <v>39</v>
      </c>
      <c r="C1525">
        <v>100</v>
      </c>
      <c r="D1525">
        <v>10</v>
      </c>
      <c r="E1525">
        <v>4651.53</v>
      </c>
      <c r="F1525" t="s">
        <v>402</v>
      </c>
      <c r="G1525" t="s">
        <v>93</v>
      </c>
      <c r="H1525">
        <v>2</v>
      </c>
      <c r="I1525">
        <v>4</v>
      </c>
      <c r="J1525">
        <v>2003</v>
      </c>
      <c r="K1525" t="s">
        <v>726</v>
      </c>
      <c r="L1525">
        <v>109</v>
      </c>
      <c r="M1525" t="s">
        <v>811</v>
      </c>
      <c r="N1525" t="s">
        <v>162</v>
      </c>
      <c r="O1525" t="s">
        <v>163</v>
      </c>
      <c r="P1525" t="s">
        <v>164</v>
      </c>
      <c r="Q1525" t="s">
        <v>165</v>
      </c>
      <c r="R1525" t="s">
        <v>166</v>
      </c>
      <c r="S1525" t="s">
        <v>167</v>
      </c>
      <c r="T1525">
        <v>3004</v>
      </c>
      <c r="U1525" t="s">
        <v>168</v>
      </c>
      <c r="V1525" t="s">
        <v>169</v>
      </c>
      <c r="W1525" t="s">
        <v>170</v>
      </c>
      <c r="X1525" t="s">
        <v>171</v>
      </c>
      <c r="Y1525" t="s">
        <v>119</v>
      </c>
    </row>
    <row r="1526" spans="1:25">
      <c r="A1526">
        <v>10133</v>
      </c>
      <c r="B1526">
        <v>41</v>
      </c>
      <c r="C1526">
        <v>94.1</v>
      </c>
      <c r="D1526">
        <v>5</v>
      </c>
      <c r="E1526">
        <v>3858.1</v>
      </c>
      <c r="F1526" t="s">
        <v>766</v>
      </c>
      <c r="G1526" t="s">
        <v>93</v>
      </c>
      <c r="H1526">
        <v>2</v>
      </c>
      <c r="I1526">
        <v>6</v>
      </c>
      <c r="J1526">
        <v>2003</v>
      </c>
      <c r="K1526" t="s">
        <v>726</v>
      </c>
      <c r="L1526">
        <v>109</v>
      </c>
      <c r="M1526" t="s">
        <v>811</v>
      </c>
      <c r="N1526" t="s">
        <v>257</v>
      </c>
      <c r="O1526" t="s">
        <v>258</v>
      </c>
      <c r="P1526" t="s">
        <v>259</v>
      </c>
      <c r="R1526" t="s">
        <v>260</v>
      </c>
      <c r="T1526">
        <v>28034</v>
      </c>
      <c r="U1526" t="s">
        <v>261</v>
      </c>
      <c r="V1526" t="s">
        <v>110</v>
      </c>
      <c r="W1526" t="s">
        <v>262</v>
      </c>
      <c r="X1526" t="s">
        <v>263</v>
      </c>
      <c r="Y1526" t="s">
        <v>119</v>
      </c>
    </row>
    <row r="1527" spans="1:25">
      <c r="A1527">
        <v>10145</v>
      </c>
      <c r="B1527">
        <v>40</v>
      </c>
      <c r="C1527">
        <v>87.54</v>
      </c>
      <c r="D1527">
        <v>16</v>
      </c>
      <c r="E1527">
        <v>3501.6</v>
      </c>
      <c r="F1527" t="s">
        <v>120</v>
      </c>
      <c r="G1527" t="s">
        <v>93</v>
      </c>
      <c r="H1527">
        <v>3</v>
      </c>
      <c r="I1527">
        <v>8</v>
      </c>
      <c r="J1527">
        <v>2003</v>
      </c>
      <c r="K1527" t="s">
        <v>726</v>
      </c>
      <c r="L1527">
        <v>109</v>
      </c>
      <c r="M1527" t="s">
        <v>811</v>
      </c>
      <c r="N1527" t="s">
        <v>121</v>
      </c>
      <c r="O1527">
        <v>6265557265</v>
      </c>
      <c r="P1527" t="s">
        <v>122</v>
      </c>
      <c r="R1527" t="s">
        <v>123</v>
      </c>
      <c r="S1527" t="s">
        <v>124</v>
      </c>
      <c r="T1527">
        <v>90003</v>
      </c>
      <c r="U1527" t="s">
        <v>100</v>
      </c>
      <c r="V1527" t="s">
        <v>101</v>
      </c>
      <c r="W1527" t="s">
        <v>125</v>
      </c>
      <c r="X1527" t="s">
        <v>126</v>
      </c>
      <c r="Y1527" t="s">
        <v>119</v>
      </c>
    </row>
    <row r="1528" spans="1:25">
      <c r="A1528">
        <v>10168</v>
      </c>
      <c r="B1528">
        <v>49</v>
      </c>
      <c r="C1528">
        <v>100</v>
      </c>
      <c r="D1528">
        <v>11</v>
      </c>
      <c r="E1528">
        <v>6433.7</v>
      </c>
      <c r="F1528" t="s">
        <v>131</v>
      </c>
      <c r="G1528" t="s">
        <v>93</v>
      </c>
      <c r="H1528">
        <v>4</v>
      </c>
      <c r="I1528">
        <v>10</v>
      </c>
      <c r="J1528">
        <v>2003</v>
      </c>
      <c r="K1528" t="s">
        <v>726</v>
      </c>
      <c r="L1528">
        <v>109</v>
      </c>
      <c r="M1528" t="s">
        <v>811</v>
      </c>
      <c r="N1528" t="s">
        <v>132</v>
      </c>
      <c r="O1528">
        <v>6505556809</v>
      </c>
      <c r="P1528" t="s">
        <v>133</v>
      </c>
      <c r="R1528" t="s">
        <v>134</v>
      </c>
      <c r="S1528" t="s">
        <v>124</v>
      </c>
      <c r="T1528">
        <v>94217</v>
      </c>
      <c r="U1528" t="s">
        <v>100</v>
      </c>
      <c r="V1528" t="s">
        <v>101</v>
      </c>
      <c r="W1528" t="s">
        <v>135</v>
      </c>
      <c r="X1528" t="s">
        <v>136</v>
      </c>
      <c r="Y1528" t="s">
        <v>119</v>
      </c>
    </row>
    <row r="1529" spans="1:25">
      <c r="A1529">
        <v>10210</v>
      </c>
      <c r="B1529">
        <v>27</v>
      </c>
      <c r="C1529">
        <v>98.48</v>
      </c>
      <c r="D1529">
        <v>9</v>
      </c>
      <c r="E1529">
        <v>2658.96</v>
      </c>
      <c r="F1529" s="4">
        <v>38322</v>
      </c>
      <c r="G1529" t="s">
        <v>93</v>
      </c>
      <c r="H1529">
        <v>1</v>
      </c>
      <c r="I1529">
        <v>1</v>
      </c>
      <c r="J1529">
        <v>2004</v>
      </c>
      <c r="K1529" t="s">
        <v>726</v>
      </c>
      <c r="L1529">
        <v>109</v>
      </c>
      <c r="M1529" t="s">
        <v>811</v>
      </c>
      <c r="N1529" t="s">
        <v>403</v>
      </c>
      <c r="O1529" t="s">
        <v>404</v>
      </c>
      <c r="P1529" t="s">
        <v>405</v>
      </c>
      <c r="R1529" t="s">
        <v>406</v>
      </c>
      <c r="S1529" t="s">
        <v>406</v>
      </c>
      <c r="T1529" t="s">
        <v>407</v>
      </c>
      <c r="U1529" t="s">
        <v>288</v>
      </c>
      <c r="V1529" t="s">
        <v>288</v>
      </c>
      <c r="W1529" t="s">
        <v>408</v>
      </c>
      <c r="X1529" t="s">
        <v>409</v>
      </c>
      <c r="Y1529" t="s">
        <v>104</v>
      </c>
    </row>
    <row r="1530" spans="1:25">
      <c r="A1530">
        <v>10223</v>
      </c>
      <c r="B1530">
        <v>34</v>
      </c>
      <c r="C1530">
        <v>100</v>
      </c>
      <c r="D1530">
        <v>11</v>
      </c>
      <c r="E1530">
        <v>3608.76</v>
      </c>
      <c r="F1530" t="s">
        <v>161</v>
      </c>
      <c r="G1530" t="s">
        <v>93</v>
      </c>
      <c r="H1530">
        <v>1</v>
      </c>
      <c r="I1530">
        <v>2</v>
      </c>
      <c r="J1530">
        <v>2004</v>
      </c>
      <c r="K1530" t="s">
        <v>726</v>
      </c>
      <c r="L1530">
        <v>109</v>
      </c>
      <c r="M1530" t="s">
        <v>811</v>
      </c>
      <c r="N1530" t="s">
        <v>162</v>
      </c>
      <c r="O1530" t="s">
        <v>163</v>
      </c>
      <c r="P1530" t="s">
        <v>164</v>
      </c>
      <c r="Q1530" t="s">
        <v>165</v>
      </c>
      <c r="R1530" t="s">
        <v>166</v>
      </c>
      <c r="S1530" t="s">
        <v>167</v>
      </c>
      <c r="T1530">
        <v>3004</v>
      </c>
      <c r="U1530" t="s">
        <v>168</v>
      </c>
      <c r="V1530" t="s">
        <v>169</v>
      </c>
      <c r="W1530" t="s">
        <v>170</v>
      </c>
      <c r="X1530" t="s">
        <v>171</v>
      </c>
      <c r="Y1530" t="s">
        <v>119</v>
      </c>
    </row>
    <row r="1531" spans="1:25">
      <c r="A1531">
        <v>10235</v>
      </c>
      <c r="B1531">
        <v>23</v>
      </c>
      <c r="C1531">
        <v>96.29</v>
      </c>
      <c r="D1531">
        <v>5</v>
      </c>
      <c r="E1531">
        <v>2214.67</v>
      </c>
      <c r="F1531" s="4">
        <v>38021</v>
      </c>
      <c r="G1531" t="s">
        <v>93</v>
      </c>
      <c r="H1531">
        <v>2</v>
      </c>
      <c r="I1531">
        <v>4</v>
      </c>
      <c r="J1531">
        <v>2004</v>
      </c>
      <c r="K1531" t="s">
        <v>726</v>
      </c>
      <c r="L1531">
        <v>109</v>
      </c>
      <c r="M1531" t="s">
        <v>811</v>
      </c>
      <c r="N1531" t="s">
        <v>484</v>
      </c>
      <c r="O1531" t="s">
        <v>485</v>
      </c>
      <c r="P1531" t="s">
        <v>486</v>
      </c>
      <c r="R1531" t="s">
        <v>487</v>
      </c>
      <c r="S1531" t="s">
        <v>320</v>
      </c>
      <c r="T1531" t="s">
        <v>488</v>
      </c>
      <c r="U1531" t="s">
        <v>322</v>
      </c>
      <c r="V1531" t="s">
        <v>101</v>
      </c>
      <c r="W1531" t="s">
        <v>489</v>
      </c>
      <c r="X1531" t="s">
        <v>254</v>
      </c>
      <c r="Y1531" t="s">
        <v>104</v>
      </c>
    </row>
    <row r="1532" spans="1:25">
      <c r="A1532">
        <v>10250</v>
      </c>
      <c r="B1532">
        <v>31</v>
      </c>
      <c r="C1532">
        <v>88.63</v>
      </c>
      <c r="D1532">
        <v>6</v>
      </c>
      <c r="E1532">
        <v>2747.53</v>
      </c>
      <c r="F1532" s="4">
        <v>38296</v>
      </c>
      <c r="G1532" t="s">
        <v>93</v>
      </c>
      <c r="H1532">
        <v>2</v>
      </c>
      <c r="I1532">
        <v>5</v>
      </c>
      <c r="J1532">
        <v>2004</v>
      </c>
      <c r="K1532" t="s">
        <v>726</v>
      </c>
      <c r="L1532">
        <v>109</v>
      </c>
      <c r="M1532" t="s">
        <v>811</v>
      </c>
      <c r="N1532" t="s">
        <v>514</v>
      </c>
      <c r="O1532">
        <v>4085553659</v>
      </c>
      <c r="P1532" t="s">
        <v>515</v>
      </c>
      <c r="R1532" t="s">
        <v>516</v>
      </c>
      <c r="S1532" t="s">
        <v>124</v>
      </c>
      <c r="T1532">
        <v>94217</v>
      </c>
      <c r="U1532" t="s">
        <v>100</v>
      </c>
      <c r="V1532" t="s">
        <v>101</v>
      </c>
      <c r="W1532" t="s">
        <v>175</v>
      </c>
      <c r="X1532" t="s">
        <v>517</v>
      </c>
      <c r="Y1532" t="s">
        <v>104</v>
      </c>
    </row>
    <row r="1533" spans="1:25">
      <c r="A1533">
        <v>10262</v>
      </c>
      <c r="B1533">
        <v>34</v>
      </c>
      <c r="C1533">
        <v>97.38</v>
      </c>
      <c r="D1533">
        <v>1</v>
      </c>
      <c r="E1533">
        <v>3310.92</v>
      </c>
      <c r="F1533" t="s">
        <v>734</v>
      </c>
      <c r="G1533" t="s">
        <v>444</v>
      </c>
      <c r="H1533">
        <v>2</v>
      </c>
      <c r="I1533">
        <v>6</v>
      </c>
      <c r="J1533">
        <v>2004</v>
      </c>
      <c r="K1533" t="s">
        <v>726</v>
      </c>
      <c r="L1533">
        <v>109</v>
      </c>
      <c r="M1533" t="s">
        <v>811</v>
      </c>
      <c r="N1533" t="s">
        <v>257</v>
      </c>
      <c r="O1533" t="s">
        <v>258</v>
      </c>
      <c r="P1533" t="s">
        <v>259</v>
      </c>
      <c r="R1533" t="s">
        <v>260</v>
      </c>
      <c r="T1533">
        <v>28034</v>
      </c>
      <c r="U1533" t="s">
        <v>261</v>
      </c>
      <c r="V1533" t="s">
        <v>110</v>
      </c>
      <c r="W1533" t="s">
        <v>262</v>
      </c>
      <c r="X1533" t="s">
        <v>263</v>
      </c>
      <c r="Y1533" t="s">
        <v>119</v>
      </c>
    </row>
    <row r="1534" spans="1:25">
      <c r="A1534">
        <v>10275</v>
      </c>
      <c r="B1534">
        <v>25</v>
      </c>
      <c r="C1534">
        <v>95.2</v>
      </c>
      <c r="D1534">
        <v>11</v>
      </c>
      <c r="E1534">
        <v>2380</v>
      </c>
      <c r="F1534" t="s">
        <v>189</v>
      </c>
      <c r="G1534" t="s">
        <v>93</v>
      </c>
      <c r="H1534">
        <v>3</v>
      </c>
      <c r="I1534">
        <v>7</v>
      </c>
      <c r="J1534">
        <v>2004</v>
      </c>
      <c r="K1534" t="s">
        <v>726</v>
      </c>
      <c r="L1534">
        <v>109</v>
      </c>
      <c r="M1534" t="s">
        <v>811</v>
      </c>
      <c r="N1534" t="s">
        <v>190</v>
      </c>
      <c r="O1534" t="s">
        <v>191</v>
      </c>
      <c r="P1534" t="s">
        <v>192</v>
      </c>
      <c r="R1534" t="s">
        <v>193</v>
      </c>
      <c r="T1534">
        <v>44000</v>
      </c>
      <c r="U1534" t="s">
        <v>109</v>
      </c>
      <c r="V1534" t="s">
        <v>110</v>
      </c>
      <c r="W1534" t="s">
        <v>194</v>
      </c>
      <c r="X1534" t="s">
        <v>195</v>
      </c>
      <c r="Y1534" t="s">
        <v>104</v>
      </c>
    </row>
    <row r="1535" spans="1:25">
      <c r="A1535">
        <v>10284</v>
      </c>
      <c r="B1535">
        <v>22</v>
      </c>
      <c r="C1535">
        <v>100</v>
      </c>
      <c r="D1535">
        <v>3</v>
      </c>
      <c r="E1535">
        <v>2310.88</v>
      </c>
      <c r="F1535" t="s">
        <v>735</v>
      </c>
      <c r="G1535" t="s">
        <v>93</v>
      </c>
      <c r="H1535">
        <v>3</v>
      </c>
      <c r="I1535">
        <v>8</v>
      </c>
      <c r="J1535">
        <v>2004</v>
      </c>
      <c r="K1535" t="s">
        <v>726</v>
      </c>
      <c r="L1535">
        <v>109</v>
      </c>
      <c r="M1535" t="s">
        <v>811</v>
      </c>
      <c r="N1535" t="s">
        <v>688</v>
      </c>
      <c r="O1535" t="s">
        <v>689</v>
      </c>
      <c r="P1535" t="s">
        <v>690</v>
      </c>
      <c r="R1535" t="s">
        <v>691</v>
      </c>
      <c r="T1535" t="s">
        <v>692</v>
      </c>
      <c r="U1535" t="s">
        <v>149</v>
      </c>
      <c r="V1535" t="s">
        <v>110</v>
      </c>
      <c r="W1535" t="s">
        <v>693</v>
      </c>
      <c r="X1535" t="s">
        <v>694</v>
      </c>
      <c r="Y1535" t="s">
        <v>104</v>
      </c>
    </row>
    <row r="1536" spans="1:25">
      <c r="A1536">
        <v>10297</v>
      </c>
      <c r="B1536">
        <v>32</v>
      </c>
      <c r="C1536">
        <v>100</v>
      </c>
      <c r="D1536">
        <v>6</v>
      </c>
      <c r="E1536">
        <v>4061.76</v>
      </c>
      <c r="F1536" t="s">
        <v>767</v>
      </c>
      <c r="G1536" t="s">
        <v>93</v>
      </c>
      <c r="H1536">
        <v>3</v>
      </c>
      <c r="I1536">
        <v>9</v>
      </c>
      <c r="J1536">
        <v>2004</v>
      </c>
      <c r="K1536" t="s">
        <v>726</v>
      </c>
      <c r="L1536">
        <v>109</v>
      </c>
      <c r="M1536" t="s">
        <v>811</v>
      </c>
      <c r="N1536" t="s">
        <v>609</v>
      </c>
      <c r="O1536" t="s">
        <v>610</v>
      </c>
      <c r="P1536" t="s">
        <v>611</v>
      </c>
      <c r="Q1536" t="s">
        <v>612</v>
      </c>
      <c r="R1536" t="s">
        <v>613</v>
      </c>
      <c r="T1536">
        <v>2</v>
      </c>
      <c r="U1536" t="s">
        <v>614</v>
      </c>
      <c r="V1536" t="s">
        <v>110</v>
      </c>
      <c r="W1536" t="s">
        <v>615</v>
      </c>
      <c r="X1536" t="s">
        <v>616</v>
      </c>
      <c r="Y1536" t="s">
        <v>119</v>
      </c>
    </row>
    <row r="1537" spans="1:25">
      <c r="A1537">
        <v>10308</v>
      </c>
      <c r="B1537">
        <v>31</v>
      </c>
      <c r="C1537">
        <v>100</v>
      </c>
      <c r="D1537">
        <v>9</v>
      </c>
      <c r="E1537">
        <v>3493.7</v>
      </c>
      <c r="F1537" t="s">
        <v>211</v>
      </c>
      <c r="G1537" t="s">
        <v>93</v>
      </c>
      <c r="H1537">
        <v>4</v>
      </c>
      <c r="I1537">
        <v>10</v>
      </c>
      <c r="J1537">
        <v>2004</v>
      </c>
      <c r="K1537" t="s">
        <v>726</v>
      </c>
      <c r="L1537">
        <v>109</v>
      </c>
      <c r="M1537" t="s">
        <v>811</v>
      </c>
      <c r="N1537" t="s">
        <v>419</v>
      </c>
      <c r="O1537">
        <v>9145554562</v>
      </c>
      <c r="P1537" t="s">
        <v>420</v>
      </c>
      <c r="R1537" t="s">
        <v>421</v>
      </c>
      <c r="S1537" t="s">
        <v>99</v>
      </c>
      <c r="T1537">
        <v>24067</v>
      </c>
      <c r="U1537" t="s">
        <v>100</v>
      </c>
      <c r="V1537" t="s">
        <v>101</v>
      </c>
      <c r="W1537" t="s">
        <v>175</v>
      </c>
      <c r="X1537" t="s">
        <v>329</v>
      </c>
      <c r="Y1537" t="s">
        <v>119</v>
      </c>
    </row>
    <row r="1538" spans="1:25">
      <c r="A1538">
        <v>10316</v>
      </c>
      <c r="B1538">
        <v>25</v>
      </c>
      <c r="C1538">
        <v>100</v>
      </c>
      <c r="D1538">
        <v>1</v>
      </c>
      <c r="E1538">
        <v>2872.25</v>
      </c>
      <c r="F1538" s="4">
        <v>37997</v>
      </c>
      <c r="G1538" t="s">
        <v>93</v>
      </c>
      <c r="H1538">
        <v>4</v>
      </c>
      <c r="I1538">
        <v>11</v>
      </c>
      <c r="J1538">
        <v>2004</v>
      </c>
      <c r="K1538" t="s">
        <v>726</v>
      </c>
      <c r="L1538">
        <v>109</v>
      </c>
      <c r="M1538" t="s">
        <v>811</v>
      </c>
      <c r="N1538" t="s">
        <v>495</v>
      </c>
      <c r="O1538" t="s">
        <v>496</v>
      </c>
      <c r="P1538" t="s">
        <v>497</v>
      </c>
      <c r="R1538" t="s">
        <v>498</v>
      </c>
      <c r="S1538" t="s">
        <v>499</v>
      </c>
      <c r="T1538" t="s">
        <v>500</v>
      </c>
      <c r="U1538" t="s">
        <v>252</v>
      </c>
      <c r="V1538" t="s">
        <v>110</v>
      </c>
      <c r="W1538" t="s">
        <v>501</v>
      </c>
      <c r="X1538" t="s">
        <v>502</v>
      </c>
      <c r="Y1538" t="s">
        <v>104</v>
      </c>
    </row>
    <row r="1539" spans="1:25">
      <c r="A1539">
        <v>10328</v>
      </c>
      <c r="B1539">
        <v>47</v>
      </c>
      <c r="C1539">
        <v>87.54</v>
      </c>
      <c r="D1539">
        <v>14</v>
      </c>
      <c r="E1539">
        <v>4114.38</v>
      </c>
      <c r="F1539" s="4">
        <v>38332</v>
      </c>
      <c r="G1539" t="s">
        <v>93</v>
      </c>
      <c r="H1539">
        <v>4</v>
      </c>
      <c r="I1539">
        <v>11</v>
      </c>
      <c r="J1539">
        <v>2004</v>
      </c>
      <c r="K1539" t="s">
        <v>726</v>
      </c>
      <c r="L1539">
        <v>109</v>
      </c>
      <c r="M1539" t="s">
        <v>811</v>
      </c>
      <c r="N1539" t="s">
        <v>703</v>
      </c>
      <c r="O1539" t="s">
        <v>704</v>
      </c>
      <c r="P1539" t="s">
        <v>705</v>
      </c>
      <c r="R1539" t="s">
        <v>706</v>
      </c>
      <c r="T1539">
        <v>24100</v>
      </c>
      <c r="U1539" t="s">
        <v>352</v>
      </c>
      <c r="V1539" t="s">
        <v>110</v>
      </c>
      <c r="W1539" t="s">
        <v>707</v>
      </c>
      <c r="X1539" t="s">
        <v>708</v>
      </c>
      <c r="Y1539" t="s">
        <v>119</v>
      </c>
    </row>
    <row r="1540" spans="1:25">
      <c r="A1540">
        <v>10339</v>
      </c>
      <c r="B1540">
        <v>21</v>
      </c>
      <c r="C1540">
        <v>50.65</v>
      </c>
      <c r="D1540">
        <v>7</v>
      </c>
      <c r="E1540">
        <v>1063.6500000000001</v>
      </c>
      <c r="F1540" t="s">
        <v>422</v>
      </c>
      <c r="G1540" t="s">
        <v>93</v>
      </c>
      <c r="H1540">
        <v>4</v>
      </c>
      <c r="I1540">
        <v>11</v>
      </c>
      <c r="J1540">
        <v>2004</v>
      </c>
      <c r="K1540" t="s">
        <v>726</v>
      </c>
      <c r="L1540">
        <v>109</v>
      </c>
      <c r="M1540" t="s">
        <v>811</v>
      </c>
      <c r="N1540" t="s">
        <v>338</v>
      </c>
      <c r="O1540" t="s">
        <v>339</v>
      </c>
      <c r="P1540" t="s">
        <v>340</v>
      </c>
      <c r="R1540" t="s">
        <v>341</v>
      </c>
      <c r="S1540" t="s">
        <v>342</v>
      </c>
      <c r="T1540" t="s">
        <v>343</v>
      </c>
      <c r="U1540" t="s">
        <v>288</v>
      </c>
      <c r="V1540" t="s">
        <v>288</v>
      </c>
      <c r="W1540" t="s">
        <v>344</v>
      </c>
      <c r="X1540" t="s">
        <v>345</v>
      </c>
      <c r="Y1540" t="s">
        <v>104</v>
      </c>
    </row>
    <row r="1541" spans="1:25">
      <c r="A1541">
        <v>10353</v>
      </c>
      <c r="B1541">
        <v>28</v>
      </c>
      <c r="C1541">
        <v>71.73</v>
      </c>
      <c r="D1541">
        <v>2</v>
      </c>
      <c r="E1541">
        <v>2008.44</v>
      </c>
      <c r="F1541" s="4">
        <v>38089</v>
      </c>
      <c r="G1541" t="s">
        <v>93</v>
      </c>
      <c r="H1541">
        <v>4</v>
      </c>
      <c r="I1541">
        <v>12</v>
      </c>
      <c r="J1541">
        <v>2004</v>
      </c>
      <c r="K1541" t="s">
        <v>726</v>
      </c>
      <c r="L1541">
        <v>109</v>
      </c>
      <c r="M1541" t="s">
        <v>811</v>
      </c>
      <c r="N1541" t="s">
        <v>729</v>
      </c>
      <c r="O1541">
        <v>2035554407</v>
      </c>
      <c r="P1541" t="s">
        <v>730</v>
      </c>
      <c r="R1541" t="s">
        <v>656</v>
      </c>
      <c r="S1541" t="s">
        <v>187</v>
      </c>
      <c r="T1541">
        <v>97561</v>
      </c>
      <c r="U1541" t="s">
        <v>100</v>
      </c>
      <c r="V1541" t="s">
        <v>101</v>
      </c>
      <c r="W1541" t="s">
        <v>731</v>
      </c>
      <c r="X1541" t="s">
        <v>732</v>
      </c>
      <c r="Y1541" t="s">
        <v>104</v>
      </c>
    </row>
    <row r="1542" spans="1:25">
      <c r="A1542">
        <v>10374</v>
      </c>
      <c r="B1542">
        <v>46</v>
      </c>
      <c r="C1542">
        <v>94.1</v>
      </c>
      <c r="D1542">
        <v>3</v>
      </c>
      <c r="E1542">
        <v>4328.6000000000004</v>
      </c>
      <c r="F1542" s="4">
        <v>38385</v>
      </c>
      <c r="G1542" t="s">
        <v>93</v>
      </c>
      <c r="H1542">
        <v>1</v>
      </c>
      <c r="I1542">
        <v>2</v>
      </c>
      <c r="J1542">
        <v>2005</v>
      </c>
      <c r="K1542" t="s">
        <v>726</v>
      </c>
      <c r="L1542">
        <v>109</v>
      </c>
      <c r="M1542" t="s">
        <v>811</v>
      </c>
      <c r="N1542" t="s">
        <v>296</v>
      </c>
      <c r="O1542" t="s">
        <v>297</v>
      </c>
      <c r="P1542" t="s">
        <v>298</v>
      </c>
      <c r="R1542" t="s">
        <v>299</v>
      </c>
      <c r="S1542" t="s">
        <v>300</v>
      </c>
      <c r="T1542">
        <v>4101</v>
      </c>
      <c r="U1542" t="s">
        <v>168</v>
      </c>
      <c r="V1542" t="s">
        <v>169</v>
      </c>
      <c r="W1542" t="s">
        <v>301</v>
      </c>
      <c r="X1542" t="s">
        <v>302</v>
      </c>
      <c r="Y1542" t="s">
        <v>119</v>
      </c>
    </row>
    <row r="1543" spans="1:25">
      <c r="A1543">
        <v>10386</v>
      </c>
      <c r="B1543">
        <v>33</v>
      </c>
      <c r="C1543">
        <v>41.71</v>
      </c>
      <c r="D1543">
        <v>11</v>
      </c>
      <c r="E1543">
        <v>1376.43</v>
      </c>
      <c r="F1543" s="4">
        <v>38355</v>
      </c>
      <c r="G1543" t="s">
        <v>526</v>
      </c>
      <c r="H1543">
        <v>1</v>
      </c>
      <c r="I1543">
        <v>3</v>
      </c>
      <c r="J1543">
        <v>2005</v>
      </c>
      <c r="K1543" t="s">
        <v>726</v>
      </c>
      <c r="L1543">
        <v>109</v>
      </c>
      <c r="M1543" t="s">
        <v>811</v>
      </c>
      <c r="N1543" t="s">
        <v>257</v>
      </c>
      <c r="O1543" t="s">
        <v>258</v>
      </c>
      <c r="P1543" t="s">
        <v>259</v>
      </c>
      <c r="R1543" t="s">
        <v>260</v>
      </c>
      <c r="T1543">
        <v>28034</v>
      </c>
      <c r="U1543" t="s">
        <v>261</v>
      </c>
      <c r="V1543" t="s">
        <v>110</v>
      </c>
      <c r="W1543" t="s">
        <v>262</v>
      </c>
      <c r="X1543" t="s">
        <v>263</v>
      </c>
      <c r="Y1543" t="s">
        <v>104</v>
      </c>
    </row>
    <row r="1544" spans="1:25">
      <c r="A1544">
        <v>10398</v>
      </c>
      <c r="B1544">
        <v>43</v>
      </c>
      <c r="C1544">
        <v>100</v>
      </c>
      <c r="D1544">
        <v>16</v>
      </c>
      <c r="E1544">
        <v>5552.16</v>
      </c>
      <c r="F1544" t="s">
        <v>750</v>
      </c>
      <c r="G1544" t="s">
        <v>93</v>
      </c>
      <c r="H1544">
        <v>1</v>
      </c>
      <c r="I1544">
        <v>3</v>
      </c>
      <c r="J1544">
        <v>2005</v>
      </c>
      <c r="K1544" t="s">
        <v>726</v>
      </c>
      <c r="L1544">
        <v>109</v>
      </c>
      <c r="M1544" t="s">
        <v>811</v>
      </c>
      <c r="N1544" t="s">
        <v>105</v>
      </c>
      <c r="O1544" t="s">
        <v>106</v>
      </c>
      <c r="P1544" t="s">
        <v>107</v>
      </c>
      <c r="R1544" t="s">
        <v>108</v>
      </c>
      <c r="T1544">
        <v>51100</v>
      </c>
      <c r="U1544" t="s">
        <v>109</v>
      </c>
      <c r="V1544" t="s">
        <v>110</v>
      </c>
      <c r="W1544" t="s">
        <v>111</v>
      </c>
      <c r="X1544" t="s">
        <v>112</v>
      </c>
      <c r="Y1544" t="s">
        <v>119</v>
      </c>
    </row>
    <row r="1545" spans="1:25">
      <c r="A1545">
        <v>10401</v>
      </c>
      <c r="B1545">
        <v>38</v>
      </c>
      <c r="C1545">
        <v>96.29</v>
      </c>
      <c r="D1545">
        <v>5</v>
      </c>
      <c r="E1545">
        <v>3659.02</v>
      </c>
      <c r="F1545" s="4">
        <v>38415</v>
      </c>
      <c r="G1545" t="s">
        <v>518</v>
      </c>
      <c r="H1545">
        <v>2</v>
      </c>
      <c r="I1545">
        <v>4</v>
      </c>
      <c r="J1545">
        <v>2005</v>
      </c>
      <c r="K1545" t="s">
        <v>726</v>
      </c>
      <c r="L1545">
        <v>109</v>
      </c>
      <c r="M1545" t="s">
        <v>811</v>
      </c>
      <c r="N1545" t="s">
        <v>178</v>
      </c>
      <c r="O1545">
        <v>2015559350</v>
      </c>
      <c r="P1545" t="s">
        <v>179</v>
      </c>
      <c r="R1545" t="s">
        <v>180</v>
      </c>
      <c r="S1545" t="s">
        <v>181</v>
      </c>
      <c r="T1545">
        <v>94019</v>
      </c>
      <c r="U1545" t="s">
        <v>100</v>
      </c>
      <c r="V1545" t="s">
        <v>101</v>
      </c>
      <c r="W1545" t="s">
        <v>130</v>
      </c>
      <c r="X1545" t="s">
        <v>182</v>
      </c>
      <c r="Y1545" t="s">
        <v>119</v>
      </c>
    </row>
    <row r="1546" spans="1:25">
      <c r="A1546">
        <v>10416</v>
      </c>
      <c r="B1546">
        <v>47</v>
      </c>
      <c r="C1546">
        <v>88.63</v>
      </c>
      <c r="D1546">
        <v>6</v>
      </c>
      <c r="E1546">
        <v>4165.6099999999997</v>
      </c>
      <c r="F1546" s="4">
        <v>38630</v>
      </c>
      <c r="G1546" t="s">
        <v>93</v>
      </c>
      <c r="H1546">
        <v>2</v>
      </c>
      <c r="I1546">
        <v>5</v>
      </c>
      <c r="J1546">
        <v>2005</v>
      </c>
      <c r="K1546" t="s">
        <v>726</v>
      </c>
      <c r="L1546">
        <v>109</v>
      </c>
      <c r="M1546" t="s">
        <v>811</v>
      </c>
      <c r="N1546" t="s">
        <v>576</v>
      </c>
      <c r="O1546" t="s">
        <v>577</v>
      </c>
      <c r="P1546" t="s">
        <v>578</v>
      </c>
      <c r="R1546" t="s">
        <v>579</v>
      </c>
      <c r="T1546">
        <v>42100</v>
      </c>
      <c r="U1546" t="s">
        <v>352</v>
      </c>
      <c r="V1546" t="s">
        <v>110</v>
      </c>
      <c r="W1546" t="s">
        <v>580</v>
      </c>
      <c r="X1546" t="s">
        <v>581</v>
      </c>
      <c r="Y1546" t="s">
        <v>119</v>
      </c>
    </row>
    <row r="1547" spans="1:25">
      <c r="A1547">
        <v>10101</v>
      </c>
      <c r="B1547">
        <v>45</v>
      </c>
      <c r="C1547">
        <v>31.2</v>
      </c>
      <c r="D1547">
        <v>3</v>
      </c>
      <c r="E1547">
        <v>1404</v>
      </c>
      <c r="F1547" s="4">
        <v>37865</v>
      </c>
      <c r="G1547" t="s">
        <v>93</v>
      </c>
      <c r="H1547">
        <v>1</v>
      </c>
      <c r="I1547">
        <v>1</v>
      </c>
      <c r="J1547">
        <v>2003</v>
      </c>
      <c r="K1547" t="s">
        <v>697</v>
      </c>
      <c r="L1547">
        <v>33</v>
      </c>
      <c r="M1547" t="s">
        <v>812</v>
      </c>
      <c r="N1547" t="s">
        <v>587</v>
      </c>
      <c r="O1547" t="s">
        <v>588</v>
      </c>
      <c r="P1547" t="s">
        <v>589</v>
      </c>
      <c r="R1547" t="s">
        <v>590</v>
      </c>
      <c r="T1547">
        <v>60528</v>
      </c>
      <c r="U1547" t="s">
        <v>566</v>
      </c>
      <c r="V1547" t="s">
        <v>110</v>
      </c>
      <c r="W1547" t="s">
        <v>591</v>
      </c>
      <c r="X1547" t="s">
        <v>532</v>
      </c>
      <c r="Y1547" t="s">
        <v>104</v>
      </c>
    </row>
    <row r="1548" spans="1:25">
      <c r="A1548">
        <v>10110</v>
      </c>
      <c r="B1548">
        <v>20</v>
      </c>
      <c r="C1548">
        <v>35.51</v>
      </c>
      <c r="D1548">
        <v>3</v>
      </c>
      <c r="E1548">
        <v>710.2</v>
      </c>
      <c r="F1548" t="s">
        <v>720</v>
      </c>
      <c r="G1548" t="s">
        <v>93</v>
      </c>
      <c r="H1548">
        <v>1</v>
      </c>
      <c r="I1548">
        <v>3</v>
      </c>
      <c r="J1548">
        <v>2003</v>
      </c>
      <c r="K1548" t="s">
        <v>697</v>
      </c>
      <c r="L1548">
        <v>33</v>
      </c>
      <c r="M1548" t="s">
        <v>812</v>
      </c>
      <c r="N1548" t="s">
        <v>624</v>
      </c>
      <c r="O1548" t="s">
        <v>625</v>
      </c>
      <c r="P1548" t="s">
        <v>626</v>
      </c>
      <c r="R1548" t="s">
        <v>627</v>
      </c>
      <c r="T1548" t="s">
        <v>628</v>
      </c>
      <c r="U1548" t="s">
        <v>252</v>
      </c>
      <c r="V1548" t="s">
        <v>110</v>
      </c>
      <c r="W1548" t="s">
        <v>629</v>
      </c>
      <c r="X1548" t="s">
        <v>167</v>
      </c>
      <c r="Y1548" t="s">
        <v>104</v>
      </c>
    </row>
    <row r="1549" spans="1:25">
      <c r="A1549">
        <v>10124</v>
      </c>
      <c r="B1549">
        <v>45</v>
      </c>
      <c r="C1549">
        <v>37.840000000000003</v>
      </c>
      <c r="D1549">
        <v>2</v>
      </c>
      <c r="E1549">
        <v>1702.8</v>
      </c>
      <c r="F1549" t="s">
        <v>700</v>
      </c>
      <c r="G1549" t="s">
        <v>93</v>
      </c>
      <c r="H1549">
        <v>2</v>
      </c>
      <c r="I1549">
        <v>5</v>
      </c>
      <c r="J1549">
        <v>2003</v>
      </c>
      <c r="K1549" t="s">
        <v>697</v>
      </c>
      <c r="L1549">
        <v>33</v>
      </c>
      <c r="M1549" t="s">
        <v>812</v>
      </c>
      <c r="N1549" t="s">
        <v>684</v>
      </c>
      <c r="O1549">
        <v>7025551838</v>
      </c>
      <c r="P1549" t="s">
        <v>685</v>
      </c>
      <c r="R1549" t="s">
        <v>686</v>
      </c>
      <c r="S1549" t="s">
        <v>687</v>
      </c>
      <c r="T1549">
        <v>83030</v>
      </c>
      <c r="U1549" t="s">
        <v>100</v>
      </c>
      <c r="V1549" t="s">
        <v>101</v>
      </c>
      <c r="W1549" t="s">
        <v>188</v>
      </c>
      <c r="X1549" t="s">
        <v>517</v>
      </c>
      <c r="Y1549" t="s">
        <v>104</v>
      </c>
    </row>
    <row r="1550" spans="1:25">
      <c r="A1550">
        <v>10149</v>
      </c>
      <c r="B1550">
        <v>36</v>
      </c>
      <c r="C1550">
        <v>33.19</v>
      </c>
      <c r="D1550">
        <v>7</v>
      </c>
      <c r="E1550">
        <v>1194.8399999999999</v>
      </c>
      <c r="F1550" s="4">
        <v>37964</v>
      </c>
      <c r="G1550" t="s">
        <v>93</v>
      </c>
      <c r="H1550">
        <v>3</v>
      </c>
      <c r="I1550">
        <v>9</v>
      </c>
      <c r="J1550">
        <v>2003</v>
      </c>
      <c r="K1550" t="s">
        <v>697</v>
      </c>
      <c r="L1550">
        <v>33</v>
      </c>
      <c r="M1550" t="s">
        <v>812</v>
      </c>
      <c r="N1550" t="s">
        <v>668</v>
      </c>
      <c r="O1550">
        <v>4155554312</v>
      </c>
      <c r="P1550" t="s">
        <v>669</v>
      </c>
      <c r="R1550" t="s">
        <v>670</v>
      </c>
      <c r="S1550" t="s">
        <v>124</v>
      </c>
      <c r="T1550">
        <v>94217</v>
      </c>
      <c r="U1550" t="s">
        <v>100</v>
      </c>
      <c r="V1550" t="s">
        <v>101</v>
      </c>
      <c r="W1550" t="s">
        <v>671</v>
      </c>
      <c r="X1550" t="s">
        <v>517</v>
      </c>
      <c r="Y1550" t="s">
        <v>104</v>
      </c>
    </row>
    <row r="1551" spans="1:25">
      <c r="A1551">
        <v>10162</v>
      </c>
      <c r="B1551">
        <v>37</v>
      </c>
      <c r="C1551">
        <v>27.22</v>
      </c>
      <c r="D1551">
        <v>5</v>
      </c>
      <c r="E1551">
        <v>1007.14</v>
      </c>
      <c r="F1551" t="s">
        <v>702</v>
      </c>
      <c r="G1551" t="s">
        <v>93</v>
      </c>
      <c r="H1551">
        <v>4</v>
      </c>
      <c r="I1551">
        <v>10</v>
      </c>
      <c r="J1551">
        <v>2003</v>
      </c>
      <c r="K1551" t="s">
        <v>697</v>
      </c>
      <c r="L1551">
        <v>33</v>
      </c>
      <c r="M1551" t="s">
        <v>812</v>
      </c>
      <c r="N1551" t="s">
        <v>127</v>
      </c>
      <c r="O1551">
        <v>6505551386</v>
      </c>
      <c r="P1551" t="s">
        <v>128</v>
      </c>
      <c r="R1551" t="s">
        <v>129</v>
      </c>
      <c r="S1551" t="s">
        <v>124</v>
      </c>
      <c r="U1551" t="s">
        <v>100</v>
      </c>
      <c r="V1551" t="s">
        <v>101</v>
      </c>
      <c r="W1551" t="s">
        <v>130</v>
      </c>
      <c r="X1551" t="s">
        <v>126</v>
      </c>
      <c r="Y1551" t="s">
        <v>104</v>
      </c>
    </row>
    <row r="1552" spans="1:25">
      <c r="A1552">
        <v>10173</v>
      </c>
      <c r="B1552">
        <v>31</v>
      </c>
      <c r="C1552">
        <v>31.53</v>
      </c>
      <c r="D1552">
        <v>9</v>
      </c>
      <c r="E1552">
        <v>977.43</v>
      </c>
      <c r="F1552" s="4">
        <v>37752</v>
      </c>
      <c r="G1552" t="s">
        <v>93</v>
      </c>
      <c r="H1552">
        <v>4</v>
      </c>
      <c r="I1552">
        <v>11</v>
      </c>
      <c r="J1552">
        <v>2003</v>
      </c>
      <c r="K1552" t="s">
        <v>697</v>
      </c>
      <c r="L1552">
        <v>33</v>
      </c>
      <c r="M1552" t="s">
        <v>812</v>
      </c>
      <c r="N1552" t="s">
        <v>703</v>
      </c>
      <c r="O1552" t="s">
        <v>704</v>
      </c>
      <c r="P1552" t="s">
        <v>705</v>
      </c>
      <c r="R1552" t="s">
        <v>706</v>
      </c>
      <c r="T1552">
        <v>24100</v>
      </c>
      <c r="U1552" t="s">
        <v>352</v>
      </c>
      <c r="V1552" t="s">
        <v>110</v>
      </c>
      <c r="W1552" t="s">
        <v>707</v>
      </c>
      <c r="X1552" t="s">
        <v>708</v>
      </c>
      <c r="Y1552" t="s">
        <v>104</v>
      </c>
    </row>
    <row r="1553" spans="1:25">
      <c r="A1553">
        <v>10182</v>
      </c>
      <c r="B1553">
        <v>39</v>
      </c>
      <c r="C1553">
        <v>36.840000000000003</v>
      </c>
      <c r="D1553">
        <v>6</v>
      </c>
      <c r="E1553">
        <v>1436.76</v>
      </c>
      <c r="F1553" s="4">
        <v>37966</v>
      </c>
      <c r="G1553" t="s">
        <v>93</v>
      </c>
      <c r="H1553">
        <v>4</v>
      </c>
      <c r="I1553">
        <v>11</v>
      </c>
      <c r="J1553">
        <v>2003</v>
      </c>
      <c r="K1553" t="s">
        <v>697</v>
      </c>
      <c r="L1553">
        <v>33</v>
      </c>
      <c r="M1553" t="s">
        <v>812</v>
      </c>
      <c r="N1553" t="s">
        <v>367</v>
      </c>
      <c r="O1553">
        <v>4155551450</v>
      </c>
      <c r="P1553" t="s">
        <v>368</v>
      </c>
      <c r="R1553" t="s">
        <v>369</v>
      </c>
      <c r="S1553" t="s">
        <v>124</v>
      </c>
      <c r="T1553">
        <v>97562</v>
      </c>
      <c r="U1553" t="s">
        <v>100</v>
      </c>
      <c r="V1553" t="s">
        <v>101</v>
      </c>
      <c r="W1553" t="s">
        <v>370</v>
      </c>
      <c r="X1553" t="s">
        <v>371</v>
      </c>
      <c r="Y1553" t="s">
        <v>104</v>
      </c>
    </row>
    <row r="1554" spans="1:25">
      <c r="A1554">
        <v>10193</v>
      </c>
      <c r="B1554">
        <v>26</v>
      </c>
      <c r="C1554">
        <v>29.21</v>
      </c>
      <c r="D1554">
        <v>10</v>
      </c>
      <c r="E1554">
        <v>759.46</v>
      </c>
      <c r="F1554" t="s">
        <v>709</v>
      </c>
      <c r="G1554" t="s">
        <v>93</v>
      </c>
      <c r="H1554">
        <v>4</v>
      </c>
      <c r="I1554">
        <v>11</v>
      </c>
      <c r="J1554">
        <v>2003</v>
      </c>
      <c r="K1554" t="s">
        <v>697</v>
      </c>
      <c r="L1554">
        <v>33</v>
      </c>
      <c r="M1554" t="s">
        <v>812</v>
      </c>
      <c r="N1554" t="s">
        <v>710</v>
      </c>
      <c r="O1554" t="s">
        <v>711</v>
      </c>
      <c r="P1554" t="s">
        <v>712</v>
      </c>
      <c r="R1554" t="s">
        <v>713</v>
      </c>
      <c r="S1554" t="s">
        <v>167</v>
      </c>
      <c r="T1554">
        <v>3150</v>
      </c>
      <c r="U1554" t="s">
        <v>168</v>
      </c>
      <c r="V1554" t="s">
        <v>169</v>
      </c>
      <c r="W1554" t="s">
        <v>714</v>
      </c>
      <c r="X1554" t="s">
        <v>715</v>
      </c>
      <c r="Y1554" t="s">
        <v>104</v>
      </c>
    </row>
    <row r="1555" spans="1:25">
      <c r="A1555">
        <v>10205</v>
      </c>
      <c r="B1555">
        <v>32</v>
      </c>
      <c r="C1555">
        <v>37.17</v>
      </c>
      <c r="D1555">
        <v>5</v>
      </c>
      <c r="E1555">
        <v>1189.44</v>
      </c>
      <c r="F1555" s="4">
        <v>37692</v>
      </c>
      <c r="G1555" t="s">
        <v>93</v>
      </c>
      <c r="H1555">
        <v>4</v>
      </c>
      <c r="I1555">
        <v>12</v>
      </c>
      <c r="J1555">
        <v>2003</v>
      </c>
      <c r="K1555" t="s">
        <v>697</v>
      </c>
      <c r="L1555">
        <v>33</v>
      </c>
      <c r="M1555" t="s">
        <v>812</v>
      </c>
      <c r="N1555" t="s">
        <v>257</v>
      </c>
      <c r="O1555" t="s">
        <v>258</v>
      </c>
      <c r="P1555" t="s">
        <v>259</v>
      </c>
      <c r="R1555" t="s">
        <v>260</v>
      </c>
      <c r="T1555">
        <v>28034</v>
      </c>
      <c r="U1555" t="s">
        <v>261</v>
      </c>
      <c r="V1555" t="s">
        <v>110</v>
      </c>
      <c r="W1555" t="s">
        <v>262</v>
      </c>
      <c r="X1555" t="s">
        <v>263</v>
      </c>
      <c r="Y1555" t="s">
        <v>104</v>
      </c>
    </row>
    <row r="1556" spans="1:25">
      <c r="A1556">
        <v>10214</v>
      </c>
      <c r="B1556">
        <v>20</v>
      </c>
      <c r="C1556">
        <v>34.19</v>
      </c>
      <c r="D1556">
        <v>3</v>
      </c>
      <c r="E1556">
        <v>683.8</v>
      </c>
      <c r="F1556" t="s">
        <v>752</v>
      </c>
      <c r="G1556" t="s">
        <v>93</v>
      </c>
      <c r="H1556">
        <v>1</v>
      </c>
      <c r="I1556">
        <v>1</v>
      </c>
      <c r="J1556">
        <v>2004</v>
      </c>
      <c r="K1556" t="s">
        <v>697</v>
      </c>
      <c r="L1556">
        <v>33</v>
      </c>
      <c r="M1556" t="s">
        <v>812</v>
      </c>
      <c r="N1556" t="s">
        <v>277</v>
      </c>
      <c r="O1556" t="s">
        <v>278</v>
      </c>
      <c r="P1556" t="s">
        <v>279</v>
      </c>
      <c r="R1556" t="s">
        <v>260</v>
      </c>
      <c r="T1556">
        <v>28023</v>
      </c>
      <c r="U1556" t="s">
        <v>261</v>
      </c>
      <c r="V1556" t="s">
        <v>110</v>
      </c>
      <c r="W1556" t="s">
        <v>280</v>
      </c>
      <c r="X1556" t="s">
        <v>281</v>
      </c>
      <c r="Y1556" t="s">
        <v>104</v>
      </c>
    </row>
    <row r="1557" spans="1:25">
      <c r="A1557">
        <v>10227</v>
      </c>
      <c r="B1557">
        <v>42</v>
      </c>
      <c r="C1557">
        <v>29.21</v>
      </c>
      <c r="D1557">
        <v>6</v>
      </c>
      <c r="E1557">
        <v>1226.82</v>
      </c>
      <c r="F1557" s="4">
        <v>38020</v>
      </c>
      <c r="G1557" t="s">
        <v>93</v>
      </c>
      <c r="H1557">
        <v>1</v>
      </c>
      <c r="I1557">
        <v>3</v>
      </c>
      <c r="J1557">
        <v>2004</v>
      </c>
      <c r="K1557" t="s">
        <v>697</v>
      </c>
      <c r="L1557">
        <v>33</v>
      </c>
      <c r="M1557" t="s">
        <v>812</v>
      </c>
      <c r="N1557" t="s">
        <v>310</v>
      </c>
      <c r="O1557" t="s">
        <v>311</v>
      </c>
      <c r="P1557" t="s">
        <v>312</v>
      </c>
      <c r="R1557" t="s">
        <v>313</v>
      </c>
      <c r="T1557">
        <v>69004</v>
      </c>
      <c r="U1557" t="s">
        <v>109</v>
      </c>
      <c r="V1557" t="s">
        <v>110</v>
      </c>
      <c r="W1557" t="s">
        <v>314</v>
      </c>
      <c r="X1557" t="s">
        <v>315</v>
      </c>
      <c r="Y1557" t="s">
        <v>104</v>
      </c>
    </row>
    <row r="1558" spans="1:25">
      <c r="A1558">
        <v>10243</v>
      </c>
      <c r="B1558">
        <v>33</v>
      </c>
      <c r="C1558">
        <v>29.54</v>
      </c>
      <c r="D1558">
        <v>1</v>
      </c>
      <c r="E1558">
        <v>974.82</v>
      </c>
      <c r="F1558" t="s">
        <v>762</v>
      </c>
      <c r="G1558" t="s">
        <v>93</v>
      </c>
      <c r="H1558">
        <v>2</v>
      </c>
      <c r="I1558">
        <v>4</v>
      </c>
      <c r="J1558">
        <v>2004</v>
      </c>
      <c r="K1558" t="s">
        <v>697</v>
      </c>
      <c r="L1558">
        <v>33</v>
      </c>
      <c r="M1558" t="s">
        <v>812</v>
      </c>
      <c r="N1558" t="s">
        <v>533</v>
      </c>
      <c r="O1558">
        <v>6175552555</v>
      </c>
      <c r="P1558" t="s">
        <v>534</v>
      </c>
      <c r="R1558" t="s">
        <v>492</v>
      </c>
      <c r="S1558" t="s">
        <v>200</v>
      </c>
      <c r="T1558">
        <v>51003</v>
      </c>
      <c r="U1558" t="s">
        <v>100</v>
      </c>
      <c r="V1558" t="s">
        <v>101</v>
      </c>
      <c r="W1558" t="s">
        <v>535</v>
      </c>
      <c r="X1558" t="s">
        <v>371</v>
      </c>
      <c r="Y1558" t="s">
        <v>104</v>
      </c>
    </row>
    <row r="1559" spans="1:25">
      <c r="A1559">
        <v>10280</v>
      </c>
      <c r="B1559">
        <v>20</v>
      </c>
      <c r="C1559">
        <v>28.88</v>
      </c>
      <c r="D1559">
        <v>12</v>
      </c>
      <c r="E1559">
        <v>577.6</v>
      </c>
      <c r="F1559" t="s">
        <v>347</v>
      </c>
      <c r="G1559" t="s">
        <v>93</v>
      </c>
      <c r="H1559">
        <v>3</v>
      </c>
      <c r="I1559">
        <v>8</v>
      </c>
      <c r="J1559">
        <v>2004</v>
      </c>
      <c r="K1559" t="s">
        <v>697</v>
      </c>
      <c r="L1559">
        <v>33</v>
      </c>
      <c r="M1559" t="s">
        <v>812</v>
      </c>
      <c r="N1559" t="s">
        <v>348</v>
      </c>
      <c r="O1559" t="s">
        <v>349</v>
      </c>
      <c r="P1559" t="s">
        <v>350</v>
      </c>
      <c r="R1559" t="s">
        <v>351</v>
      </c>
      <c r="T1559">
        <v>10100</v>
      </c>
      <c r="U1559" t="s">
        <v>352</v>
      </c>
      <c r="V1559" t="s">
        <v>110</v>
      </c>
      <c r="W1559" t="s">
        <v>353</v>
      </c>
      <c r="X1559" t="s">
        <v>354</v>
      </c>
      <c r="Y1559" t="s">
        <v>104</v>
      </c>
    </row>
    <row r="1560" spans="1:25">
      <c r="A1560">
        <v>10288</v>
      </c>
      <c r="B1560">
        <v>29</v>
      </c>
      <c r="C1560">
        <v>38.17</v>
      </c>
      <c r="D1560">
        <v>1</v>
      </c>
      <c r="E1560">
        <v>1106.93</v>
      </c>
      <c r="F1560" s="4">
        <v>37995</v>
      </c>
      <c r="G1560" t="s">
        <v>93</v>
      </c>
      <c r="H1560">
        <v>3</v>
      </c>
      <c r="I1560">
        <v>9</v>
      </c>
      <c r="J1560">
        <v>2004</v>
      </c>
      <c r="K1560" t="s">
        <v>697</v>
      </c>
      <c r="L1560">
        <v>33</v>
      </c>
      <c r="M1560" t="s">
        <v>812</v>
      </c>
      <c r="N1560" t="s">
        <v>536</v>
      </c>
      <c r="O1560" t="s">
        <v>537</v>
      </c>
      <c r="P1560" t="s">
        <v>538</v>
      </c>
      <c r="Q1560" t="s">
        <v>539</v>
      </c>
      <c r="R1560" t="s">
        <v>287</v>
      </c>
      <c r="T1560">
        <v>69045</v>
      </c>
      <c r="U1560" t="s">
        <v>287</v>
      </c>
      <c r="V1560" t="s">
        <v>169</v>
      </c>
      <c r="W1560" t="s">
        <v>540</v>
      </c>
      <c r="X1560" t="s">
        <v>541</v>
      </c>
      <c r="Y1560" t="s">
        <v>104</v>
      </c>
    </row>
    <row r="1561" spans="1:25">
      <c r="A1561">
        <v>10304</v>
      </c>
      <c r="B1561">
        <v>23</v>
      </c>
      <c r="C1561">
        <v>30.2</v>
      </c>
      <c r="D1561">
        <v>16</v>
      </c>
      <c r="E1561">
        <v>694.6</v>
      </c>
      <c r="F1561" s="4">
        <v>38301</v>
      </c>
      <c r="G1561" t="s">
        <v>93</v>
      </c>
      <c r="H1561">
        <v>4</v>
      </c>
      <c r="I1561">
        <v>10</v>
      </c>
      <c r="J1561">
        <v>2004</v>
      </c>
      <c r="K1561" t="s">
        <v>697</v>
      </c>
      <c r="L1561">
        <v>33</v>
      </c>
      <c r="M1561" t="s">
        <v>812</v>
      </c>
      <c r="N1561" t="s">
        <v>361</v>
      </c>
      <c r="O1561" t="s">
        <v>362</v>
      </c>
      <c r="P1561" t="s">
        <v>363</v>
      </c>
      <c r="R1561" t="s">
        <v>364</v>
      </c>
      <c r="T1561">
        <v>78000</v>
      </c>
      <c r="U1561" t="s">
        <v>109</v>
      </c>
      <c r="V1561" t="s">
        <v>110</v>
      </c>
      <c r="W1561" t="s">
        <v>365</v>
      </c>
      <c r="X1561" t="s">
        <v>118</v>
      </c>
      <c r="Y1561" t="s">
        <v>104</v>
      </c>
    </row>
    <row r="1562" spans="1:25">
      <c r="A1562">
        <v>10312</v>
      </c>
      <c r="B1562">
        <v>39</v>
      </c>
      <c r="C1562">
        <v>29.54</v>
      </c>
      <c r="D1562">
        <v>13</v>
      </c>
      <c r="E1562">
        <v>1152.06</v>
      </c>
      <c r="F1562" t="s">
        <v>366</v>
      </c>
      <c r="G1562" t="s">
        <v>93</v>
      </c>
      <c r="H1562">
        <v>4</v>
      </c>
      <c r="I1562">
        <v>10</v>
      </c>
      <c r="J1562">
        <v>2004</v>
      </c>
      <c r="K1562" t="s">
        <v>697</v>
      </c>
      <c r="L1562">
        <v>33</v>
      </c>
      <c r="M1562" t="s">
        <v>812</v>
      </c>
      <c r="N1562" t="s">
        <v>367</v>
      </c>
      <c r="O1562">
        <v>4155551450</v>
      </c>
      <c r="P1562" t="s">
        <v>368</v>
      </c>
      <c r="R1562" t="s">
        <v>369</v>
      </c>
      <c r="S1562" t="s">
        <v>124</v>
      </c>
      <c r="T1562">
        <v>97562</v>
      </c>
      <c r="U1562" t="s">
        <v>100</v>
      </c>
      <c r="V1562" t="s">
        <v>101</v>
      </c>
      <c r="W1562" t="s">
        <v>370</v>
      </c>
      <c r="X1562" t="s">
        <v>371</v>
      </c>
      <c r="Y1562" t="s">
        <v>104</v>
      </c>
    </row>
    <row r="1563" spans="1:25">
      <c r="A1563">
        <v>10322</v>
      </c>
      <c r="B1563">
        <v>20</v>
      </c>
      <c r="C1563">
        <v>100</v>
      </c>
      <c r="D1563">
        <v>3</v>
      </c>
      <c r="E1563">
        <v>2624</v>
      </c>
      <c r="F1563" s="4">
        <v>38088</v>
      </c>
      <c r="G1563" t="s">
        <v>93</v>
      </c>
      <c r="H1563">
        <v>4</v>
      </c>
      <c r="I1563">
        <v>11</v>
      </c>
      <c r="J1563">
        <v>2004</v>
      </c>
      <c r="K1563" t="s">
        <v>697</v>
      </c>
      <c r="L1563">
        <v>33</v>
      </c>
      <c r="M1563" t="s">
        <v>812</v>
      </c>
      <c r="N1563" t="s">
        <v>372</v>
      </c>
      <c r="O1563">
        <v>6035558647</v>
      </c>
      <c r="P1563" t="s">
        <v>373</v>
      </c>
      <c r="R1563" t="s">
        <v>374</v>
      </c>
      <c r="S1563" t="s">
        <v>375</v>
      </c>
      <c r="T1563">
        <v>62005</v>
      </c>
      <c r="U1563" t="s">
        <v>100</v>
      </c>
      <c r="V1563" t="s">
        <v>101</v>
      </c>
      <c r="W1563" t="s">
        <v>125</v>
      </c>
      <c r="X1563" t="s">
        <v>371</v>
      </c>
      <c r="Y1563" t="s">
        <v>104</v>
      </c>
    </row>
    <row r="1564" spans="1:25">
      <c r="A1564">
        <v>10332</v>
      </c>
      <c r="B1564">
        <v>45</v>
      </c>
      <c r="C1564">
        <v>81.91</v>
      </c>
      <c r="D1564">
        <v>6</v>
      </c>
      <c r="E1564">
        <v>3685.95</v>
      </c>
      <c r="F1564" t="s">
        <v>695</v>
      </c>
      <c r="G1564" t="s">
        <v>93</v>
      </c>
      <c r="H1564">
        <v>4</v>
      </c>
      <c r="I1564">
        <v>11</v>
      </c>
      <c r="J1564">
        <v>2004</v>
      </c>
      <c r="K1564" t="s">
        <v>697</v>
      </c>
      <c r="L1564">
        <v>33</v>
      </c>
      <c r="M1564" t="s">
        <v>812</v>
      </c>
      <c r="N1564" t="s">
        <v>624</v>
      </c>
      <c r="O1564" t="s">
        <v>625</v>
      </c>
      <c r="P1564" t="s">
        <v>626</v>
      </c>
      <c r="R1564" t="s">
        <v>627</v>
      </c>
      <c r="T1564" t="s">
        <v>628</v>
      </c>
      <c r="U1564" t="s">
        <v>252</v>
      </c>
      <c r="V1564" t="s">
        <v>110</v>
      </c>
      <c r="W1564" t="s">
        <v>629</v>
      </c>
      <c r="X1564" t="s">
        <v>167</v>
      </c>
      <c r="Y1564" t="s">
        <v>119</v>
      </c>
    </row>
    <row r="1565" spans="1:25">
      <c r="A1565">
        <v>10344</v>
      </c>
      <c r="B1565">
        <v>20</v>
      </c>
      <c r="C1565">
        <v>35.18</v>
      </c>
      <c r="D1565">
        <v>6</v>
      </c>
      <c r="E1565">
        <v>703.6</v>
      </c>
      <c r="F1565" t="s">
        <v>753</v>
      </c>
      <c r="G1565" t="s">
        <v>93</v>
      </c>
      <c r="H1565">
        <v>4</v>
      </c>
      <c r="I1565">
        <v>11</v>
      </c>
      <c r="J1565">
        <v>2004</v>
      </c>
      <c r="K1565" t="s">
        <v>697</v>
      </c>
      <c r="L1565">
        <v>33</v>
      </c>
      <c r="M1565" t="s">
        <v>812</v>
      </c>
      <c r="N1565" t="s">
        <v>555</v>
      </c>
      <c r="O1565" t="s">
        <v>556</v>
      </c>
      <c r="P1565" t="s">
        <v>557</v>
      </c>
      <c r="R1565" t="s">
        <v>558</v>
      </c>
      <c r="T1565">
        <v>13008</v>
      </c>
      <c r="U1565" t="s">
        <v>109</v>
      </c>
      <c r="V1565" t="s">
        <v>110</v>
      </c>
      <c r="W1565" t="s">
        <v>559</v>
      </c>
      <c r="X1565" t="s">
        <v>560</v>
      </c>
      <c r="Y1565" t="s">
        <v>104</v>
      </c>
    </row>
    <row r="1566" spans="1:25">
      <c r="A1566">
        <v>10356</v>
      </c>
      <c r="B1566">
        <v>48</v>
      </c>
      <c r="C1566">
        <v>100</v>
      </c>
      <c r="D1566">
        <v>5</v>
      </c>
      <c r="E1566">
        <v>9720</v>
      </c>
      <c r="F1566" s="4">
        <v>38242</v>
      </c>
      <c r="G1566" t="s">
        <v>93</v>
      </c>
      <c r="H1566">
        <v>4</v>
      </c>
      <c r="I1566">
        <v>12</v>
      </c>
      <c r="J1566">
        <v>2004</v>
      </c>
      <c r="K1566" t="s">
        <v>697</v>
      </c>
      <c r="L1566">
        <v>33</v>
      </c>
      <c r="M1566" t="s">
        <v>812</v>
      </c>
      <c r="N1566" t="s">
        <v>113</v>
      </c>
      <c r="O1566" t="s">
        <v>114</v>
      </c>
      <c r="P1566" t="s">
        <v>115</v>
      </c>
      <c r="R1566" t="s">
        <v>116</v>
      </c>
      <c r="T1566">
        <v>75508</v>
      </c>
      <c r="U1566" t="s">
        <v>109</v>
      </c>
      <c r="V1566" t="s">
        <v>110</v>
      </c>
      <c r="W1566" t="s">
        <v>117</v>
      </c>
      <c r="X1566" t="s">
        <v>118</v>
      </c>
      <c r="Y1566" t="s">
        <v>232</v>
      </c>
    </row>
    <row r="1567" spans="1:25">
      <c r="A1567">
        <v>10367</v>
      </c>
      <c r="B1567">
        <v>23</v>
      </c>
      <c r="C1567">
        <v>36.29</v>
      </c>
      <c r="D1567">
        <v>13</v>
      </c>
      <c r="E1567">
        <v>834.67</v>
      </c>
      <c r="F1567" s="4">
        <v>38687</v>
      </c>
      <c r="G1567" t="s">
        <v>526</v>
      </c>
      <c r="H1567">
        <v>1</v>
      </c>
      <c r="I1567">
        <v>1</v>
      </c>
      <c r="J1567">
        <v>2005</v>
      </c>
      <c r="K1567" t="s">
        <v>697</v>
      </c>
      <c r="L1567">
        <v>33</v>
      </c>
      <c r="M1567" t="s">
        <v>812</v>
      </c>
      <c r="N1567" t="s">
        <v>121</v>
      </c>
      <c r="O1567">
        <v>6265557265</v>
      </c>
      <c r="P1567" t="s">
        <v>122</v>
      </c>
      <c r="R1567" t="s">
        <v>123</v>
      </c>
      <c r="S1567" t="s">
        <v>124</v>
      </c>
      <c r="T1567">
        <v>90003</v>
      </c>
      <c r="U1567" t="s">
        <v>100</v>
      </c>
      <c r="V1567" t="s">
        <v>101</v>
      </c>
      <c r="W1567" t="s">
        <v>125</v>
      </c>
      <c r="X1567" t="s">
        <v>126</v>
      </c>
      <c r="Y1567" t="s">
        <v>104</v>
      </c>
    </row>
    <row r="1568" spans="1:25">
      <c r="A1568">
        <v>10380</v>
      </c>
      <c r="B1568">
        <v>32</v>
      </c>
      <c r="C1568">
        <v>70.56</v>
      </c>
      <c r="D1568">
        <v>4</v>
      </c>
      <c r="E1568">
        <v>2257.92</v>
      </c>
      <c r="F1568" t="s">
        <v>717</v>
      </c>
      <c r="G1568" t="s">
        <v>93</v>
      </c>
      <c r="H1568">
        <v>1</v>
      </c>
      <c r="I1568">
        <v>2</v>
      </c>
      <c r="J1568">
        <v>2005</v>
      </c>
      <c r="K1568" t="s">
        <v>697</v>
      </c>
      <c r="L1568">
        <v>33</v>
      </c>
      <c r="M1568" t="s">
        <v>812</v>
      </c>
      <c r="N1568" t="s">
        <v>257</v>
      </c>
      <c r="O1568" t="s">
        <v>258</v>
      </c>
      <c r="P1568" t="s">
        <v>259</v>
      </c>
      <c r="R1568" t="s">
        <v>260</v>
      </c>
      <c r="T1568">
        <v>28034</v>
      </c>
      <c r="U1568" t="s">
        <v>261</v>
      </c>
      <c r="V1568" t="s">
        <v>110</v>
      </c>
      <c r="W1568" t="s">
        <v>262</v>
      </c>
      <c r="X1568" t="s">
        <v>263</v>
      </c>
      <c r="Y1568" t="s">
        <v>104</v>
      </c>
    </row>
    <row r="1569" spans="1:25">
      <c r="A1569">
        <v>10391</v>
      </c>
      <c r="B1569">
        <v>33</v>
      </c>
      <c r="C1569">
        <v>100</v>
      </c>
      <c r="D1569">
        <v>8</v>
      </c>
      <c r="E1569">
        <v>8344.7099999999991</v>
      </c>
      <c r="F1569" s="4">
        <v>38598</v>
      </c>
      <c r="G1569" t="s">
        <v>93</v>
      </c>
      <c r="H1569">
        <v>1</v>
      </c>
      <c r="I1569">
        <v>3</v>
      </c>
      <c r="J1569">
        <v>2005</v>
      </c>
      <c r="K1569" t="s">
        <v>697</v>
      </c>
      <c r="L1569">
        <v>33</v>
      </c>
      <c r="M1569" t="s">
        <v>812</v>
      </c>
      <c r="N1569" t="s">
        <v>384</v>
      </c>
      <c r="O1569" t="s">
        <v>385</v>
      </c>
      <c r="P1569" t="s">
        <v>386</v>
      </c>
      <c r="Q1569" t="s">
        <v>387</v>
      </c>
      <c r="R1569" t="s">
        <v>388</v>
      </c>
      <c r="S1569" t="s">
        <v>239</v>
      </c>
      <c r="T1569">
        <v>2060</v>
      </c>
      <c r="U1569" t="s">
        <v>168</v>
      </c>
      <c r="V1569" t="s">
        <v>169</v>
      </c>
      <c r="W1569" t="s">
        <v>389</v>
      </c>
      <c r="X1569" t="s">
        <v>390</v>
      </c>
      <c r="Y1569" t="s">
        <v>232</v>
      </c>
    </row>
    <row r="1570" spans="1:25">
      <c r="A1570">
        <v>10409</v>
      </c>
      <c r="B1570">
        <v>61</v>
      </c>
      <c r="C1570">
        <v>29.54</v>
      </c>
      <c r="D1570">
        <v>1</v>
      </c>
      <c r="E1570">
        <v>1801.94</v>
      </c>
      <c r="F1570" t="s">
        <v>763</v>
      </c>
      <c r="G1570" t="s">
        <v>93</v>
      </c>
      <c r="H1570">
        <v>2</v>
      </c>
      <c r="I1570">
        <v>4</v>
      </c>
      <c r="J1570">
        <v>2005</v>
      </c>
      <c r="K1570" t="s">
        <v>697</v>
      </c>
      <c r="L1570">
        <v>33</v>
      </c>
      <c r="M1570" t="s">
        <v>812</v>
      </c>
      <c r="N1570" t="s">
        <v>536</v>
      </c>
      <c r="O1570" t="s">
        <v>537</v>
      </c>
      <c r="P1570" t="s">
        <v>538</v>
      </c>
      <c r="Q1570" t="s">
        <v>539</v>
      </c>
      <c r="R1570" t="s">
        <v>287</v>
      </c>
      <c r="T1570">
        <v>69045</v>
      </c>
      <c r="U1570" t="s">
        <v>287</v>
      </c>
      <c r="V1570" t="s">
        <v>169</v>
      </c>
      <c r="W1570" t="s">
        <v>540</v>
      </c>
      <c r="X1570" t="s">
        <v>541</v>
      </c>
      <c r="Y1570" t="s">
        <v>104</v>
      </c>
    </row>
    <row r="1571" spans="1:25">
      <c r="A1571">
        <v>10420</v>
      </c>
      <c r="B1571">
        <v>45</v>
      </c>
      <c r="C1571">
        <v>26.88</v>
      </c>
      <c r="D1571">
        <v>1</v>
      </c>
      <c r="E1571">
        <v>1209.5999999999999</v>
      </c>
      <c r="F1571" t="s">
        <v>754</v>
      </c>
      <c r="G1571" t="s">
        <v>400</v>
      </c>
      <c r="H1571">
        <v>2</v>
      </c>
      <c r="I1571">
        <v>5</v>
      </c>
      <c r="J1571">
        <v>2005</v>
      </c>
      <c r="K1571" t="s">
        <v>697</v>
      </c>
      <c r="L1571">
        <v>33</v>
      </c>
      <c r="M1571" t="s">
        <v>812</v>
      </c>
      <c r="N1571" t="s">
        <v>234</v>
      </c>
      <c r="O1571" t="s">
        <v>235</v>
      </c>
      <c r="P1571" t="s">
        <v>236</v>
      </c>
      <c r="Q1571" t="s">
        <v>237</v>
      </c>
      <c r="R1571" t="s">
        <v>238</v>
      </c>
      <c r="S1571" t="s">
        <v>239</v>
      </c>
      <c r="T1571">
        <v>2067</v>
      </c>
      <c r="U1571" t="s">
        <v>168</v>
      </c>
      <c r="V1571" t="s">
        <v>169</v>
      </c>
      <c r="W1571" t="s">
        <v>240</v>
      </c>
      <c r="X1571" t="s">
        <v>241</v>
      </c>
      <c r="Y1571" t="s">
        <v>104</v>
      </c>
    </row>
    <row r="1572" spans="1:25">
      <c r="A1572">
        <v>10107</v>
      </c>
      <c r="B1572">
        <v>38</v>
      </c>
      <c r="C1572">
        <v>83.03</v>
      </c>
      <c r="D1572">
        <v>7</v>
      </c>
      <c r="E1572">
        <v>3155.14</v>
      </c>
      <c r="F1572" t="s">
        <v>92</v>
      </c>
      <c r="G1572" t="s">
        <v>93</v>
      </c>
      <c r="H1572">
        <v>1</v>
      </c>
      <c r="I1572">
        <v>2</v>
      </c>
      <c r="J1572">
        <v>2003</v>
      </c>
      <c r="K1572" t="s">
        <v>94</v>
      </c>
      <c r="L1572">
        <v>76</v>
      </c>
      <c r="M1572" t="s">
        <v>813</v>
      </c>
      <c r="N1572" t="s">
        <v>96</v>
      </c>
      <c r="O1572">
        <v>2125557818</v>
      </c>
      <c r="P1572" t="s">
        <v>97</v>
      </c>
      <c r="R1572" t="s">
        <v>98</v>
      </c>
      <c r="S1572" t="s">
        <v>99</v>
      </c>
      <c r="T1572">
        <v>10022</v>
      </c>
      <c r="U1572" t="s">
        <v>100</v>
      </c>
      <c r="V1572" t="s">
        <v>101</v>
      </c>
      <c r="W1572" t="s">
        <v>102</v>
      </c>
      <c r="X1572" t="s">
        <v>103</v>
      </c>
      <c r="Y1572" t="s">
        <v>119</v>
      </c>
    </row>
    <row r="1573" spans="1:25">
      <c r="A1573">
        <v>10120</v>
      </c>
      <c r="B1573">
        <v>34</v>
      </c>
      <c r="C1573">
        <v>83.79</v>
      </c>
      <c r="D1573">
        <v>5</v>
      </c>
      <c r="E1573">
        <v>2848.86</v>
      </c>
      <c r="F1573" t="s">
        <v>402</v>
      </c>
      <c r="G1573" t="s">
        <v>93</v>
      </c>
      <c r="H1573">
        <v>2</v>
      </c>
      <c r="I1573">
        <v>4</v>
      </c>
      <c r="J1573">
        <v>2003</v>
      </c>
      <c r="K1573" t="s">
        <v>94</v>
      </c>
      <c r="L1573">
        <v>76</v>
      </c>
      <c r="M1573" t="s">
        <v>813</v>
      </c>
      <c r="N1573" t="s">
        <v>162</v>
      </c>
      <c r="O1573" t="s">
        <v>163</v>
      </c>
      <c r="P1573" t="s">
        <v>164</v>
      </c>
      <c r="Q1573" t="s">
        <v>165</v>
      </c>
      <c r="R1573" t="s">
        <v>166</v>
      </c>
      <c r="S1573" t="s">
        <v>167</v>
      </c>
      <c r="T1573">
        <v>3004</v>
      </c>
      <c r="U1573" t="s">
        <v>168</v>
      </c>
      <c r="V1573" t="s">
        <v>169</v>
      </c>
      <c r="W1573" t="s">
        <v>170</v>
      </c>
      <c r="X1573" t="s">
        <v>171</v>
      </c>
      <c r="Y1573" t="s">
        <v>104</v>
      </c>
    </row>
    <row r="1574" spans="1:25">
      <c r="A1574">
        <v>10134</v>
      </c>
      <c r="B1574">
        <v>43</v>
      </c>
      <c r="C1574">
        <v>83.03</v>
      </c>
      <c r="D1574">
        <v>7</v>
      </c>
      <c r="E1574">
        <v>3570.29</v>
      </c>
      <c r="F1574" s="4">
        <v>37628</v>
      </c>
      <c r="G1574" t="s">
        <v>93</v>
      </c>
      <c r="H1574">
        <v>3</v>
      </c>
      <c r="I1574">
        <v>7</v>
      </c>
      <c r="J1574">
        <v>2003</v>
      </c>
      <c r="K1574" t="s">
        <v>94</v>
      </c>
      <c r="L1574">
        <v>76</v>
      </c>
      <c r="M1574" t="s">
        <v>813</v>
      </c>
      <c r="N1574" t="s">
        <v>113</v>
      </c>
      <c r="O1574" t="s">
        <v>114</v>
      </c>
      <c r="P1574" t="s">
        <v>115</v>
      </c>
      <c r="R1574" t="s">
        <v>116</v>
      </c>
      <c r="T1574">
        <v>75508</v>
      </c>
      <c r="U1574" t="s">
        <v>109</v>
      </c>
      <c r="V1574" t="s">
        <v>110</v>
      </c>
      <c r="W1574" t="s">
        <v>117</v>
      </c>
      <c r="X1574" t="s">
        <v>118</v>
      </c>
      <c r="Y1574" t="s">
        <v>119</v>
      </c>
    </row>
    <row r="1575" spans="1:25">
      <c r="A1575">
        <v>10145</v>
      </c>
      <c r="B1575">
        <v>47</v>
      </c>
      <c r="C1575">
        <v>83.03</v>
      </c>
      <c r="D1575">
        <v>11</v>
      </c>
      <c r="E1575">
        <v>3902.41</v>
      </c>
      <c r="F1575" t="s">
        <v>120</v>
      </c>
      <c r="G1575" t="s">
        <v>93</v>
      </c>
      <c r="H1575">
        <v>3</v>
      </c>
      <c r="I1575">
        <v>8</v>
      </c>
      <c r="J1575">
        <v>2003</v>
      </c>
      <c r="K1575" t="s">
        <v>94</v>
      </c>
      <c r="L1575">
        <v>76</v>
      </c>
      <c r="M1575" t="s">
        <v>813</v>
      </c>
      <c r="N1575" t="s">
        <v>121</v>
      </c>
      <c r="O1575">
        <v>6265557265</v>
      </c>
      <c r="P1575" t="s">
        <v>122</v>
      </c>
      <c r="R1575" t="s">
        <v>123</v>
      </c>
      <c r="S1575" t="s">
        <v>124</v>
      </c>
      <c r="T1575">
        <v>90003</v>
      </c>
      <c r="U1575" t="s">
        <v>100</v>
      </c>
      <c r="V1575" t="s">
        <v>101</v>
      </c>
      <c r="W1575" t="s">
        <v>125</v>
      </c>
      <c r="X1575" t="s">
        <v>126</v>
      </c>
      <c r="Y1575" t="s">
        <v>119</v>
      </c>
    </row>
    <row r="1576" spans="1:25">
      <c r="A1576">
        <v>10158</v>
      </c>
      <c r="B1576">
        <v>22</v>
      </c>
      <c r="C1576">
        <v>67.03</v>
      </c>
      <c r="D1576">
        <v>1</v>
      </c>
      <c r="E1576">
        <v>1474.66</v>
      </c>
      <c r="F1576" s="4">
        <v>37904</v>
      </c>
      <c r="G1576" t="s">
        <v>93</v>
      </c>
      <c r="H1576">
        <v>4</v>
      </c>
      <c r="I1576">
        <v>10</v>
      </c>
      <c r="J1576">
        <v>2003</v>
      </c>
      <c r="K1576" t="s">
        <v>94</v>
      </c>
      <c r="L1576">
        <v>76</v>
      </c>
      <c r="M1576" t="s">
        <v>813</v>
      </c>
      <c r="N1576" t="s">
        <v>212</v>
      </c>
      <c r="O1576" t="s">
        <v>213</v>
      </c>
      <c r="P1576" t="s">
        <v>214</v>
      </c>
      <c r="R1576" t="s">
        <v>215</v>
      </c>
      <c r="T1576">
        <v>4110</v>
      </c>
      <c r="U1576" t="s">
        <v>149</v>
      </c>
      <c r="V1576" t="s">
        <v>110</v>
      </c>
      <c r="W1576" t="s">
        <v>216</v>
      </c>
      <c r="X1576" t="s">
        <v>217</v>
      </c>
      <c r="Y1576" t="s">
        <v>104</v>
      </c>
    </row>
    <row r="1577" spans="1:25">
      <c r="A1577">
        <v>10168</v>
      </c>
      <c r="B1577">
        <v>29</v>
      </c>
      <c r="C1577">
        <v>75.41</v>
      </c>
      <c r="D1577">
        <v>6</v>
      </c>
      <c r="E1577">
        <v>2186.89</v>
      </c>
      <c r="F1577" t="s">
        <v>131</v>
      </c>
      <c r="G1577" t="s">
        <v>93</v>
      </c>
      <c r="H1577">
        <v>4</v>
      </c>
      <c r="I1577">
        <v>10</v>
      </c>
      <c r="J1577">
        <v>2003</v>
      </c>
      <c r="K1577" t="s">
        <v>94</v>
      </c>
      <c r="L1577">
        <v>76</v>
      </c>
      <c r="M1577" t="s">
        <v>813</v>
      </c>
      <c r="N1577" t="s">
        <v>132</v>
      </c>
      <c r="O1577">
        <v>6505556809</v>
      </c>
      <c r="P1577" t="s">
        <v>133</v>
      </c>
      <c r="R1577" t="s">
        <v>134</v>
      </c>
      <c r="S1577" t="s">
        <v>124</v>
      </c>
      <c r="T1577">
        <v>94217</v>
      </c>
      <c r="U1577" t="s">
        <v>100</v>
      </c>
      <c r="V1577" t="s">
        <v>101</v>
      </c>
      <c r="W1577" t="s">
        <v>135</v>
      </c>
      <c r="X1577" t="s">
        <v>136</v>
      </c>
      <c r="Y1577" t="s">
        <v>104</v>
      </c>
    </row>
    <row r="1578" spans="1:25">
      <c r="A1578">
        <v>10180</v>
      </c>
      <c r="B1578">
        <v>28</v>
      </c>
      <c r="C1578">
        <v>68.55</v>
      </c>
      <c r="D1578">
        <v>14</v>
      </c>
      <c r="E1578">
        <v>1919.4</v>
      </c>
      <c r="F1578" s="4">
        <v>37936</v>
      </c>
      <c r="G1578" t="s">
        <v>93</v>
      </c>
      <c r="H1578">
        <v>4</v>
      </c>
      <c r="I1578">
        <v>11</v>
      </c>
      <c r="J1578">
        <v>2003</v>
      </c>
      <c r="K1578" t="s">
        <v>94</v>
      </c>
      <c r="L1578">
        <v>76</v>
      </c>
      <c r="M1578" t="s">
        <v>813</v>
      </c>
      <c r="N1578" t="s">
        <v>137</v>
      </c>
      <c r="O1578" t="s">
        <v>138</v>
      </c>
      <c r="P1578" t="s">
        <v>139</v>
      </c>
      <c r="R1578" t="s">
        <v>140</v>
      </c>
      <c r="T1578">
        <v>59000</v>
      </c>
      <c r="U1578" t="s">
        <v>109</v>
      </c>
      <c r="V1578" t="s">
        <v>110</v>
      </c>
      <c r="W1578" t="s">
        <v>141</v>
      </c>
      <c r="X1578" t="s">
        <v>142</v>
      </c>
      <c r="Y1578" t="s">
        <v>104</v>
      </c>
    </row>
    <row r="1579" spans="1:25">
      <c r="A1579">
        <v>10188</v>
      </c>
      <c r="B1579">
        <v>40</v>
      </c>
      <c r="C1579">
        <v>91.4</v>
      </c>
      <c r="D1579">
        <v>6</v>
      </c>
      <c r="E1579">
        <v>3656</v>
      </c>
      <c r="F1579" t="s">
        <v>143</v>
      </c>
      <c r="G1579" t="s">
        <v>93</v>
      </c>
      <c r="H1579">
        <v>4</v>
      </c>
      <c r="I1579">
        <v>11</v>
      </c>
      <c r="J1579">
        <v>2003</v>
      </c>
      <c r="K1579" t="s">
        <v>94</v>
      </c>
      <c r="L1579">
        <v>76</v>
      </c>
      <c r="M1579" t="s">
        <v>813</v>
      </c>
      <c r="N1579" t="s">
        <v>144</v>
      </c>
      <c r="O1579" t="s">
        <v>145</v>
      </c>
      <c r="P1579" t="s">
        <v>146</v>
      </c>
      <c r="R1579" t="s">
        <v>147</v>
      </c>
      <c r="T1579" t="s">
        <v>148</v>
      </c>
      <c r="U1579" t="s">
        <v>149</v>
      </c>
      <c r="V1579" t="s">
        <v>110</v>
      </c>
      <c r="W1579" t="s">
        <v>150</v>
      </c>
      <c r="X1579" t="s">
        <v>151</v>
      </c>
      <c r="Y1579" t="s">
        <v>119</v>
      </c>
    </row>
    <row r="1580" spans="1:25">
      <c r="A1580">
        <v>10201</v>
      </c>
      <c r="B1580">
        <v>25</v>
      </c>
      <c r="C1580">
        <v>73.88</v>
      </c>
      <c r="D1580">
        <v>7</v>
      </c>
      <c r="E1580">
        <v>1847</v>
      </c>
      <c r="F1580" s="4">
        <v>37633</v>
      </c>
      <c r="G1580" t="s">
        <v>93</v>
      </c>
      <c r="H1580">
        <v>4</v>
      </c>
      <c r="I1580">
        <v>12</v>
      </c>
      <c r="J1580">
        <v>2003</v>
      </c>
      <c r="K1580" t="s">
        <v>94</v>
      </c>
      <c r="L1580">
        <v>76</v>
      </c>
      <c r="M1580" t="s">
        <v>813</v>
      </c>
      <c r="N1580" t="s">
        <v>152</v>
      </c>
      <c r="O1580">
        <v>6505555787</v>
      </c>
      <c r="P1580" t="s">
        <v>153</v>
      </c>
      <c r="R1580" t="s">
        <v>129</v>
      </c>
      <c r="S1580" t="s">
        <v>124</v>
      </c>
      <c r="U1580" t="s">
        <v>100</v>
      </c>
      <c r="V1580" t="s">
        <v>101</v>
      </c>
      <c r="W1580" t="s">
        <v>154</v>
      </c>
      <c r="X1580" t="s">
        <v>126</v>
      </c>
      <c r="Y1580" t="s">
        <v>104</v>
      </c>
    </row>
    <row r="1581" spans="1:25">
      <c r="A1581">
        <v>10210</v>
      </c>
      <c r="B1581">
        <v>30</v>
      </c>
      <c r="C1581">
        <v>61.7</v>
      </c>
      <c r="D1581">
        <v>4</v>
      </c>
      <c r="E1581">
        <v>1851</v>
      </c>
      <c r="F1581" s="4">
        <v>38322</v>
      </c>
      <c r="G1581" t="s">
        <v>93</v>
      </c>
      <c r="H1581">
        <v>1</v>
      </c>
      <c r="I1581">
        <v>1</v>
      </c>
      <c r="J1581">
        <v>2004</v>
      </c>
      <c r="K1581" t="s">
        <v>94</v>
      </c>
      <c r="L1581">
        <v>76</v>
      </c>
      <c r="M1581" t="s">
        <v>813</v>
      </c>
      <c r="N1581" t="s">
        <v>403</v>
      </c>
      <c r="O1581" t="s">
        <v>404</v>
      </c>
      <c r="P1581" t="s">
        <v>405</v>
      </c>
      <c r="R1581" t="s">
        <v>406</v>
      </c>
      <c r="S1581" t="s">
        <v>406</v>
      </c>
      <c r="T1581" t="s">
        <v>407</v>
      </c>
      <c r="U1581" t="s">
        <v>288</v>
      </c>
      <c r="V1581" t="s">
        <v>288</v>
      </c>
      <c r="W1581" t="s">
        <v>408</v>
      </c>
      <c r="X1581" t="s">
        <v>409</v>
      </c>
      <c r="Y1581" t="s">
        <v>104</v>
      </c>
    </row>
    <row r="1582" spans="1:25">
      <c r="A1582">
        <v>10223</v>
      </c>
      <c r="B1582">
        <v>38</v>
      </c>
      <c r="C1582">
        <v>69.31</v>
      </c>
      <c r="D1582">
        <v>6</v>
      </c>
      <c r="E1582">
        <v>2633.78</v>
      </c>
      <c r="F1582" t="s">
        <v>161</v>
      </c>
      <c r="G1582" t="s">
        <v>93</v>
      </c>
      <c r="H1582">
        <v>1</v>
      </c>
      <c r="I1582">
        <v>2</v>
      </c>
      <c r="J1582">
        <v>2004</v>
      </c>
      <c r="K1582" t="s">
        <v>94</v>
      </c>
      <c r="L1582">
        <v>76</v>
      </c>
      <c r="M1582" t="s">
        <v>813</v>
      </c>
      <c r="N1582" t="s">
        <v>162</v>
      </c>
      <c r="O1582" t="s">
        <v>163</v>
      </c>
      <c r="P1582" t="s">
        <v>164</v>
      </c>
      <c r="Q1582" t="s">
        <v>165</v>
      </c>
      <c r="R1582" t="s">
        <v>166</v>
      </c>
      <c r="S1582" t="s">
        <v>167</v>
      </c>
      <c r="T1582">
        <v>3004</v>
      </c>
      <c r="U1582" t="s">
        <v>168</v>
      </c>
      <c r="V1582" t="s">
        <v>169</v>
      </c>
      <c r="W1582" t="s">
        <v>170</v>
      </c>
      <c r="X1582" t="s">
        <v>171</v>
      </c>
      <c r="Y1582" t="s">
        <v>104</v>
      </c>
    </row>
    <row r="1583" spans="1:25">
      <c r="A1583">
        <v>10236</v>
      </c>
      <c r="B1583">
        <v>36</v>
      </c>
      <c r="C1583">
        <v>87.6</v>
      </c>
      <c r="D1583">
        <v>3</v>
      </c>
      <c r="E1583">
        <v>3153.6</v>
      </c>
      <c r="F1583" s="4">
        <v>38050</v>
      </c>
      <c r="G1583" t="s">
        <v>93</v>
      </c>
      <c r="H1583">
        <v>2</v>
      </c>
      <c r="I1583">
        <v>4</v>
      </c>
      <c r="J1583">
        <v>2004</v>
      </c>
      <c r="K1583" t="s">
        <v>94</v>
      </c>
      <c r="L1583">
        <v>76</v>
      </c>
      <c r="M1583" t="s">
        <v>813</v>
      </c>
      <c r="N1583" t="s">
        <v>410</v>
      </c>
      <c r="O1583">
        <v>2155559857</v>
      </c>
      <c r="P1583" t="s">
        <v>411</v>
      </c>
      <c r="R1583" t="s">
        <v>306</v>
      </c>
      <c r="S1583" t="s">
        <v>221</v>
      </c>
      <c r="T1583">
        <v>71270</v>
      </c>
      <c r="U1583" t="s">
        <v>100</v>
      </c>
      <c r="V1583" t="s">
        <v>101</v>
      </c>
      <c r="W1583" t="s">
        <v>201</v>
      </c>
      <c r="X1583" t="s">
        <v>412</v>
      </c>
      <c r="Y1583" t="s">
        <v>119</v>
      </c>
    </row>
    <row r="1584" spans="1:25">
      <c r="A1584">
        <v>10250</v>
      </c>
      <c r="B1584">
        <v>32</v>
      </c>
      <c r="C1584">
        <v>87.6</v>
      </c>
      <c r="D1584">
        <v>1</v>
      </c>
      <c r="E1584">
        <v>2803.2</v>
      </c>
      <c r="F1584" s="4">
        <v>38296</v>
      </c>
      <c r="G1584" t="s">
        <v>93</v>
      </c>
      <c r="H1584">
        <v>2</v>
      </c>
      <c r="I1584">
        <v>5</v>
      </c>
      <c r="J1584">
        <v>2004</v>
      </c>
      <c r="K1584" t="s">
        <v>94</v>
      </c>
      <c r="L1584">
        <v>76</v>
      </c>
      <c r="M1584" t="s">
        <v>813</v>
      </c>
      <c r="N1584" t="s">
        <v>514</v>
      </c>
      <c r="O1584">
        <v>4085553659</v>
      </c>
      <c r="P1584" t="s">
        <v>515</v>
      </c>
      <c r="R1584" t="s">
        <v>516</v>
      </c>
      <c r="S1584" t="s">
        <v>124</v>
      </c>
      <c r="T1584">
        <v>94217</v>
      </c>
      <c r="U1584" t="s">
        <v>100</v>
      </c>
      <c r="V1584" t="s">
        <v>101</v>
      </c>
      <c r="W1584" t="s">
        <v>175</v>
      </c>
      <c r="X1584" t="s">
        <v>517</v>
      </c>
      <c r="Y1584" t="s">
        <v>104</v>
      </c>
    </row>
    <row r="1585" spans="1:25">
      <c r="A1585">
        <v>10263</v>
      </c>
      <c r="B1585">
        <v>37</v>
      </c>
      <c r="C1585">
        <v>62.46</v>
      </c>
      <c r="D1585">
        <v>7</v>
      </c>
      <c r="E1585">
        <v>2311.02</v>
      </c>
      <c r="F1585" t="s">
        <v>183</v>
      </c>
      <c r="G1585" t="s">
        <v>93</v>
      </c>
      <c r="H1585">
        <v>2</v>
      </c>
      <c r="I1585">
        <v>6</v>
      </c>
      <c r="J1585">
        <v>2004</v>
      </c>
      <c r="K1585" t="s">
        <v>94</v>
      </c>
      <c r="L1585">
        <v>76</v>
      </c>
      <c r="M1585" t="s">
        <v>813</v>
      </c>
      <c r="N1585" t="s">
        <v>184</v>
      </c>
      <c r="O1585">
        <v>2035552570</v>
      </c>
      <c r="P1585" t="s">
        <v>185</v>
      </c>
      <c r="R1585" t="s">
        <v>186</v>
      </c>
      <c r="S1585" t="s">
        <v>187</v>
      </c>
      <c r="T1585">
        <v>97562</v>
      </c>
      <c r="U1585" t="s">
        <v>100</v>
      </c>
      <c r="V1585" t="s">
        <v>101</v>
      </c>
      <c r="W1585" t="s">
        <v>188</v>
      </c>
      <c r="X1585" t="s">
        <v>126</v>
      </c>
      <c r="Y1585" t="s">
        <v>104</v>
      </c>
    </row>
    <row r="1586" spans="1:25">
      <c r="A1586">
        <v>10275</v>
      </c>
      <c r="B1586">
        <v>30</v>
      </c>
      <c r="C1586">
        <v>79.98</v>
      </c>
      <c r="D1586">
        <v>6</v>
      </c>
      <c r="E1586">
        <v>2399.4</v>
      </c>
      <c r="F1586" t="s">
        <v>189</v>
      </c>
      <c r="G1586" t="s">
        <v>93</v>
      </c>
      <c r="H1586">
        <v>3</v>
      </c>
      <c r="I1586">
        <v>7</v>
      </c>
      <c r="J1586">
        <v>2004</v>
      </c>
      <c r="K1586" t="s">
        <v>94</v>
      </c>
      <c r="L1586">
        <v>76</v>
      </c>
      <c r="M1586" t="s">
        <v>813</v>
      </c>
      <c r="N1586" t="s">
        <v>190</v>
      </c>
      <c r="O1586" t="s">
        <v>191</v>
      </c>
      <c r="P1586" t="s">
        <v>192</v>
      </c>
      <c r="R1586" t="s">
        <v>193</v>
      </c>
      <c r="T1586">
        <v>44000</v>
      </c>
      <c r="U1586" t="s">
        <v>109</v>
      </c>
      <c r="V1586" t="s">
        <v>110</v>
      </c>
      <c r="W1586" t="s">
        <v>194</v>
      </c>
      <c r="X1586" t="s">
        <v>195</v>
      </c>
      <c r="Y1586" t="s">
        <v>104</v>
      </c>
    </row>
    <row r="1587" spans="1:25">
      <c r="A1587">
        <v>10285</v>
      </c>
      <c r="B1587">
        <v>39</v>
      </c>
      <c r="C1587">
        <v>70.08</v>
      </c>
      <c r="D1587">
        <v>11</v>
      </c>
      <c r="E1587">
        <v>2733.12</v>
      </c>
      <c r="F1587" t="s">
        <v>196</v>
      </c>
      <c r="G1587" t="s">
        <v>93</v>
      </c>
      <c r="H1587">
        <v>3</v>
      </c>
      <c r="I1587">
        <v>8</v>
      </c>
      <c r="J1587">
        <v>2004</v>
      </c>
      <c r="K1587" t="s">
        <v>94</v>
      </c>
      <c r="L1587">
        <v>76</v>
      </c>
      <c r="M1587" t="s">
        <v>813</v>
      </c>
      <c r="N1587" t="s">
        <v>197</v>
      </c>
      <c r="O1587">
        <v>6175558555</v>
      </c>
      <c r="P1587" t="s">
        <v>198</v>
      </c>
      <c r="R1587" t="s">
        <v>199</v>
      </c>
      <c r="S1587" t="s">
        <v>200</v>
      </c>
      <c r="T1587">
        <v>51247</v>
      </c>
      <c r="U1587" t="s">
        <v>100</v>
      </c>
      <c r="V1587" t="s">
        <v>101</v>
      </c>
      <c r="W1587" t="s">
        <v>201</v>
      </c>
      <c r="X1587" t="s">
        <v>202</v>
      </c>
      <c r="Y1587" t="s">
        <v>104</v>
      </c>
    </row>
    <row r="1588" spans="1:25">
      <c r="A1588">
        <v>10297</v>
      </c>
      <c r="B1588">
        <v>32</v>
      </c>
      <c r="C1588">
        <v>65.510000000000005</v>
      </c>
      <c r="D1588">
        <v>1</v>
      </c>
      <c r="E1588">
        <v>2096.3200000000002</v>
      </c>
      <c r="F1588" t="s">
        <v>767</v>
      </c>
      <c r="G1588" t="s">
        <v>93</v>
      </c>
      <c r="H1588">
        <v>3</v>
      </c>
      <c r="I1588">
        <v>9</v>
      </c>
      <c r="J1588">
        <v>2004</v>
      </c>
      <c r="K1588" t="s">
        <v>94</v>
      </c>
      <c r="L1588">
        <v>76</v>
      </c>
      <c r="M1588" t="s">
        <v>813</v>
      </c>
      <c r="N1588" t="s">
        <v>609</v>
      </c>
      <c r="O1588" t="s">
        <v>610</v>
      </c>
      <c r="P1588" t="s">
        <v>611</v>
      </c>
      <c r="Q1588" t="s">
        <v>612</v>
      </c>
      <c r="R1588" t="s">
        <v>613</v>
      </c>
      <c r="T1588">
        <v>2</v>
      </c>
      <c r="U1588" t="s">
        <v>614</v>
      </c>
      <c r="V1588" t="s">
        <v>110</v>
      </c>
      <c r="W1588" t="s">
        <v>615</v>
      </c>
      <c r="X1588" t="s">
        <v>616</v>
      </c>
      <c r="Y1588" t="s">
        <v>104</v>
      </c>
    </row>
    <row r="1589" spans="1:25">
      <c r="A1589">
        <v>10308</v>
      </c>
      <c r="B1589">
        <v>47</v>
      </c>
      <c r="C1589">
        <v>63.22</v>
      </c>
      <c r="D1589">
        <v>4</v>
      </c>
      <c r="E1589">
        <v>2971.34</v>
      </c>
      <c r="F1589" t="s">
        <v>211</v>
      </c>
      <c r="G1589" t="s">
        <v>93</v>
      </c>
      <c r="H1589">
        <v>4</v>
      </c>
      <c r="I1589">
        <v>10</v>
      </c>
      <c r="J1589">
        <v>2004</v>
      </c>
      <c r="K1589" t="s">
        <v>94</v>
      </c>
      <c r="L1589">
        <v>76</v>
      </c>
      <c r="M1589" t="s">
        <v>813</v>
      </c>
      <c r="N1589" t="s">
        <v>419</v>
      </c>
      <c r="O1589">
        <v>9145554562</v>
      </c>
      <c r="P1589" t="s">
        <v>420</v>
      </c>
      <c r="R1589" t="s">
        <v>421</v>
      </c>
      <c r="S1589" t="s">
        <v>99</v>
      </c>
      <c r="T1589">
        <v>24067</v>
      </c>
      <c r="U1589" t="s">
        <v>100</v>
      </c>
      <c r="V1589" t="s">
        <v>101</v>
      </c>
      <c r="W1589" t="s">
        <v>175</v>
      </c>
      <c r="X1589" t="s">
        <v>329</v>
      </c>
      <c r="Y1589" t="s">
        <v>104</v>
      </c>
    </row>
    <row r="1590" spans="1:25">
      <c r="A1590">
        <v>10318</v>
      </c>
      <c r="B1590">
        <v>26</v>
      </c>
      <c r="C1590">
        <v>86.83</v>
      </c>
      <c r="D1590">
        <v>6</v>
      </c>
      <c r="E1590">
        <v>2257.58</v>
      </c>
      <c r="F1590" s="4">
        <v>38028</v>
      </c>
      <c r="G1590" t="s">
        <v>93</v>
      </c>
      <c r="H1590">
        <v>4</v>
      </c>
      <c r="I1590">
        <v>11</v>
      </c>
      <c r="J1590">
        <v>2004</v>
      </c>
      <c r="K1590" t="s">
        <v>94</v>
      </c>
      <c r="L1590">
        <v>76</v>
      </c>
      <c r="M1590" t="s">
        <v>813</v>
      </c>
      <c r="N1590" t="s">
        <v>218</v>
      </c>
      <c r="O1590">
        <v>2155551555</v>
      </c>
      <c r="P1590" t="s">
        <v>219</v>
      </c>
      <c r="R1590" t="s">
        <v>220</v>
      </c>
      <c r="S1590" t="s">
        <v>221</v>
      </c>
      <c r="T1590">
        <v>70267</v>
      </c>
      <c r="U1590" t="s">
        <v>100</v>
      </c>
      <c r="V1590" t="s">
        <v>101</v>
      </c>
      <c r="W1590" t="s">
        <v>102</v>
      </c>
      <c r="X1590" t="s">
        <v>222</v>
      </c>
      <c r="Y1590" t="s">
        <v>104</v>
      </c>
    </row>
    <row r="1591" spans="1:25">
      <c r="A1591">
        <v>10329</v>
      </c>
      <c r="B1591">
        <v>37</v>
      </c>
      <c r="C1591">
        <v>94.43</v>
      </c>
      <c r="D1591">
        <v>4</v>
      </c>
      <c r="E1591">
        <v>3493.91</v>
      </c>
      <c r="F1591" t="s">
        <v>223</v>
      </c>
      <c r="G1591" t="s">
        <v>93</v>
      </c>
      <c r="H1591">
        <v>4</v>
      </c>
      <c r="I1591">
        <v>11</v>
      </c>
      <c r="J1591">
        <v>2004</v>
      </c>
      <c r="K1591" t="s">
        <v>94</v>
      </c>
      <c r="L1591">
        <v>76</v>
      </c>
      <c r="M1591" t="s">
        <v>813</v>
      </c>
      <c r="N1591" t="s">
        <v>96</v>
      </c>
      <c r="O1591">
        <v>2125557818</v>
      </c>
      <c r="P1591" t="s">
        <v>97</v>
      </c>
      <c r="R1591" t="s">
        <v>98</v>
      </c>
      <c r="S1591" t="s">
        <v>99</v>
      </c>
      <c r="T1591">
        <v>10022</v>
      </c>
      <c r="U1591" t="s">
        <v>100</v>
      </c>
      <c r="V1591" t="s">
        <v>101</v>
      </c>
      <c r="W1591" t="s">
        <v>102</v>
      </c>
      <c r="X1591" t="s">
        <v>103</v>
      </c>
      <c r="Y1591" t="s">
        <v>119</v>
      </c>
    </row>
    <row r="1592" spans="1:25">
      <c r="A1592">
        <v>10340</v>
      </c>
      <c r="B1592">
        <v>55</v>
      </c>
      <c r="C1592">
        <v>79.98</v>
      </c>
      <c r="D1592">
        <v>8</v>
      </c>
      <c r="E1592">
        <v>4398.8999999999996</v>
      </c>
      <c r="F1592" t="s">
        <v>224</v>
      </c>
      <c r="G1592" t="s">
        <v>93</v>
      </c>
      <c r="H1592">
        <v>4</v>
      </c>
      <c r="I1592">
        <v>11</v>
      </c>
      <c r="J1592">
        <v>2004</v>
      </c>
      <c r="K1592" t="s">
        <v>94</v>
      </c>
      <c r="L1592">
        <v>76</v>
      </c>
      <c r="M1592" t="s">
        <v>813</v>
      </c>
      <c r="N1592" t="s">
        <v>459</v>
      </c>
      <c r="O1592" t="s">
        <v>460</v>
      </c>
      <c r="P1592" t="s">
        <v>461</v>
      </c>
      <c r="R1592" t="s">
        <v>462</v>
      </c>
      <c r="T1592">
        <v>8022</v>
      </c>
      <c r="U1592" t="s">
        <v>261</v>
      </c>
      <c r="V1592" t="s">
        <v>110</v>
      </c>
      <c r="W1592" t="s">
        <v>463</v>
      </c>
      <c r="X1592" t="s">
        <v>464</v>
      </c>
      <c r="Y1592" t="s">
        <v>119</v>
      </c>
    </row>
    <row r="1593" spans="1:25">
      <c r="A1593">
        <v>10363</v>
      </c>
      <c r="B1593">
        <v>21</v>
      </c>
      <c r="C1593">
        <v>100</v>
      </c>
      <c r="D1593">
        <v>8</v>
      </c>
      <c r="E1593">
        <v>3595.62</v>
      </c>
      <c r="F1593" s="4">
        <v>38504</v>
      </c>
      <c r="G1593" t="s">
        <v>93</v>
      </c>
      <c r="H1593">
        <v>1</v>
      </c>
      <c r="I1593">
        <v>1</v>
      </c>
      <c r="J1593">
        <v>2005</v>
      </c>
      <c r="K1593" t="s">
        <v>94</v>
      </c>
      <c r="L1593">
        <v>76</v>
      </c>
      <c r="M1593" t="s">
        <v>813</v>
      </c>
      <c r="N1593" t="s">
        <v>593</v>
      </c>
      <c r="O1593" t="s">
        <v>594</v>
      </c>
      <c r="P1593" t="s">
        <v>595</v>
      </c>
      <c r="R1593" t="s">
        <v>596</v>
      </c>
      <c r="T1593" t="s">
        <v>597</v>
      </c>
      <c r="U1593" t="s">
        <v>208</v>
      </c>
      <c r="V1593" t="s">
        <v>110</v>
      </c>
      <c r="W1593" t="s">
        <v>598</v>
      </c>
      <c r="X1593" t="s">
        <v>599</v>
      </c>
      <c r="Y1593" t="s">
        <v>119</v>
      </c>
    </row>
    <row r="1594" spans="1:25">
      <c r="A1594">
        <v>10375</v>
      </c>
      <c r="B1594">
        <v>23</v>
      </c>
      <c r="C1594">
        <v>100</v>
      </c>
      <c r="D1594">
        <v>9</v>
      </c>
      <c r="E1594">
        <v>2443.29</v>
      </c>
      <c r="F1594" s="4">
        <v>38413</v>
      </c>
      <c r="G1594" t="s">
        <v>93</v>
      </c>
      <c r="H1594">
        <v>1</v>
      </c>
      <c r="I1594">
        <v>2</v>
      </c>
      <c r="J1594">
        <v>2005</v>
      </c>
      <c r="K1594" t="s">
        <v>94</v>
      </c>
      <c r="L1594">
        <v>76</v>
      </c>
      <c r="M1594" t="s">
        <v>813</v>
      </c>
      <c r="N1594" t="s">
        <v>190</v>
      </c>
      <c r="O1594" t="s">
        <v>191</v>
      </c>
      <c r="P1594" t="s">
        <v>192</v>
      </c>
      <c r="R1594" t="s">
        <v>193</v>
      </c>
      <c r="T1594">
        <v>44000</v>
      </c>
      <c r="U1594" t="s">
        <v>109</v>
      </c>
      <c r="V1594" t="s">
        <v>110</v>
      </c>
      <c r="W1594" t="s">
        <v>194</v>
      </c>
      <c r="X1594" t="s">
        <v>195</v>
      </c>
      <c r="Y1594" t="s">
        <v>104</v>
      </c>
    </row>
    <row r="1595" spans="1:25">
      <c r="A1595">
        <v>10389</v>
      </c>
      <c r="B1595">
        <v>49</v>
      </c>
      <c r="C1595">
        <v>81.400000000000006</v>
      </c>
      <c r="D1595">
        <v>2</v>
      </c>
      <c r="E1595">
        <v>3988.6</v>
      </c>
      <c r="F1595" s="4">
        <v>38414</v>
      </c>
      <c r="G1595" t="s">
        <v>93</v>
      </c>
      <c r="H1595">
        <v>1</v>
      </c>
      <c r="I1595">
        <v>3</v>
      </c>
      <c r="J1595">
        <v>2005</v>
      </c>
      <c r="K1595" t="s">
        <v>94</v>
      </c>
      <c r="L1595">
        <v>76</v>
      </c>
      <c r="M1595" t="s">
        <v>813</v>
      </c>
      <c r="N1595" t="s">
        <v>355</v>
      </c>
      <c r="O1595" t="s">
        <v>356</v>
      </c>
      <c r="P1595" t="s">
        <v>357</v>
      </c>
      <c r="R1595" t="s">
        <v>358</v>
      </c>
      <c r="T1595" t="s">
        <v>359</v>
      </c>
      <c r="U1595" t="s">
        <v>273</v>
      </c>
      <c r="V1595" t="s">
        <v>110</v>
      </c>
      <c r="W1595" t="s">
        <v>360</v>
      </c>
      <c r="X1595" t="s">
        <v>295</v>
      </c>
      <c r="Y1595" t="s">
        <v>119</v>
      </c>
    </row>
    <row r="1596" spans="1:25">
      <c r="A1596">
        <v>10402</v>
      </c>
      <c r="B1596">
        <v>59</v>
      </c>
      <c r="C1596">
        <v>87.6</v>
      </c>
      <c r="D1596">
        <v>3</v>
      </c>
      <c r="E1596">
        <v>5168.3999999999996</v>
      </c>
      <c r="F1596" s="4">
        <v>38537</v>
      </c>
      <c r="G1596" t="s">
        <v>93</v>
      </c>
      <c r="H1596">
        <v>2</v>
      </c>
      <c r="I1596">
        <v>4</v>
      </c>
      <c r="J1596">
        <v>2005</v>
      </c>
      <c r="K1596" t="s">
        <v>94</v>
      </c>
      <c r="L1596">
        <v>76</v>
      </c>
      <c r="M1596" t="s">
        <v>813</v>
      </c>
      <c r="N1596" t="s">
        <v>156</v>
      </c>
      <c r="O1596" t="s">
        <v>157</v>
      </c>
      <c r="P1596" t="s">
        <v>158</v>
      </c>
      <c r="R1596" t="s">
        <v>116</v>
      </c>
      <c r="T1596">
        <v>75016</v>
      </c>
      <c r="U1596" t="s">
        <v>109</v>
      </c>
      <c r="V1596" t="s">
        <v>110</v>
      </c>
      <c r="W1596" t="s">
        <v>159</v>
      </c>
      <c r="X1596" t="s">
        <v>160</v>
      </c>
      <c r="Y1596" t="s">
        <v>119</v>
      </c>
    </row>
    <row r="1597" spans="1:25">
      <c r="A1597">
        <v>10416</v>
      </c>
      <c r="B1597">
        <v>32</v>
      </c>
      <c r="C1597">
        <v>87.6</v>
      </c>
      <c r="D1597">
        <v>1</v>
      </c>
      <c r="E1597">
        <v>2803.2</v>
      </c>
      <c r="F1597" s="4">
        <v>38630</v>
      </c>
      <c r="G1597" t="s">
        <v>93</v>
      </c>
      <c r="H1597">
        <v>2</v>
      </c>
      <c r="I1597">
        <v>5</v>
      </c>
      <c r="J1597">
        <v>2005</v>
      </c>
      <c r="K1597" t="s">
        <v>94</v>
      </c>
      <c r="L1597">
        <v>76</v>
      </c>
      <c r="M1597" t="s">
        <v>813</v>
      </c>
      <c r="N1597" t="s">
        <v>576</v>
      </c>
      <c r="O1597" t="s">
        <v>577</v>
      </c>
      <c r="P1597" t="s">
        <v>578</v>
      </c>
      <c r="R1597" t="s">
        <v>579</v>
      </c>
      <c r="T1597">
        <v>42100</v>
      </c>
      <c r="U1597" t="s">
        <v>352</v>
      </c>
      <c r="V1597" t="s">
        <v>110</v>
      </c>
      <c r="W1597" t="s">
        <v>580</v>
      </c>
      <c r="X1597" t="s">
        <v>581</v>
      </c>
      <c r="Y1597" t="s">
        <v>104</v>
      </c>
    </row>
    <row r="1598" spans="1:25">
      <c r="A1598">
        <v>10105</v>
      </c>
      <c r="B1598">
        <v>43</v>
      </c>
      <c r="C1598">
        <v>100</v>
      </c>
      <c r="D1598">
        <v>9</v>
      </c>
      <c r="E1598">
        <v>6341.21</v>
      </c>
      <c r="F1598" s="4">
        <v>37927</v>
      </c>
      <c r="G1598" t="s">
        <v>93</v>
      </c>
      <c r="H1598">
        <v>1</v>
      </c>
      <c r="I1598">
        <v>2</v>
      </c>
      <c r="J1598">
        <v>2003</v>
      </c>
      <c r="K1598" t="s">
        <v>775</v>
      </c>
      <c r="L1598">
        <v>122</v>
      </c>
      <c r="M1598" t="s">
        <v>814</v>
      </c>
      <c r="N1598" t="s">
        <v>425</v>
      </c>
      <c r="O1598" t="s">
        <v>426</v>
      </c>
      <c r="P1598" t="s">
        <v>427</v>
      </c>
      <c r="R1598" t="s">
        <v>428</v>
      </c>
      <c r="T1598">
        <v>1734</v>
      </c>
      <c r="U1598" t="s">
        <v>429</v>
      </c>
      <c r="V1598" t="s">
        <v>110</v>
      </c>
      <c r="W1598" t="s">
        <v>430</v>
      </c>
      <c r="X1598" t="s">
        <v>431</v>
      </c>
      <c r="Y1598" t="s">
        <v>119</v>
      </c>
    </row>
    <row r="1599" spans="1:25">
      <c r="A1599">
        <v>10117</v>
      </c>
      <c r="B1599">
        <v>41</v>
      </c>
      <c r="C1599">
        <v>100</v>
      </c>
      <c r="D1599">
        <v>3</v>
      </c>
      <c r="E1599">
        <v>5189.78</v>
      </c>
      <c r="F1599" t="s">
        <v>602</v>
      </c>
      <c r="G1599" t="s">
        <v>93</v>
      </c>
      <c r="H1599">
        <v>2</v>
      </c>
      <c r="I1599">
        <v>4</v>
      </c>
      <c r="J1599">
        <v>2003</v>
      </c>
      <c r="K1599" t="s">
        <v>775</v>
      </c>
      <c r="L1599">
        <v>122</v>
      </c>
      <c r="M1599" t="s">
        <v>814</v>
      </c>
      <c r="N1599" t="s">
        <v>284</v>
      </c>
      <c r="O1599" t="s">
        <v>285</v>
      </c>
      <c r="P1599" t="s">
        <v>286</v>
      </c>
      <c r="R1599" t="s">
        <v>287</v>
      </c>
      <c r="T1599">
        <v>79903</v>
      </c>
      <c r="U1599" t="s">
        <v>287</v>
      </c>
      <c r="V1599" t="s">
        <v>288</v>
      </c>
      <c r="W1599" t="s">
        <v>289</v>
      </c>
      <c r="X1599" t="s">
        <v>290</v>
      </c>
      <c r="Y1599" t="s">
        <v>119</v>
      </c>
    </row>
    <row r="1600" spans="1:25">
      <c r="A1600">
        <v>10129</v>
      </c>
      <c r="B1600">
        <v>45</v>
      </c>
      <c r="C1600">
        <v>100</v>
      </c>
      <c r="D1600">
        <v>9</v>
      </c>
      <c r="E1600">
        <v>6027.75</v>
      </c>
      <c r="F1600" s="4">
        <v>37961</v>
      </c>
      <c r="G1600" t="s">
        <v>93</v>
      </c>
      <c r="H1600">
        <v>2</v>
      </c>
      <c r="I1600">
        <v>6</v>
      </c>
      <c r="J1600">
        <v>2003</v>
      </c>
      <c r="K1600" t="s">
        <v>775</v>
      </c>
      <c r="L1600">
        <v>122</v>
      </c>
      <c r="M1600" t="s">
        <v>814</v>
      </c>
      <c r="N1600" t="s">
        <v>433</v>
      </c>
      <c r="O1600" t="s">
        <v>434</v>
      </c>
      <c r="P1600" t="s">
        <v>435</v>
      </c>
      <c r="R1600" t="s">
        <v>436</v>
      </c>
      <c r="T1600" t="s">
        <v>437</v>
      </c>
      <c r="U1600" t="s">
        <v>252</v>
      </c>
      <c r="V1600" t="s">
        <v>110</v>
      </c>
      <c r="W1600" t="s">
        <v>130</v>
      </c>
      <c r="X1600" t="s">
        <v>438</v>
      </c>
      <c r="Y1600" t="s">
        <v>119</v>
      </c>
    </row>
    <row r="1601" spans="1:25">
      <c r="A1601">
        <v>10142</v>
      </c>
      <c r="B1601">
        <v>33</v>
      </c>
      <c r="C1601">
        <v>100</v>
      </c>
      <c r="D1601">
        <v>6</v>
      </c>
      <c r="E1601">
        <v>3366</v>
      </c>
      <c r="F1601" s="4">
        <v>37841</v>
      </c>
      <c r="G1601" t="s">
        <v>93</v>
      </c>
      <c r="H1601">
        <v>3</v>
      </c>
      <c r="I1601">
        <v>8</v>
      </c>
      <c r="J1601">
        <v>2003</v>
      </c>
      <c r="K1601" t="s">
        <v>775</v>
      </c>
      <c r="L1601">
        <v>122</v>
      </c>
      <c r="M1601" t="s">
        <v>814</v>
      </c>
      <c r="N1601" t="s">
        <v>367</v>
      </c>
      <c r="O1601">
        <v>4155551450</v>
      </c>
      <c r="P1601" t="s">
        <v>368</v>
      </c>
      <c r="R1601" t="s">
        <v>369</v>
      </c>
      <c r="S1601" t="s">
        <v>124</v>
      </c>
      <c r="T1601">
        <v>97562</v>
      </c>
      <c r="U1601" t="s">
        <v>100</v>
      </c>
      <c r="V1601" t="s">
        <v>101</v>
      </c>
      <c r="W1601" t="s">
        <v>370</v>
      </c>
      <c r="X1601" t="s">
        <v>371</v>
      </c>
      <c r="Y1601" t="s">
        <v>119</v>
      </c>
    </row>
    <row r="1602" spans="1:25">
      <c r="A1602">
        <v>10153</v>
      </c>
      <c r="B1602">
        <v>40</v>
      </c>
      <c r="C1602">
        <v>100</v>
      </c>
      <c r="D1602">
        <v>5</v>
      </c>
      <c r="E1602">
        <v>5456.4</v>
      </c>
      <c r="F1602" t="s">
        <v>607</v>
      </c>
      <c r="G1602" t="s">
        <v>93</v>
      </c>
      <c r="H1602">
        <v>3</v>
      </c>
      <c r="I1602">
        <v>9</v>
      </c>
      <c r="J1602">
        <v>2003</v>
      </c>
      <c r="K1602" t="s">
        <v>775</v>
      </c>
      <c r="L1602">
        <v>122</v>
      </c>
      <c r="M1602" t="s">
        <v>814</v>
      </c>
      <c r="N1602" t="s">
        <v>257</v>
      </c>
      <c r="O1602" t="s">
        <v>258</v>
      </c>
      <c r="P1602" t="s">
        <v>259</v>
      </c>
      <c r="R1602" t="s">
        <v>260</v>
      </c>
      <c r="T1602">
        <v>28034</v>
      </c>
      <c r="U1602" t="s">
        <v>261</v>
      </c>
      <c r="V1602" t="s">
        <v>110</v>
      </c>
      <c r="W1602" t="s">
        <v>262</v>
      </c>
      <c r="X1602" t="s">
        <v>263</v>
      </c>
      <c r="Y1602" t="s">
        <v>119</v>
      </c>
    </row>
    <row r="1603" spans="1:25">
      <c r="A1603">
        <v>10167</v>
      </c>
      <c r="B1603">
        <v>33</v>
      </c>
      <c r="C1603">
        <v>100</v>
      </c>
      <c r="D1603">
        <v>16</v>
      </c>
      <c r="E1603">
        <v>3812.16</v>
      </c>
      <c r="F1603" t="s">
        <v>443</v>
      </c>
      <c r="G1603" t="s">
        <v>444</v>
      </c>
      <c r="H1603">
        <v>4</v>
      </c>
      <c r="I1603">
        <v>10</v>
      </c>
      <c r="J1603">
        <v>2003</v>
      </c>
      <c r="K1603" t="s">
        <v>775</v>
      </c>
      <c r="L1603">
        <v>122</v>
      </c>
      <c r="M1603" t="s">
        <v>814</v>
      </c>
      <c r="N1603" t="s">
        <v>355</v>
      </c>
      <c r="O1603" t="s">
        <v>356</v>
      </c>
      <c r="P1603" t="s">
        <v>357</v>
      </c>
      <c r="R1603" t="s">
        <v>358</v>
      </c>
      <c r="T1603" t="s">
        <v>359</v>
      </c>
      <c r="U1603" t="s">
        <v>273</v>
      </c>
      <c r="V1603" t="s">
        <v>110</v>
      </c>
      <c r="W1603" t="s">
        <v>360</v>
      </c>
      <c r="X1603" t="s">
        <v>295</v>
      </c>
      <c r="Y1603" t="s">
        <v>119</v>
      </c>
    </row>
    <row r="1604" spans="1:25">
      <c r="A1604">
        <v>10177</v>
      </c>
      <c r="B1604">
        <v>50</v>
      </c>
      <c r="C1604">
        <v>100</v>
      </c>
      <c r="D1604">
        <v>7</v>
      </c>
      <c r="E1604">
        <v>6083</v>
      </c>
      <c r="F1604" s="4">
        <v>37813</v>
      </c>
      <c r="G1604" t="s">
        <v>93</v>
      </c>
      <c r="H1604">
        <v>4</v>
      </c>
      <c r="I1604">
        <v>11</v>
      </c>
      <c r="J1604">
        <v>2003</v>
      </c>
      <c r="K1604" t="s">
        <v>775</v>
      </c>
      <c r="L1604">
        <v>122</v>
      </c>
      <c r="M1604" t="s">
        <v>814</v>
      </c>
      <c r="N1604" t="s">
        <v>618</v>
      </c>
      <c r="O1604" t="s">
        <v>619</v>
      </c>
      <c r="P1604" t="s">
        <v>620</v>
      </c>
      <c r="R1604" t="s">
        <v>260</v>
      </c>
      <c r="T1604">
        <v>28023</v>
      </c>
      <c r="U1604" t="s">
        <v>261</v>
      </c>
      <c r="V1604" t="s">
        <v>110</v>
      </c>
      <c r="W1604" t="s">
        <v>621</v>
      </c>
      <c r="X1604" t="s">
        <v>622</v>
      </c>
      <c r="Y1604" t="s">
        <v>119</v>
      </c>
    </row>
    <row r="1605" spans="1:25">
      <c r="A1605">
        <v>10185</v>
      </c>
      <c r="B1605">
        <v>30</v>
      </c>
      <c r="C1605">
        <v>100</v>
      </c>
      <c r="D1605">
        <v>7</v>
      </c>
      <c r="E1605">
        <v>3170.7</v>
      </c>
      <c r="F1605" t="s">
        <v>451</v>
      </c>
      <c r="G1605" t="s">
        <v>93</v>
      </c>
      <c r="H1605">
        <v>4</v>
      </c>
      <c r="I1605">
        <v>11</v>
      </c>
      <c r="J1605">
        <v>2003</v>
      </c>
      <c r="K1605" t="s">
        <v>775</v>
      </c>
      <c r="L1605">
        <v>122</v>
      </c>
      <c r="M1605" t="s">
        <v>814</v>
      </c>
      <c r="N1605" t="s">
        <v>439</v>
      </c>
      <c r="O1605">
        <v>5085559555</v>
      </c>
      <c r="P1605" t="s">
        <v>440</v>
      </c>
      <c r="R1605" t="s">
        <v>244</v>
      </c>
      <c r="S1605" t="s">
        <v>200</v>
      </c>
      <c r="T1605">
        <v>50553</v>
      </c>
      <c r="U1605" t="s">
        <v>100</v>
      </c>
      <c r="V1605" t="s">
        <v>101</v>
      </c>
      <c r="W1605" t="s">
        <v>441</v>
      </c>
      <c r="X1605" t="s">
        <v>442</v>
      </c>
      <c r="Y1605" t="s">
        <v>119</v>
      </c>
    </row>
    <row r="1606" spans="1:25">
      <c r="A1606">
        <v>10197</v>
      </c>
      <c r="B1606">
        <v>41</v>
      </c>
      <c r="C1606">
        <v>100</v>
      </c>
      <c r="D1606">
        <v>13</v>
      </c>
      <c r="E1606">
        <v>4534.6000000000004</v>
      </c>
      <c r="F1606" t="s">
        <v>458</v>
      </c>
      <c r="G1606" t="s">
        <v>93</v>
      </c>
      <c r="H1606">
        <v>4</v>
      </c>
      <c r="I1606">
        <v>11</v>
      </c>
      <c r="J1606">
        <v>2003</v>
      </c>
      <c r="K1606" t="s">
        <v>775</v>
      </c>
      <c r="L1606">
        <v>122</v>
      </c>
      <c r="M1606" t="s">
        <v>814</v>
      </c>
      <c r="N1606" t="s">
        <v>459</v>
      </c>
      <c r="O1606" t="s">
        <v>460</v>
      </c>
      <c r="P1606" t="s">
        <v>461</v>
      </c>
      <c r="R1606" t="s">
        <v>462</v>
      </c>
      <c r="T1606">
        <v>8022</v>
      </c>
      <c r="U1606" t="s">
        <v>261</v>
      </c>
      <c r="V1606" t="s">
        <v>110</v>
      </c>
      <c r="W1606" t="s">
        <v>463</v>
      </c>
      <c r="X1606" t="s">
        <v>464</v>
      </c>
      <c r="Y1606" t="s">
        <v>119</v>
      </c>
    </row>
    <row r="1607" spans="1:25">
      <c r="A1607">
        <v>10208</v>
      </c>
      <c r="B1607">
        <v>35</v>
      </c>
      <c r="C1607">
        <v>100</v>
      </c>
      <c r="D1607">
        <v>7</v>
      </c>
      <c r="E1607">
        <v>4301.1499999999996</v>
      </c>
      <c r="F1607" s="4">
        <v>38018</v>
      </c>
      <c r="G1607" t="s">
        <v>93</v>
      </c>
      <c r="H1607">
        <v>1</v>
      </c>
      <c r="I1607">
        <v>1</v>
      </c>
      <c r="J1607">
        <v>2004</v>
      </c>
      <c r="K1607" t="s">
        <v>775</v>
      </c>
      <c r="L1607">
        <v>122</v>
      </c>
      <c r="M1607" t="s">
        <v>814</v>
      </c>
      <c r="N1607" t="s">
        <v>310</v>
      </c>
      <c r="O1607" t="s">
        <v>311</v>
      </c>
      <c r="P1607" t="s">
        <v>312</v>
      </c>
      <c r="R1607" t="s">
        <v>313</v>
      </c>
      <c r="T1607">
        <v>69004</v>
      </c>
      <c r="U1607" t="s">
        <v>109</v>
      </c>
      <c r="V1607" t="s">
        <v>110</v>
      </c>
      <c r="W1607" t="s">
        <v>314</v>
      </c>
      <c r="X1607" t="s">
        <v>315</v>
      </c>
      <c r="Y1607" t="s">
        <v>119</v>
      </c>
    </row>
    <row r="1608" spans="1:25">
      <c r="A1608">
        <v>10221</v>
      </c>
      <c r="B1608">
        <v>49</v>
      </c>
      <c r="C1608">
        <v>100</v>
      </c>
      <c r="D1608">
        <v>1</v>
      </c>
      <c r="E1608">
        <v>6804.63</v>
      </c>
      <c r="F1608" t="s">
        <v>781</v>
      </c>
      <c r="G1608" t="s">
        <v>93</v>
      </c>
      <c r="H1608">
        <v>1</v>
      </c>
      <c r="I1608">
        <v>2</v>
      </c>
      <c r="J1608">
        <v>2004</v>
      </c>
      <c r="K1608" t="s">
        <v>775</v>
      </c>
      <c r="L1608">
        <v>122</v>
      </c>
      <c r="M1608" t="s">
        <v>814</v>
      </c>
      <c r="N1608" t="s">
        <v>475</v>
      </c>
      <c r="O1608" t="s">
        <v>476</v>
      </c>
      <c r="P1608" t="s">
        <v>477</v>
      </c>
      <c r="R1608" t="s">
        <v>478</v>
      </c>
      <c r="T1608" t="s">
        <v>479</v>
      </c>
      <c r="U1608" t="s">
        <v>480</v>
      </c>
      <c r="V1608" t="s">
        <v>110</v>
      </c>
      <c r="W1608" t="s">
        <v>481</v>
      </c>
      <c r="X1608" t="s">
        <v>482</v>
      </c>
      <c r="Y1608" t="s">
        <v>119</v>
      </c>
    </row>
    <row r="1609" spans="1:25">
      <c r="A1609">
        <v>10232</v>
      </c>
      <c r="B1609">
        <v>46</v>
      </c>
      <c r="C1609">
        <v>100</v>
      </c>
      <c r="D1609">
        <v>4</v>
      </c>
      <c r="E1609">
        <v>5652.94</v>
      </c>
      <c r="F1609" t="s">
        <v>782</v>
      </c>
      <c r="G1609" t="s">
        <v>93</v>
      </c>
      <c r="H1609">
        <v>1</v>
      </c>
      <c r="I1609">
        <v>3</v>
      </c>
      <c r="J1609">
        <v>2004</v>
      </c>
      <c r="K1609" t="s">
        <v>775</v>
      </c>
      <c r="L1609">
        <v>122</v>
      </c>
      <c r="M1609" t="s">
        <v>814</v>
      </c>
      <c r="N1609" t="s">
        <v>495</v>
      </c>
      <c r="O1609" t="s">
        <v>496</v>
      </c>
      <c r="P1609" t="s">
        <v>497</v>
      </c>
      <c r="R1609" t="s">
        <v>498</v>
      </c>
      <c r="S1609" t="s">
        <v>499</v>
      </c>
      <c r="T1609" t="s">
        <v>500</v>
      </c>
      <c r="U1609" t="s">
        <v>252</v>
      </c>
      <c r="V1609" t="s">
        <v>110</v>
      </c>
      <c r="W1609" t="s">
        <v>501</v>
      </c>
      <c r="X1609" t="s">
        <v>502</v>
      </c>
      <c r="Y1609" t="s">
        <v>119</v>
      </c>
    </row>
    <row r="1610" spans="1:25">
      <c r="A1610">
        <v>10248</v>
      </c>
      <c r="B1610">
        <v>48</v>
      </c>
      <c r="C1610">
        <v>100</v>
      </c>
      <c r="D1610">
        <v>10</v>
      </c>
      <c r="E1610">
        <v>6960.48</v>
      </c>
      <c r="F1610" s="4">
        <v>38173</v>
      </c>
      <c r="G1610" t="s">
        <v>444</v>
      </c>
      <c r="H1610">
        <v>2</v>
      </c>
      <c r="I1610">
        <v>5</v>
      </c>
      <c r="J1610">
        <v>2004</v>
      </c>
      <c r="K1610" t="s">
        <v>775</v>
      </c>
      <c r="L1610">
        <v>122</v>
      </c>
      <c r="M1610" t="s">
        <v>814</v>
      </c>
      <c r="N1610" t="s">
        <v>96</v>
      </c>
      <c r="O1610">
        <v>2125557818</v>
      </c>
      <c r="P1610" t="s">
        <v>97</v>
      </c>
      <c r="R1610" t="s">
        <v>98</v>
      </c>
      <c r="S1610" t="s">
        <v>99</v>
      </c>
      <c r="T1610">
        <v>10022</v>
      </c>
      <c r="U1610" t="s">
        <v>100</v>
      </c>
      <c r="V1610" t="s">
        <v>101</v>
      </c>
      <c r="W1610" t="s">
        <v>102</v>
      </c>
      <c r="X1610" t="s">
        <v>103</v>
      </c>
      <c r="Y1610" t="s">
        <v>119</v>
      </c>
    </row>
    <row r="1611" spans="1:25">
      <c r="A1611">
        <v>10261</v>
      </c>
      <c r="B1611">
        <v>36</v>
      </c>
      <c r="C1611">
        <v>100</v>
      </c>
      <c r="D1611">
        <v>8</v>
      </c>
      <c r="E1611">
        <v>4512.6000000000004</v>
      </c>
      <c r="F1611" t="s">
        <v>473</v>
      </c>
      <c r="G1611" t="s">
        <v>93</v>
      </c>
      <c r="H1611">
        <v>2</v>
      </c>
      <c r="I1611">
        <v>6</v>
      </c>
      <c r="J1611">
        <v>2004</v>
      </c>
      <c r="K1611" t="s">
        <v>775</v>
      </c>
      <c r="L1611">
        <v>122</v>
      </c>
      <c r="M1611" t="s">
        <v>814</v>
      </c>
      <c r="N1611" t="s">
        <v>391</v>
      </c>
      <c r="O1611" t="s">
        <v>392</v>
      </c>
      <c r="P1611" t="s">
        <v>393</v>
      </c>
      <c r="R1611" t="s">
        <v>394</v>
      </c>
      <c r="S1611" t="s">
        <v>395</v>
      </c>
      <c r="T1611" t="s">
        <v>396</v>
      </c>
      <c r="U1611" t="s">
        <v>322</v>
      </c>
      <c r="V1611" t="s">
        <v>101</v>
      </c>
      <c r="W1611" t="s">
        <v>397</v>
      </c>
      <c r="X1611" t="s">
        <v>398</v>
      </c>
      <c r="Y1611" t="s">
        <v>119</v>
      </c>
    </row>
    <row r="1612" spans="1:25">
      <c r="A1612">
        <v>10273</v>
      </c>
      <c r="B1612">
        <v>22</v>
      </c>
      <c r="C1612">
        <v>100</v>
      </c>
      <c r="D1612">
        <v>11</v>
      </c>
      <c r="E1612">
        <v>2784.76</v>
      </c>
      <c r="F1612" t="s">
        <v>474</v>
      </c>
      <c r="G1612" t="s">
        <v>93</v>
      </c>
      <c r="H1612">
        <v>3</v>
      </c>
      <c r="I1612">
        <v>7</v>
      </c>
      <c r="J1612">
        <v>2004</v>
      </c>
      <c r="K1612" t="s">
        <v>775</v>
      </c>
      <c r="L1612">
        <v>122</v>
      </c>
      <c r="M1612" t="s">
        <v>814</v>
      </c>
      <c r="N1612" t="s">
        <v>475</v>
      </c>
      <c r="O1612" t="s">
        <v>476</v>
      </c>
      <c r="P1612" t="s">
        <v>477</v>
      </c>
      <c r="R1612" t="s">
        <v>478</v>
      </c>
      <c r="T1612" t="s">
        <v>479</v>
      </c>
      <c r="U1612" t="s">
        <v>480</v>
      </c>
      <c r="V1612" t="s">
        <v>110</v>
      </c>
      <c r="W1612" t="s">
        <v>481</v>
      </c>
      <c r="X1612" t="s">
        <v>482</v>
      </c>
      <c r="Y1612" t="s">
        <v>104</v>
      </c>
    </row>
    <row r="1613" spans="1:25">
      <c r="A1613">
        <v>10283</v>
      </c>
      <c r="B1613">
        <v>42</v>
      </c>
      <c r="C1613">
        <v>100</v>
      </c>
      <c r="D1613">
        <v>13</v>
      </c>
      <c r="E1613">
        <v>5316.36</v>
      </c>
      <c r="F1613" t="s">
        <v>483</v>
      </c>
      <c r="G1613" t="s">
        <v>93</v>
      </c>
      <c r="H1613">
        <v>3</v>
      </c>
      <c r="I1613">
        <v>8</v>
      </c>
      <c r="J1613">
        <v>2004</v>
      </c>
      <c r="K1613" t="s">
        <v>775</v>
      </c>
      <c r="L1613">
        <v>122</v>
      </c>
      <c r="M1613" t="s">
        <v>814</v>
      </c>
      <c r="N1613" t="s">
        <v>484</v>
      </c>
      <c r="O1613" t="s">
        <v>485</v>
      </c>
      <c r="P1613" t="s">
        <v>486</v>
      </c>
      <c r="R1613" t="s">
        <v>487</v>
      </c>
      <c r="S1613" t="s">
        <v>320</v>
      </c>
      <c r="T1613" t="s">
        <v>488</v>
      </c>
      <c r="U1613" t="s">
        <v>322</v>
      </c>
      <c r="V1613" t="s">
        <v>101</v>
      </c>
      <c r="W1613" t="s">
        <v>489</v>
      </c>
      <c r="X1613" t="s">
        <v>254</v>
      </c>
      <c r="Y1613" t="s">
        <v>119</v>
      </c>
    </row>
    <row r="1614" spans="1:25">
      <c r="A1614">
        <v>10293</v>
      </c>
      <c r="B1614">
        <v>21</v>
      </c>
      <c r="C1614">
        <v>100</v>
      </c>
      <c r="D1614">
        <v>2</v>
      </c>
      <c r="E1614">
        <v>2941.89</v>
      </c>
      <c r="F1614" s="4">
        <v>38239</v>
      </c>
      <c r="G1614" t="s">
        <v>93</v>
      </c>
      <c r="H1614">
        <v>3</v>
      </c>
      <c r="I1614">
        <v>9</v>
      </c>
      <c r="J1614">
        <v>2004</v>
      </c>
      <c r="K1614" t="s">
        <v>775</v>
      </c>
      <c r="L1614">
        <v>122</v>
      </c>
      <c r="M1614" t="s">
        <v>814</v>
      </c>
      <c r="N1614" t="s">
        <v>348</v>
      </c>
      <c r="O1614" t="s">
        <v>349</v>
      </c>
      <c r="P1614" t="s">
        <v>350</v>
      </c>
      <c r="R1614" t="s">
        <v>351</v>
      </c>
      <c r="T1614">
        <v>10100</v>
      </c>
      <c r="U1614" t="s">
        <v>352</v>
      </c>
      <c r="V1614" t="s">
        <v>110</v>
      </c>
      <c r="W1614" t="s">
        <v>353</v>
      </c>
      <c r="X1614" t="s">
        <v>354</v>
      </c>
      <c r="Y1614" t="s">
        <v>104</v>
      </c>
    </row>
    <row r="1615" spans="1:25">
      <c r="A1615">
        <v>10306</v>
      </c>
      <c r="B1615">
        <v>29</v>
      </c>
      <c r="C1615">
        <v>100</v>
      </c>
      <c r="D1615">
        <v>7</v>
      </c>
      <c r="E1615">
        <v>3207.4</v>
      </c>
      <c r="F1615" t="s">
        <v>494</v>
      </c>
      <c r="G1615" t="s">
        <v>93</v>
      </c>
      <c r="H1615">
        <v>4</v>
      </c>
      <c r="I1615">
        <v>10</v>
      </c>
      <c r="J1615">
        <v>2004</v>
      </c>
      <c r="K1615" t="s">
        <v>775</v>
      </c>
      <c r="L1615">
        <v>122</v>
      </c>
      <c r="M1615" t="s">
        <v>814</v>
      </c>
      <c r="N1615" t="s">
        <v>624</v>
      </c>
      <c r="O1615" t="s">
        <v>625</v>
      </c>
      <c r="P1615" t="s">
        <v>626</v>
      </c>
      <c r="R1615" t="s">
        <v>627</v>
      </c>
      <c r="T1615" t="s">
        <v>628</v>
      </c>
      <c r="U1615" t="s">
        <v>252</v>
      </c>
      <c r="V1615" t="s">
        <v>110</v>
      </c>
      <c r="W1615" t="s">
        <v>629</v>
      </c>
      <c r="X1615" t="s">
        <v>167</v>
      </c>
      <c r="Y1615" t="s">
        <v>119</v>
      </c>
    </row>
    <row r="1616" spans="1:25">
      <c r="A1616">
        <v>10315</v>
      </c>
      <c r="B1616">
        <v>35</v>
      </c>
      <c r="C1616">
        <v>100</v>
      </c>
      <c r="D1616">
        <v>6</v>
      </c>
      <c r="E1616">
        <v>4215.05</v>
      </c>
      <c r="F1616" t="s">
        <v>802</v>
      </c>
      <c r="G1616" t="s">
        <v>93</v>
      </c>
      <c r="H1616">
        <v>4</v>
      </c>
      <c r="I1616">
        <v>10</v>
      </c>
      <c r="J1616">
        <v>2004</v>
      </c>
      <c r="K1616" t="s">
        <v>775</v>
      </c>
      <c r="L1616">
        <v>122</v>
      </c>
      <c r="M1616" t="s">
        <v>814</v>
      </c>
      <c r="N1616" t="s">
        <v>190</v>
      </c>
      <c r="O1616" t="s">
        <v>191</v>
      </c>
      <c r="P1616" t="s">
        <v>192</v>
      </c>
      <c r="R1616" t="s">
        <v>193</v>
      </c>
      <c r="T1616">
        <v>44000</v>
      </c>
      <c r="U1616" t="s">
        <v>109</v>
      </c>
      <c r="V1616" t="s">
        <v>110</v>
      </c>
      <c r="W1616" t="s">
        <v>194</v>
      </c>
      <c r="X1616" t="s">
        <v>195</v>
      </c>
      <c r="Y1616" t="s">
        <v>119</v>
      </c>
    </row>
    <row r="1617" spans="1:25">
      <c r="A1617">
        <v>10326</v>
      </c>
      <c r="B1617">
        <v>41</v>
      </c>
      <c r="C1617">
        <v>100</v>
      </c>
      <c r="D1617">
        <v>4</v>
      </c>
      <c r="E1617">
        <v>4333.29</v>
      </c>
      <c r="F1617" s="4">
        <v>38241</v>
      </c>
      <c r="G1617" t="s">
        <v>93</v>
      </c>
      <c r="H1617">
        <v>4</v>
      </c>
      <c r="I1617">
        <v>11</v>
      </c>
      <c r="J1617">
        <v>2004</v>
      </c>
      <c r="K1617" t="s">
        <v>775</v>
      </c>
      <c r="L1617">
        <v>122</v>
      </c>
      <c r="M1617" t="s">
        <v>814</v>
      </c>
      <c r="N1617" t="s">
        <v>268</v>
      </c>
      <c r="O1617" t="s">
        <v>269</v>
      </c>
      <c r="P1617" t="s">
        <v>270</v>
      </c>
      <c r="R1617" t="s">
        <v>271</v>
      </c>
      <c r="T1617" t="s">
        <v>272</v>
      </c>
      <c r="U1617" t="s">
        <v>273</v>
      </c>
      <c r="V1617" t="s">
        <v>110</v>
      </c>
      <c r="W1617" t="s">
        <v>274</v>
      </c>
      <c r="X1617" t="s">
        <v>275</v>
      </c>
      <c r="Y1617" t="s">
        <v>119</v>
      </c>
    </row>
    <row r="1618" spans="1:25">
      <c r="A1618">
        <v>10337</v>
      </c>
      <c r="B1618">
        <v>29</v>
      </c>
      <c r="C1618">
        <v>71.97</v>
      </c>
      <c r="D1618">
        <v>4</v>
      </c>
      <c r="E1618">
        <v>2087.13</v>
      </c>
      <c r="F1618" t="s">
        <v>503</v>
      </c>
      <c r="G1618" t="s">
        <v>93</v>
      </c>
      <c r="H1618">
        <v>4</v>
      </c>
      <c r="I1618">
        <v>11</v>
      </c>
      <c r="J1618">
        <v>2004</v>
      </c>
      <c r="K1618" t="s">
        <v>775</v>
      </c>
      <c r="L1618">
        <v>122</v>
      </c>
      <c r="M1618" t="s">
        <v>814</v>
      </c>
      <c r="N1618" t="s">
        <v>292</v>
      </c>
      <c r="O1618">
        <v>2125558493</v>
      </c>
      <c r="P1618" t="s">
        <v>293</v>
      </c>
      <c r="Q1618" t="s">
        <v>294</v>
      </c>
      <c r="R1618" t="s">
        <v>98</v>
      </c>
      <c r="S1618" t="s">
        <v>99</v>
      </c>
      <c r="T1618">
        <v>10022</v>
      </c>
      <c r="U1618" t="s">
        <v>100</v>
      </c>
      <c r="V1618" t="s">
        <v>101</v>
      </c>
      <c r="W1618" t="s">
        <v>201</v>
      </c>
      <c r="X1618" t="s">
        <v>295</v>
      </c>
      <c r="Y1618" t="s">
        <v>104</v>
      </c>
    </row>
    <row r="1619" spans="1:25">
      <c r="A1619">
        <v>10350</v>
      </c>
      <c r="B1619">
        <v>34</v>
      </c>
      <c r="C1619">
        <v>50.33</v>
      </c>
      <c r="D1619">
        <v>7</v>
      </c>
      <c r="E1619">
        <v>1711.22</v>
      </c>
      <c r="F1619" s="4">
        <v>38029</v>
      </c>
      <c r="G1619" t="s">
        <v>93</v>
      </c>
      <c r="H1619">
        <v>4</v>
      </c>
      <c r="I1619">
        <v>12</v>
      </c>
      <c r="J1619">
        <v>2004</v>
      </c>
      <c r="K1619" t="s">
        <v>775</v>
      </c>
      <c r="L1619">
        <v>122</v>
      </c>
      <c r="M1619" t="s">
        <v>814</v>
      </c>
      <c r="N1619" t="s">
        <v>257</v>
      </c>
      <c r="O1619" t="s">
        <v>258</v>
      </c>
      <c r="P1619" t="s">
        <v>259</v>
      </c>
      <c r="R1619" t="s">
        <v>260</v>
      </c>
      <c r="T1619">
        <v>28034</v>
      </c>
      <c r="U1619" t="s">
        <v>261</v>
      </c>
      <c r="V1619" t="s">
        <v>110</v>
      </c>
      <c r="W1619" t="s">
        <v>262</v>
      </c>
      <c r="X1619" t="s">
        <v>263</v>
      </c>
      <c r="Y1619" t="s">
        <v>104</v>
      </c>
    </row>
    <row r="1620" spans="1:25">
      <c r="A1620">
        <v>10372</v>
      </c>
      <c r="B1620">
        <v>37</v>
      </c>
      <c r="C1620">
        <v>100</v>
      </c>
      <c r="D1620">
        <v>8</v>
      </c>
      <c r="E1620">
        <v>3910.53</v>
      </c>
      <c r="F1620" t="s">
        <v>651</v>
      </c>
      <c r="G1620" t="s">
        <v>93</v>
      </c>
      <c r="H1620">
        <v>1</v>
      </c>
      <c r="I1620">
        <v>1</v>
      </c>
      <c r="J1620">
        <v>2005</v>
      </c>
      <c r="K1620" t="s">
        <v>775</v>
      </c>
      <c r="L1620">
        <v>122</v>
      </c>
      <c r="M1620" t="s">
        <v>814</v>
      </c>
      <c r="N1620" t="s">
        <v>338</v>
      </c>
      <c r="O1620" t="s">
        <v>339</v>
      </c>
      <c r="P1620" t="s">
        <v>340</v>
      </c>
      <c r="R1620" t="s">
        <v>341</v>
      </c>
      <c r="S1620" t="s">
        <v>342</v>
      </c>
      <c r="T1620" t="s">
        <v>343</v>
      </c>
      <c r="U1620" t="s">
        <v>288</v>
      </c>
      <c r="V1620" t="s">
        <v>288</v>
      </c>
      <c r="W1620" t="s">
        <v>344</v>
      </c>
      <c r="X1620" t="s">
        <v>345</v>
      </c>
      <c r="Y1620" t="s">
        <v>119</v>
      </c>
    </row>
    <row r="1621" spans="1:25">
      <c r="A1621">
        <v>10384</v>
      </c>
      <c r="B1621">
        <v>28</v>
      </c>
      <c r="C1621">
        <v>80.540000000000006</v>
      </c>
      <c r="D1621">
        <v>3</v>
      </c>
      <c r="E1621">
        <v>2255.12</v>
      </c>
      <c r="F1621" t="s">
        <v>512</v>
      </c>
      <c r="G1621" t="s">
        <v>93</v>
      </c>
      <c r="H1621">
        <v>1</v>
      </c>
      <c r="I1621">
        <v>2</v>
      </c>
      <c r="J1621">
        <v>2005</v>
      </c>
      <c r="K1621" t="s">
        <v>775</v>
      </c>
      <c r="L1621">
        <v>122</v>
      </c>
      <c r="M1621" t="s">
        <v>814</v>
      </c>
      <c r="N1621" t="s">
        <v>127</v>
      </c>
      <c r="O1621">
        <v>6505551386</v>
      </c>
      <c r="P1621" t="s">
        <v>128</v>
      </c>
      <c r="R1621" t="s">
        <v>129</v>
      </c>
      <c r="S1621" t="s">
        <v>124</v>
      </c>
      <c r="U1621" t="s">
        <v>100</v>
      </c>
      <c r="V1621" t="s">
        <v>101</v>
      </c>
      <c r="W1621" t="s">
        <v>130</v>
      </c>
      <c r="X1621" t="s">
        <v>126</v>
      </c>
      <c r="Y1621" t="s">
        <v>104</v>
      </c>
    </row>
    <row r="1622" spans="1:25">
      <c r="A1622">
        <v>10396</v>
      </c>
      <c r="B1622">
        <v>49</v>
      </c>
      <c r="C1622">
        <v>100</v>
      </c>
      <c r="D1622">
        <v>6</v>
      </c>
      <c r="E1622">
        <v>5720.75</v>
      </c>
      <c r="F1622" t="s">
        <v>658</v>
      </c>
      <c r="G1622" t="s">
        <v>93</v>
      </c>
      <c r="H1622">
        <v>1</v>
      </c>
      <c r="I1622">
        <v>3</v>
      </c>
      <c r="J1622">
        <v>2005</v>
      </c>
      <c r="K1622" t="s">
        <v>775</v>
      </c>
      <c r="L1622">
        <v>122</v>
      </c>
      <c r="M1622" t="s">
        <v>814</v>
      </c>
      <c r="N1622" t="s">
        <v>367</v>
      </c>
      <c r="O1622">
        <v>4155551450</v>
      </c>
      <c r="P1622" t="s">
        <v>368</v>
      </c>
      <c r="R1622" t="s">
        <v>369</v>
      </c>
      <c r="S1622" t="s">
        <v>124</v>
      </c>
      <c r="T1622">
        <v>97562</v>
      </c>
      <c r="U1622" t="s">
        <v>100</v>
      </c>
      <c r="V1622" t="s">
        <v>101</v>
      </c>
      <c r="W1622" t="s">
        <v>370</v>
      </c>
      <c r="X1622" t="s">
        <v>371</v>
      </c>
      <c r="Y1622" t="s">
        <v>119</v>
      </c>
    </row>
    <row r="1623" spans="1:25">
      <c r="A1623">
        <v>10414</v>
      </c>
      <c r="B1623">
        <v>23</v>
      </c>
      <c r="C1623">
        <v>100</v>
      </c>
      <c r="D1623">
        <v>10</v>
      </c>
      <c r="E1623">
        <v>3335.23</v>
      </c>
      <c r="F1623" s="4">
        <v>38508</v>
      </c>
      <c r="G1623" t="s">
        <v>518</v>
      </c>
      <c r="H1623">
        <v>2</v>
      </c>
      <c r="I1623">
        <v>5</v>
      </c>
      <c r="J1623">
        <v>2005</v>
      </c>
      <c r="K1623" t="s">
        <v>775</v>
      </c>
      <c r="L1623">
        <v>122</v>
      </c>
      <c r="M1623" t="s">
        <v>814</v>
      </c>
      <c r="N1623" t="s">
        <v>490</v>
      </c>
      <c r="O1623">
        <v>6175559555</v>
      </c>
      <c r="P1623" t="s">
        <v>491</v>
      </c>
      <c r="R1623" t="s">
        <v>492</v>
      </c>
      <c r="S1623" t="s">
        <v>200</v>
      </c>
      <c r="T1623">
        <v>51003</v>
      </c>
      <c r="U1623" t="s">
        <v>100</v>
      </c>
      <c r="V1623" t="s">
        <v>101</v>
      </c>
      <c r="W1623" t="s">
        <v>493</v>
      </c>
      <c r="X1623" t="s">
        <v>136</v>
      </c>
      <c r="Y1623" t="s">
        <v>119</v>
      </c>
    </row>
    <row r="1624" spans="1:25">
      <c r="A1624">
        <v>10101</v>
      </c>
      <c r="B1624">
        <v>46</v>
      </c>
      <c r="C1624">
        <v>53.76</v>
      </c>
      <c r="D1624">
        <v>2</v>
      </c>
      <c r="E1624">
        <v>2472.96</v>
      </c>
      <c r="F1624" s="4">
        <v>37865</v>
      </c>
      <c r="G1624" t="s">
        <v>93</v>
      </c>
      <c r="H1624">
        <v>1</v>
      </c>
      <c r="I1624">
        <v>1</v>
      </c>
      <c r="J1624">
        <v>2003</v>
      </c>
      <c r="K1624" t="s">
        <v>697</v>
      </c>
      <c r="L1624">
        <v>44</v>
      </c>
      <c r="M1624" t="s">
        <v>815</v>
      </c>
      <c r="N1624" t="s">
        <v>587</v>
      </c>
      <c r="O1624" t="s">
        <v>588</v>
      </c>
      <c r="P1624" t="s">
        <v>589</v>
      </c>
      <c r="R1624" t="s">
        <v>590</v>
      </c>
      <c r="T1624">
        <v>60528</v>
      </c>
      <c r="U1624" t="s">
        <v>566</v>
      </c>
      <c r="V1624" t="s">
        <v>110</v>
      </c>
      <c r="W1624" t="s">
        <v>591</v>
      </c>
      <c r="X1624" t="s">
        <v>532</v>
      </c>
      <c r="Y1624" t="s">
        <v>104</v>
      </c>
    </row>
    <row r="1625" spans="1:25">
      <c r="A1625">
        <v>10110</v>
      </c>
      <c r="B1625">
        <v>39</v>
      </c>
      <c r="C1625">
        <v>44.35</v>
      </c>
      <c r="D1625">
        <v>2</v>
      </c>
      <c r="E1625">
        <v>1729.65</v>
      </c>
      <c r="F1625" t="s">
        <v>720</v>
      </c>
      <c r="G1625" t="s">
        <v>93</v>
      </c>
      <c r="H1625">
        <v>1</v>
      </c>
      <c r="I1625">
        <v>3</v>
      </c>
      <c r="J1625">
        <v>2003</v>
      </c>
      <c r="K1625" t="s">
        <v>697</v>
      </c>
      <c r="L1625">
        <v>44</v>
      </c>
      <c r="M1625" t="s">
        <v>815</v>
      </c>
      <c r="N1625" t="s">
        <v>624</v>
      </c>
      <c r="O1625" t="s">
        <v>625</v>
      </c>
      <c r="P1625" t="s">
        <v>626</v>
      </c>
      <c r="R1625" t="s">
        <v>627</v>
      </c>
      <c r="T1625" t="s">
        <v>628</v>
      </c>
      <c r="U1625" t="s">
        <v>252</v>
      </c>
      <c r="V1625" t="s">
        <v>110</v>
      </c>
      <c r="W1625" t="s">
        <v>629</v>
      </c>
      <c r="X1625" t="s">
        <v>167</v>
      </c>
      <c r="Y1625" t="s">
        <v>104</v>
      </c>
    </row>
    <row r="1626" spans="1:25">
      <c r="A1626">
        <v>10124</v>
      </c>
      <c r="B1626">
        <v>22</v>
      </c>
      <c r="C1626">
        <v>45.25</v>
      </c>
      <c r="D1626">
        <v>1</v>
      </c>
      <c r="E1626">
        <v>995.5</v>
      </c>
      <c r="F1626" t="s">
        <v>700</v>
      </c>
      <c r="G1626" t="s">
        <v>93</v>
      </c>
      <c r="H1626">
        <v>2</v>
      </c>
      <c r="I1626">
        <v>5</v>
      </c>
      <c r="J1626">
        <v>2003</v>
      </c>
      <c r="K1626" t="s">
        <v>697</v>
      </c>
      <c r="L1626">
        <v>44</v>
      </c>
      <c r="M1626" t="s">
        <v>815</v>
      </c>
      <c r="N1626" t="s">
        <v>684</v>
      </c>
      <c r="O1626">
        <v>7025551838</v>
      </c>
      <c r="P1626" t="s">
        <v>685</v>
      </c>
      <c r="R1626" t="s">
        <v>686</v>
      </c>
      <c r="S1626" t="s">
        <v>687</v>
      </c>
      <c r="T1626">
        <v>83030</v>
      </c>
      <c r="U1626" t="s">
        <v>100</v>
      </c>
      <c r="V1626" t="s">
        <v>101</v>
      </c>
      <c r="W1626" t="s">
        <v>188</v>
      </c>
      <c r="X1626" t="s">
        <v>517</v>
      </c>
      <c r="Y1626" t="s">
        <v>104</v>
      </c>
    </row>
    <row r="1627" spans="1:25">
      <c r="A1627">
        <v>10149</v>
      </c>
      <c r="B1627">
        <v>49</v>
      </c>
      <c r="C1627">
        <v>49.28</v>
      </c>
      <c r="D1627">
        <v>6</v>
      </c>
      <c r="E1627">
        <v>2414.7199999999998</v>
      </c>
      <c r="F1627" s="4">
        <v>37964</v>
      </c>
      <c r="G1627" t="s">
        <v>93</v>
      </c>
      <c r="H1627">
        <v>3</v>
      </c>
      <c r="I1627">
        <v>9</v>
      </c>
      <c r="J1627">
        <v>2003</v>
      </c>
      <c r="K1627" t="s">
        <v>697</v>
      </c>
      <c r="L1627">
        <v>44</v>
      </c>
      <c r="M1627" t="s">
        <v>815</v>
      </c>
      <c r="N1627" t="s">
        <v>668</v>
      </c>
      <c r="O1627">
        <v>4155554312</v>
      </c>
      <c r="P1627" t="s">
        <v>669</v>
      </c>
      <c r="R1627" t="s">
        <v>670</v>
      </c>
      <c r="S1627" t="s">
        <v>124</v>
      </c>
      <c r="T1627">
        <v>94217</v>
      </c>
      <c r="U1627" t="s">
        <v>100</v>
      </c>
      <c r="V1627" t="s">
        <v>101</v>
      </c>
      <c r="W1627" t="s">
        <v>671</v>
      </c>
      <c r="X1627" t="s">
        <v>517</v>
      </c>
      <c r="Y1627" t="s">
        <v>104</v>
      </c>
    </row>
    <row r="1628" spans="1:25">
      <c r="A1628">
        <v>10162</v>
      </c>
      <c r="B1628">
        <v>43</v>
      </c>
      <c r="C1628">
        <v>36.29</v>
      </c>
      <c r="D1628">
        <v>4</v>
      </c>
      <c r="E1628">
        <v>1560.47</v>
      </c>
      <c r="F1628" t="s">
        <v>702</v>
      </c>
      <c r="G1628" t="s">
        <v>93</v>
      </c>
      <c r="H1628">
        <v>4</v>
      </c>
      <c r="I1628">
        <v>10</v>
      </c>
      <c r="J1628">
        <v>2003</v>
      </c>
      <c r="K1628" t="s">
        <v>697</v>
      </c>
      <c r="L1628">
        <v>44</v>
      </c>
      <c r="M1628" t="s">
        <v>815</v>
      </c>
      <c r="N1628" t="s">
        <v>127</v>
      </c>
      <c r="O1628">
        <v>6505551386</v>
      </c>
      <c r="P1628" t="s">
        <v>128</v>
      </c>
      <c r="R1628" t="s">
        <v>129</v>
      </c>
      <c r="S1628" t="s">
        <v>124</v>
      </c>
      <c r="U1628" t="s">
        <v>100</v>
      </c>
      <c r="V1628" t="s">
        <v>101</v>
      </c>
      <c r="W1628" t="s">
        <v>130</v>
      </c>
      <c r="X1628" t="s">
        <v>126</v>
      </c>
      <c r="Y1628" t="s">
        <v>104</v>
      </c>
    </row>
    <row r="1629" spans="1:25">
      <c r="A1629">
        <v>10173</v>
      </c>
      <c r="B1629">
        <v>27</v>
      </c>
      <c r="C1629">
        <v>41.22</v>
      </c>
      <c r="D1629">
        <v>8</v>
      </c>
      <c r="E1629">
        <v>1112.94</v>
      </c>
      <c r="F1629" s="4">
        <v>37752</v>
      </c>
      <c r="G1629" t="s">
        <v>93</v>
      </c>
      <c r="H1629">
        <v>4</v>
      </c>
      <c r="I1629">
        <v>11</v>
      </c>
      <c r="J1629">
        <v>2003</v>
      </c>
      <c r="K1629" t="s">
        <v>697</v>
      </c>
      <c r="L1629">
        <v>44</v>
      </c>
      <c r="M1629" t="s">
        <v>815</v>
      </c>
      <c r="N1629" t="s">
        <v>703</v>
      </c>
      <c r="O1629" t="s">
        <v>704</v>
      </c>
      <c r="P1629" t="s">
        <v>705</v>
      </c>
      <c r="R1629" t="s">
        <v>706</v>
      </c>
      <c r="T1629">
        <v>24100</v>
      </c>
      <c r="U1629" t="s">
        <v>352</v>
      </c>
      <c r="V1629" t="s">
        <v>110</v>
      </c>
      <c r="W1629" t="s">
        <v>707</v>
      </c>
      <c r="X1629" t="s">
        <v>708</v>
      </c>
      <c r="Y1629" t="s">
        <v>104</v>
      </c>
    </row>
    <row r="1630" spans="1:25">
      <c r="A1630">
        <v>10182</v>
      </c>
      <c r="B1630">
        <v>31</v>
      </c>
      <c r="C1630">
        <v>36.74</v>
      </c>
      <c r="D1630">
        <v>5</v>
      </c>
      <c r="E1630">
        <v>1138.94</v>
      </c>
      <c r="F1630" s="4">
        <v>37966</v>
      </c>
      <c r="G1630" t="s">
        <v>93</v>
      </c>
      <c r="H1630">
        <v>4</v>
      </c>
      <c r="I1630">
        <v>11</v>
      </c>
      <c r="J1630">
        <v>2003</v>
      </c>
      <c r="K1630" t="s">
        <v>697</v>
      </c>
      <c r="L1630">
        <v>44</v>
      </c>
      <c r="M1630" t="s">
        <v>815</v>
      </c>
      <c r="N1630" t="s">
        <v>367</v>
      </c>
      <c r="O1630">
        <v>4155551450</v>
      </c>
      <c r="P1630" t="s">
        <v>368</v>
      </c>
      <c r="R1630" t="s">
        <v>369</v>
      </c>
      <c r="S1630" t="s">
        <v>124</v>
      </c>
      <c r="T1630">
        <v>97562</v>
      </c>
      <c r="U1630" t="s">
        <v>100</v>
      </c>
      <c r="V1630" t="s">
        <v>101</v>
      </c>
      <c r="W1630" t="s">
        <v>370</v>
      </c>
      <c r="X1630" t="s">
        <v>371</v>
      </c>
      <c r="Y1630" t="s">
        <v>104</v>
      </c>
    </row>
    <row r="1631" spans="1:25">
      <c r="A1631">
        <v>10193</v>
      </c>
      <c r="B1631">
        <v>20</v>
      </c>
      <c r="C1631">
        <v>50.62</v>
      </c>
      <c r="D1631">
        <v>9</v>
      </c>
      <c r="E1631">
        <v>1012.4</v>
      </c>
      <c r="F1631" t="s">
        <v>709</v>
      </c>
      <c r="G1631" t="s">
        <v>93</v>
      </c>
      <c r="H1631">
        <v>4</v>
      </c>
      <c r="I1631">
        <v>11</v>
      </c>
      <c r="J1631">
        <v>2003</v>
      </c>
      <c r="K1631" t="s">
        <v>697</v>
      </c>
      <c r="L1631">
        <v>44</v>
      </c>
      <c r="M1631" t="s">
        <v>815</v>
      </c>
      <c r="N1631" t="s">
        <v>710</v>
      </c>
      <c r="O1631" t="s">
        <v>711</v>
      </c>
      <c r="P1631" t="s">
        <v>712</v>
      </c>
      <c r="R1631" t="s">
        <v>713</v>
      </c>
      <c r="S1631" t="s">
        <v>167</v>
      </c>
      <c r="T1631">
        <v>3150</v>
      </c>
      <c r="U1631" t="s">
        <v>168</v>
      </c>
      <c r="V1631" t="s">
        <v>169</v>
      </c>
      <c r="W1631" t="s">
        <v>714</v>
      </c>
      <c r="X1631" t="s">
        <v>715</v>
      </c>
      <c r="Y1631" t="s">
        <v>104</v>
      </c>
    </row>
    <row r="1632" spans="1:25">
      <c r="A1632">
        <v>10205</v>
      </c>
      <c r="B1632">
        <v>24</v>
      </c>
      <c r="C1632">
        <v>38.08</v>
      </c>
      <c r="D1632">
        <v>4</v>
      </c>
      <c r="E1632">
        <v>913.92</v>
      </c>
      <c r="F1632" s="4">
        <v>37692</v>
      </c>
      <c r="G1632" t="s">
        <v>93</v>
      </c>
      <c r="H1632">
        <v>4</v>
      </c>
      <c r="I1632">
        <v>12</v>
      </c>
      <c r="J1632">
        <v>2003</v>
      </c>
      <c r="K1632" t="s">
        <v>697</v>
      </c>
      <c r="L1632">
        <v>44</v>
      </c>
      <c r="M1632" t="s">
        <v>815</v>
      </c>
      <c r="N1632" t="s">
        <v>257</v>
      </c>
      <c r="O1632" t="s">
        <v>258</v>
      </c>
      <c r="P1632" t="s">
        <v>259</v>
      </c>
      <c r="R1632" t="s">
        <v>260</v>
      </c>
      <c r="T1632">
        <v>28034</v>
      </c>
      <c r="U1632" t="s">
        <v>261</v>
      </c>
      <c r="V1632" t="s">
        <v>110</v>
      </c>
      <c r="W1632" t="s">
        <v>262</v>
      </c>
      <c r="X1632" t="s">
        <v>263</v>
      </c>
      <c r="Y1632" t="s">
        <v>104</v>
      </c>
    </row>
    <row r="1633" spans="1:25">
      <c r="A1633">
        <v>10214</v>
      </c>
      <c r="B1633">
        <v>49</v>
      </c>
      <c r="C1633">
        <v>47.94</v>
      </c>
      <c r="D1633">
        <v>2</v>
      </c>
      <c r="E1633">
        <v>2349.06</v>
      </c>
      <c r="F1633" t="s">
        <v>752</v>
      </c>
      <c r="G1633" t="s">
        <v>93</v>
      </c>
      <c r="H1633">
        <v>1</v>
      </c>
      <c r="I1633">
        <v>1</v>
      </c>
      <c r="J1633">
        <v>2004</v>
      </c>
      <c r="K1633" t="s">
        <v>697</v>
      </c>
      <c r="L1633">
        <v>44</v>
      </c>
      <c r="M1633" t="s">
        <v>815</v>
      </c>
      <c r="N1633" t="s">
        <v>277</v>
      </c>
      <c r="O1633" t="s">
        <v>278</v>
      </c>
      <c r="P1633" t="s">
        <v>279</v>
      </c>
      <c r="R1633" t="s">
        <v>260</v>
      </c>
      <c r="T1633">
        <v>28023</v>
      </c>
      <c r="U1633" t="s">
        <v>261</v>
      </c>
      <c r="V1633" t="s">
        <v>110</v>
      </c>
      <c r="W1633" t="s">
        <v>280</v>
      </c>
      <c r="X1633" t="s">
        <v>281</v>
      </c>
      <c r="Y1633" t="s">
        <v>104</v>
      </c>
    </row>
    <row r="1634" spans="1:25">
      <c r="A1634">
        <v>10227</v>
      </c>
      <c r="B1634">
        <v>24</v>
      </c>
      <c r="C1634">
        <v>48.38</v>
      </c>
      <c r="D1634">
        <v>5</v>
      </c>
      <c r="E1634">
        <v>1161.1199999999999</v>
      </c>
      <c r="F1634" s="4">
        <v>38020</v>
      </c>
      <c r="G1634" t="s">
        <v>93</v>
      </c>
      <c r="H1634">
        <v>1</v>
      </c>
      <c r="I1634">
        <v>3</v>
      </c>
      <c r="J1634">
        <v>2004</v>
      </c>
      <c r="K1634" t="s">
        <v>697</v>
      </c>
      <c r="L1634">
        <v>44</v>
      </c>
      <c r="M1634" t="s">
        <v>815</v>
      </c>
      <c r="N1634" t="s">
        <v>310</v>
      </c>
      <c r="O1634" t="s">
        <v>311</v>
      </c>
      <c r="P1634" t="s">
        <v>312</v>
      </c>
      <c r="R1634" t="s">
        <v>313</v>
      </c>
      <c r="T1634">
        <v>69004</v>
      </c>
      <c r="U1634" t="s">
        <v>109</v>
      </c>
      <c r="V1634" t="s">
        <v>110</v>
      </c>
      <c r="W1634" t="s">
        <v>314</v>
      </c>
      <c r="X1634" t="s">
        <v>315</v>
      </c>
      <c r="Y1634" t="s">
        <v>104</v>
      </c>
    </row>
    <row r="1635" spans="1:25">
      <c r="A1635">
        <v>10244</v>
      </c>
      <c r="B1635">
        <v>39</v>
      </c>
      <c r="C1635">
        <v>45.25</v>
      </c>
      <c r="D1635">
        <v>9</v>
      </c>
      <c r="E1635">
        <v>1764.75</v>
      </c>
      <c r="F1635" t="s">
        <v>716</v>
      </c>
      <c r="G1635" t="s">
        <v>93</v>
      </c>
      <c r="H1635">
        <v>2</v>
      </c>
      <c r="I1635">
        <v>4</v>
      </c>
      <c r="J1635">
        <v>2004</v>
      </c>
      <c r="K1635" t="s">
        <v>697</v>
      </c>
      <c r="L1635">
        <v>44</v>
      </c>
      <c r="M1635" t="s">
        <v>815</v>
      </c>
      <c r="N1635" t="s">
        <v>257</v>
      </c>
      <c r="O1635" t="s">
        <v>258</v>
      </c>
      <c r="P1635" t="s">
        <v>259</v>
      </c>
      <c r="R1635" t="s">
        <v>260</v>
      </c>
      <c r="T1635">
        <v>28034</v>
      </c>
      <c r="U1635" t="s">
        <v>261</v>
      </c>
      <c r="V1635" t="s">
        <v>110</v>
      </c>
      <c r="W1635" t="s">
        <v>262</v>
      </c>
      <c r="X1635" t="s">
        <v>263</v>
      </c>
      <c r="Y1635" t="s">
        <v>104</v>
      </c>
    </row>
    <row r="1636" spans="1:25">
      <c r="A1636">
        <v>10255</v>
      </c>
      <c r="B1636">
        <v>37</v>
      </c>
      <c r="C1636">
        <v>45.7</v>
      </c>
      <c r="D1636">
        <v>2</v>
      </c>
      <c r="E1636">
        <v>1690.9</v>
      </c>
      <c r="F1636" s="4">
        <v>38083</v>
      </c>
      <c r="G1636" t="s">
        <v>93</v>
      </c>
      <c r="H1636">
        <v>2</v>
      </c>
      <c r="I1636">
        <v>6</v>
      </c>
      <c r="J1636">
        <v>2004</v>
      </c>
      <c r="K1636" t="s">
        <v>697</v>
      </c>
      <c r="L1636">
        <v>44</v>
      </c>
      <c r="M1636" t="s">
        <v>815</v>
      </c>
      <c r="N1636" t="s">
        <v>674</v>
      </c>
      <c r="O1636" t="s">
        <v>675</v>
      </c>
      <c r="P1636" t="s">
        <v>676</v>
      </c>
      <c r="R1636" t="s">
        <v>677</v>
      </c>
      <c r="T1636">
        <v>67000</v>
      </c>
      <c r="U1636" t="s">
        <v>109</v>
      </c>
      <c r="V1636" t="s">
        <v>110</v>
      </c>
      <c r="W1636" t="s">
        <v>678</v>
      </c>
      <c r="X1636" t="s">
        <v>679</v>
      </c>
      <c r="Y1636" t="s">
        <v>104</v>
      </c>
    </row>
    <row r="1637" spans="1:25">
      <c r="A1637">
        <v>10280</v>
      </c>
      <c r="B1637">
        <v>45</v>
      </c>
      <c r="C1637">
        <v>47.49</v>
      </c>
      <c r="D1637">
        <v>11</v>
      </c>
      <c r="E1637">
        <v>2137.0500000000002</v>
      </c>
      <c r="F1637" t="s">
        <v>347</v>
      </c>
      <c r="G1637" t="s">
        <v>93</v>
      </c>
      <c r="H1637">
        <v>3</v>
      </c>
      <c r="I1637">
        <v>8</v>
      </c>
      <c r="J1637">
        <v>2004</v>
      </c>
      <c r="K1637" t="s">
        <v>697</v>
      </c>
      <c r="L1637">
        <v>44</v>
      </c>
      <c r="M1637" t="s">
        <v>815</v>
      </c>
      <c r="N1637" t="s">
        <v>348</v>
      </c>
      <c r="O1637" t="s">
        <v>349</v>
      </c>
      <c r="P1637" t="s">
        <v>350</v>
      </c>
      <c r="R1637" t="s">
        <v>351</v>
      </c>
      <c r="T1637">
        <v>10100</v>
      </c>
      <c r="U1637" t="s">
        <v>352</v>
      </c>
      <c r="V1637" t="s">
        <v>110</v>
      </c>
      <c r="W1637" t="s">
        <v>353</v>
      </c>
      <c r="X1637" t="s">
        <v>354</v>
      </c>
      <c r="Y1637" t="s">
        <v>104</v>
      </c>
    </row>
    <row r="1638" spans="1:25">
      <c r="A1638">
        <v>10289</v>
      </c>
      <c r="B1638">
        <v>45</v>
      </c>
      <c r="C1638">
        <v>48.38</v>
      </c>
      <c r="D1638">
        <v>4</v>
      </c>
      <c r="E1638">
        <v>2177.1</v>
      </c>
      <c r="F1638" s="4">
        <v>38055</v>
      </c>
      <c r="G1638" t="s">
        <v>93</v>
      </c>
      <c r="H1638">
        <v>3</v>
      </c>
      <c r="I1638">
        <v>9</v>
      </c>
      <c r="J1638">
        <v>2004</v>
      </c>
      <c r="K1638" t="s">
        <v>697</v>
      </c>
      <c r="L1638">
        <v>44</v>
      </c>
      <c r="M1638" t="s">
        <v>815</v>
      </c>
      <c r="N1638" t="s">
        <v>144</v>
      </c>
      <c r="O1638" t="s">
        <v>145</v>
      </c>
      <c r="P1638" t="s">
        <v>146</v>
      </c>
      <c r="R1638" t="s">
        <v>147</v>
      </c>
      <c r="T1638" t="s">
        <v>148</v>
      </c>
      <c r="U1638" t="s">
        <v>149</v>
      </c>
      <c r="V1638" t="s">
        <v>110</v>
      </c>
      <c r="W1638" t="s">
        <v>150</v>
      </c>
      <c r="X1638" t="s">
        <v>151</v>
      </c>
      <c r="Y1638" t="s">
        <v>104</v>
      </c>
    </row>
    <row r="1639" spans="1:25">
      <c r="A1639">
        <v>10304</v>
      </c>
      <c r="B1639">
        <v>44</v>
      </c>
      <c r="C1639">
        <v>39.42</v>
      </c>
      <c r="D1639">
        <v>15</v>
      </c>
      <c r="E1639">
        <v>1734.48</v>
      </c>
      <c r="F1639" s="4">
        <v>38301</v>
      </c>
      <c r="G1639" t="s">
        <v>93</v>
      </c>
      <c r="H1639">
        <v>4</v>
      </c>
      <c r="I1639">
        <v>10</v>
      </c>
      <c r="J1639">
        <v>2004</v>
      </c>
      <c r="K1639" t="s">
        <v>697</v>
      </c>
      <c r="L1639">
        <v>44</v>
      </c>
      <c r="M1639" t="s">
        <v>815</v>
      </c>
      <c r="N1639" t="s">
        <v>361</v>
      </c>
      <c r="O1639" t="s">
        <v>362</v>
      </c>
      <c r="P1639" t="s">
        <v>363</v>
      </c>
      <c r="R1639" t="s">
        <v>364</v>
      </c>
      <c r="T1639">
        <v>78000</v>
      </c>
      <c r="U1639" t="s">
        <v>109</v>
      </c>
      <c r="V1639" t="s">
        <v>110</v>
      </c>
      <c r="W1639" t="s">
        <v>365</v>
      </c>
      <c r="X1639" t="s">
        <v>118</v>
      </c>
      <c r="Y1639" t="s">
        <v>104</v>
      </c>
    </row>
    <row r="1640" spans="1:25">
      <c r="A1640">
        <v>10312</v>
      </c>
      <c r="B1640">
        <v>23</v>
      </c>
      <c r="C1640">
        <v>37.630000000000003</v>
      </c>
      <c r="D1640">
        <v>12</v>
      </c>
      <c r="E1640">
        <v>865.49</v>
      </c>
      <c r="F1640" t="s">
        <v>366</v>
      </c>
      <c r="G1640" t="s">
        <v>93</v>
      </c>
      <c r="H1640">
        <v>4</v>
      </c>
      <c r="I1640">
        <v>10</v>
      </c>
      <c r="J1640">
        <v>2004</v>
      </c>
      <c r="K1640" t="s">
        <v>697</v>
      </c>
      <c r="L1640">
        <v>44</v>
      </c>
      <c r="M1640" t="s">
        <v>815</v>
      </c>
      <c r="N1640" t="s">
        <v>367</v>
      </c>
      <c r="O1640">
        <v>4155551450</v>
      </c>
      <c r="P1640" t="s">
        <v>368</v>
      </c>
      <c r="R1640" t="s">
        <v>369</v>
      </c>
      <c r="S1640" t="s">
        <v>124</v>
      </c>
      <c r="T1640">
        <v>97562</v>
      </c>
      <c r="U1640" t="s">
        <v>100</v>
      </c>
      <c r="V1640" t="s">
        <v>101</v>
      </c>
      <c r="W1640" t="s">
        <v>370</v>
      </c>
      <c r="X1640" t="s">
        <v>371</v>
      </c>
      <c r="Y1640" t="s">
        <v>104</v>
      </c>
    </row>
    <row r="1641" spans="1:25">
      <c r="A1641">
        <v>10322</v>
      </c>
      <c r="B1641">
        <v>30</v>
      </c>
      <c r="C1641">
        <v>100</v>
      </c>
      <c r="D1641">
        <v>4</v>
      </c>
      <c r="E1641">
        <v>3500.1</v>
      </c>
      <c r="F1641" s="4">
        <v>38088</v>
      </c>
      <c r="G1641" t="s">
        <v>93</v>
      </c>
      <c r="H1641">
        <v>4</v>
      </c>
      <c r="I1641">
        <v>11</v>
      </c>
      <c r="J1641">
        <v>2004</v>
      </c>
      <c r="K1641" t="s">
        <v>697</v>
      </c>
      <c r="L1641">
        <v>44</v>
      </c>
      <c r="M1641" t="s">
        <v>815</v>
      </c>
      <c r="N1641" t="s">
        <v>372</v>
      </c>
      <c r="O1641">
        <v>6035558647</v>
      </c>
      <c r="P1641" t="s">
        <v>373</v>
      </c>
      <c r="R1641" t="s">
        <v>374</v>
      </c>
      <c r="S1641" t="s">
        <v>375</v>
      </c>
      <c r="T1641">
        <v>62005</v>
      </c>
      <c r="U1641" t="s">
        <v>100</v>
      </c>
      <c r="V1641" t="s">
        <v>101</v>
      </c>
      <c r="W1641" t="s">
        <v>125</v>
      </c>
      <c r="X1641" t="s">
        <v>371</v>
      </c>
      <c r="Y1641" t="s">
        <v>119</v>
      </c>
    </row>
    <row r="1642" spans="1:25">
      <c r="A1642">
        <v>10332</v>
      </c>
      <c r="B1642">
        <v>26</v>
      </c>
      <c r="C1642">
        <v>85.52</v>
      </c>
      <c r="D1642">
        <v>10</v>
      </c>
      <c r="E1642">
        <v>2223.52</v>
      </c>
      <c r="F1642" t="s">
        <v>695</v>
      </c>
      <c r="G1642" t="s">
        <v>93</v>
      </c>
      <c r="H1642">
        <v>4</v>
      </c>
      <c r="I1642">
        <v>11</v>
      </c>
      <c r="J1642">
        <v>2004</v>
      </c>
      <c r="K1642" t="s">
        <v>697</v>
      </c>
      <c r="L1642">
        <v>44</v>
      </c>
      <c r="M1642" t="s">
        <v>815</v>
      </c>
      <c r="N1642" t="s">
        <v>624</v>
      </c>
      <c r="O1642" t="s">
        <v>625</v>
      </c>
      <c r="P1642" t="s">
        <v>626</v>
      </c>
      <c r="R1642" t="s">
        <v>627</v>
      </c>
      <c r="T1642" t="s">
        <v>628</v>
      </c>
      <c r="U1642" t="s">
        <v>252</v>
      </c>
      <c r="V1642" t="s">
        <v>110</v>
      </c>
      <c r="W1642" t="s">
        <v>629</v>
      </c>
      <c r="X1642" t="s">
        <v>167</v>
      </c>
      <c r="Y1642" t="s">
        <v>104</v>
      </c>
    </row>
    <row r="1643" spans="1:25">
      <c r="A1643">
        <v>10345</v>
      </c>
      <c r="B1643">
        <v>43</v>
      </c>
      <c r="C1643">
        <v>53.76</v>
      </c>
      <c r="D1643">
        <v>1</v>
      </c>
      <c r="E1643">
        <v>2311.6799999999998</v>
      </c>
      <c r="F1643" t="s">
        <v>753</v>
      </c>
      <c r="G1643" t="s">
        <v>93</v>
      </c>
      <c r="H1643">
        <v>4</v>
      </c>
      <c r="I1643">
        <v>11</v>
      </c>
      <c r="J1643">
        <v>2004</v>
      </c>
      <c r="K1643" t="s">
        <v>697</v>
      </c>
      <c r="L1643">
        <v>44</v>
      </c>
      <c r="M1643" t="s">
        <v>815</v>
      </c>
      <c r="N1643" t="s">
        <v>414</v>
      </c>
      <c r="O1643" t="s">
        <v>415</v>
      </c>
      <c r="P1643" t="s">
        <v>416</v>
      </c>
      <c r="R1643" t="s">
        <v>193</v>
      </c>
      <c r="T1643">
        <v>44000</v>
      </c>
      <c r="U1643" t="s">
        <v>109</v>
      </c>
      <c r="V1643" t="s">
        <v>110</v>
      </c>
      <c r="W1643" t="s">
        <v>417</v>
      </c>
      <c r="X1643" t="s">
        <v>418</v>
      </c>
      <c r="Y1643" t="s">
        <v>104</v>
      </c>
    </row>
    <row r="1644" spans="1:25">
      <c r="A1644">
        <v>10356</v>
      </c>
      <c r="B1644">
        <v>26</v>
      </c>
      <c r="C1644">
        <v>31.86</v>
      </c>
      <c r="D1644">
        <v>7</v>
      </c>
      <c r="E1644">
        <v>828.36</v>
      </c>
      <c r="F1644" s="4">
        <v>38242</v>
      </c>
      <c r="G1644" t="s">
        <v>93</v>
      </c>
      <c r="H1644">
        <v>4</v>
      </c>
      <c r="I1644">
        <v>12</v>
      </c>
      <c r="J1644">
        <v>2004</v>
      </c>
      <c r="K1644" t="s">
        <v>697</v>
      </c>
      <c r="L1644">
        <v>44</v>
      </c>
      <c r="M1644" t="s">
        <v>815</v>
      </c>
      <c r="N1644" t="s">
        <v>113</v>
      </c>
      <c r="O1644" t="s">
        <v>114</v>
      </c>
      <c r="P1644" t="s">
        <v>115</v>
      </c>
      <c r="R1644" t="s">
        <v>116</v>
      </c>
      <c r="T1644">
        <v>75508</v>
      </c>
      <c r="U1644" t="s">
        <v>109</v>
      </c>
      <c r="V1644" t="s">
        <v>110</v>
      </c>
      <c r="W1644" t="s">
        <v>117</v>
      </c>
      <c r="X1644" t="s">
        <v>118</v>
      </c>
      <c r="Y1644" t="s">
        <v>104</v>
      </c>
    </row>
    <row r="1645" spans="1:25">
      <c r="A1645">
        <v>10367</v>
      </c>
      <c r="B1645">
        <v>28</v>
      </c>
      <c r="C1645">
        <v>30.59</v>
      </c>
      <c r="D1645">
        <v>12</v>
      </c>
      <c r="E1645">
        <v>856.52</v>
      </c>
      <c r="F1645" s="4">
        <v>38687</v>
      </c>
      <c r="G1645" t="s">
        <v>526</v>
      </c>
      <c r="H1645">
        <v>1</v>
      </c>
      <c r="I1645">
        <v>1</v>
      </c>
      <c r="J1645">
        <v>2005</v>
      </c>
      <c r="K1645" t="s">
        <v>697</v>
      </c>
      <c r="L1645">
        <v>44</v>
      </c>
      <c r="M1645" t="s">
        <v>815</v>
      </c>
      <c r="N1645" t="s">
        <v>121</v>
      </c>
      <c r="O1645">
        <v>6265557265</v>
      </c>
      <c r="P1645" t="s">
        <v>122</v>
      </c>
      <c r="R1645" t="s">
        <v>123</v>
      </c>
      <c r="S1645" t="s">
        <v>124</v>
      </c>
      <c r="T1645">
        <v>90003</v>
      </c>
      <c r="U1645" t="s">
        <v>100</v>
      </c>
      <c r="V1645" t="s">
        <v>101</v>
      </c>
      <c r="W1645" t="s">
        <v>125</v>
      </c>
      <c r="X1645" t="s">
        <v>126</v>
      </c>
      <c r="Y1645" t="s">
        <v>104</v>
      </c>
    </row>
    <row r="1646" spans="1:25">
      <c r="A1646">
        <v>10380</v>
      </c>
      <c r="B1646">
        <v>27</v>
      </c>
      <c r="C1646">
        <v>68.349999999999994</v>
      </c>
      <c r="D1646">
        <v>5</v>
      </c>
      <c r="E1646">
        <v>1845.45</v>
      </c>
      <c r="F1646" t="s">
        <v>717</v>
      </c>
      <c r="G1646" t="s">
        <v>93</v>
      </c>
      <c r="H1646">
        <v>1</v>
      </c>
      <c r="I1646">
        <v>2</v>
      </c>
      <c r="J1646">
        <v>2005</v>
      </c>
      <c r="K1646" t="s">
        <v>697</v>
      </c>
      <c r="L1646">
        <v>44</v>
      </c>
      <c r="M1646" t="s">
        <v>815</v>
      </c>
      <c r="N1646" t="s">
        <v>257</v>
      </c>
      <c r="O1646" t="s">
        <v>258</v>
      </c>
      <c r="P1646" t="s">
        <v>259</v>
      </c>
      <c r="R1646" t="s">
        <v>260</v>
      </c>
      <c r="T1646">
        <v>28034</v>
      </c>
      <c r="U1646" t="s">
        <v>261</v>
      </c>
      <c r="V1646" t="s">
        <v>110</v>
      </c>
      <c r="W1646" t="s">
        <v>262</v>
      </c>
      <c r="X1646" t="s">
        <v>263</v>
      </c>
      <c r="Y1646" t="s">
        <v>104</v>
      </c>
    </row>
    <row r="1647" spans="1:25">
      <c r="A1647">
        <v>10391</v>
      </c>
      <c r="B1647">
        <v>24</v>
      </c>
      <c r="C1647">
        <v>100</v>
      </c>
      <c r="D1647">
        <v>1</v>
      </c>
      <c r="E1647">
        <v>4042.08</v>
      </c>
      <c r="F1647" s="4">
        <v>38598</v>
      </c>
      <c r="G1647" t="s">
        <v>93</v>
      </c>
      <c r="H1647">
        <v>1</v>
      </c>
      <c r="I1647">
        <v>3</v>
      </c>
      <c r="J1647">
        <v>2005</v>
      </c>
      <c r="K1647" t="s">
        <v>697</v>
      </c>
      <c r="L1647">
        <v>44</v>
      </c>
      <c r="M1647" t="s">
        <v>815</v>
      </c>
      <c r="N1647" t="s">
        <v>384</v>
      </c>
      <c r="O1647" t="s">
        <v>385</v>
      </c>
      <c r="P1647" t="s">
        <v>386</v>
      </c>
      <c r="Q1647" t="s">
        <v>387</v>
      </c>
      <c r="R1647" t="s">
        <v>388</v>
      </c>
      <c r="S1647" t="s">
        <v>239</v>
      </c>
      <c r="T1647">
        <v>2060</v>
      </c>
      <c r="U1647" t="s">
        <v>168</v>
      </c>
      <c r="V1647" t="s">
        <v>169</v>
      </c>
      <c r="W1647" t="s">
        <v>389</v>
      </c>
      <c r="X1647" t="s">
        <v>390</v>
      </c>
      <c r="Y1647" t="s">
        <v>119</v>
      </c>
    </row>
    <row r="1648" spans="1:25">
      <c r="A1648">
        <v>10421</v>
      </c>
      <c r="B1648">
        <v>40</v>
      </c>
      <c r="C1648">
        <v>45.7</v>
      </c>
      <c r="D1648">
        <v>2</v>
      </c>
      <c r="E1648">
        <v>1828</v>
      </c>
      <c r="F1648" t="s">
        <v>754</v>
      </c>
      <c r="G1648" t="s">
        <v>400</v>
      </c>
      <c r="H1648">
        <v>2</v>
      </c>
      <c r="I1648">
        <v>5</v>
      </c>
      <c r="J1648">
        <v>2005</v>
      </c>
      <c r="K1648" t="s">
        <v>697</v>
      </c>
      <c r="L1648">
        <v>44</v>
      </c>
      <c r="M1648" t="s">
        <v>815</v>
      </c>
      <c r="N1648" t="s">
        <v>367</v>
      </c>
      <c r="O1648">
        <v>4155551450</v>
      </c>
      <c r="P1648" t="s">
        <v>368</v>
      </c>
      <c r="R1648" t="s">
        <v>369</v>
      </c>
      <c r="S1648" t="s">
        <v>124</v>
      </c>
      <c r="T1648">
        <v>97562</v>
      </c>
      <c r="U1648" t="s">
        <v>100</v>
      </c>
      <c r="V1648" t="s">
        <v>101</v>
      </c>
      <c r="W1648" t="s">
        <v>370</v>
      </c>
      <c r="X1648" t="s">
        <v>371</v>
      </c>
      <c r="Y1648" t="s">
        <v>104</v>
      </c>
    </row>
    <row r="1649" spans="1:25">
      <c r="A1649">
        <v>10103</v>
      </c>
      <c r="B1649">
        <v>36</v>
      </c>
      <c r="C1649">
        <v>100</v>
      </c>
      <c r="D1649">
        <v>1</v>
      </c>
      <c r="E1649">
        <v>3680.28</v>
      </c>
      <c r="F1649" t="s">
        <v>264</v>
      </c>
      <c r="G1649" t="s">
        <v>93</v>
      </c>
      <c r="H1649">
        <v>1</v>
      </c>
      <c r="I1649">
        <v>1</v>
      </c>
      <c r="J1649">
        <v>2003</v>
      </c>
      <c r="K1649" t="s">
        <v>638</v>
      </c>
      <c r="L1649">
        <v>127</v>
      </c>
      <c r="M1649" t="s">
        <v>816</v>
      </c>
      <c r="N1649" t="s">
        <v>212</v>
      </c>
      <c r="O1649" t="s">
        <v>213</v>
      </c>
      <c r="P1649" t="s">
        <v>214</v>
      </c>
      <c r="R1649" t="s">
        <v>215</v>
      </c>
      <c r="T1649">
        <v>4110</v>
      </c>
      <c r="U1649" t="s">
        <v>149</v>
      </c>
      <c r="V1649" t="s">
        <v>110</v>
      </c>
      <c r="W1649" t="s">
        <v>216</v>
      </c>
      <c r="X1649" t="s">
        <v>217</v>
      </c>
      <c r="Y1649" t="s">
        <v>119</v>
      </c>
    </row>
    <row r="1650" spans="1:25">
      <c r="A1650">
        <v>10114</v>
      </c>
      <c r="B1650">
        <v>21</v>
      </c>
      <c r="C1650">
        <v>100</v>
      </c>
      <c r="D1650">
        <v>5</v>
      </c>
      <c r="E1650">
        <v>2925.09</v>
      </c>
      <c r="F1650" s="4">
        <v>37625</v>
      </c>
      <c r="G1650" t="s">
        <v>93</v>
      </c>
      <c r="H1650">
        <v>2</v>
      </c>
      <c r="I1650">
        <v>4</v>
      </c>
      <c r="J1650">
        <v>2003</v>
      </c>
      <c r="K1650" t="s">
        <v>638</v>
      </c>
      <c r="L1650">
        <v>127</v>
      </c>
      <c r="M1650" t="s">
        <v>816</v>
      </c>
      <c r="N1650" t="s">
        <v>520</v>
      </c>
      <c r="O1650" t="s">
        <v>521</v>
      </c>
      <c r="P1650" t="s">
        <v>522</v>
      </c>
      <c r="R1650" t="s">
        <v>116</v>
      </c>
      <c r="T1650">
        <v>75012</v>
      </c>
      <c r="U1650" t="s">
        <v>109</v>
      </c>
      <c r="V1650" t="s">
        <v>110</v>
      </c>
      <c r="W1650" t="s">
        <v>523</v>
      </c>
      <c r="X1650" t="s">
        <v>524</v>
      </c>
      <c r="Y1650" t="s">
        <v>104</v>
      </c>
    </row>
    <row r="1651" spans="1:25">
      <c r="A1651">
        <v>10126</v>
      </c>
      <c r="B1651">
        <v>27</v>
      </c>
      <c r="C1651">
        <v>100</v>
      </c>
      <c r="D1651">
        <v>1</v>
      </c>
      <c r="E1651">
        <v>3415.77</v>
      </c>
      <c r="F1651" t="s">
        <v>276</v>
      </c>
      <c r="G1651" t="s">
        <v>93</v>
      </c>
      <c r="H1651">
        <v>2</v>
      </c>
      <c r="I1651">
        <v>5</v>
      </c>
      <c r="J1651">
        <v>2003</v>
      </c>
      <c r="K1651" t="s">
        <v>638</v>
      </c>
      <c r="L1651">
        <v>127</v>
      </c>
      <c r="M1651" t="s">
        <v>816</v>
      </c>
      <c r="N1651" t="s">
        <v>277</v>
      </c>
      <c r="O1651" t="s">
        <v>278</v>
      </c>
      <c r="P1651" t="s">
        <v>279</v>
      </c>
      <c r="R1651" t="s">
        <v>260</v>
      </c>
      <c r="T1651">
        <v>28023</v>
      </c>
      <c r="U1651" t="s">
        <v>261</v>
      </c>
      <c r="V1651" t="s">
        <v>110</v>
      </c>
      <c r="W1651" t="s">
        <v>280</v>
      </c>
      <c r="X1651" t="s">
        <v>281</v>
      </c>
      <c r="Y1651" t="s">
        <v>119</v>
      </c>
    </row>
    <row r="1652" spans="1:25">
      <c r="A1652">
        <v>10140</v>
      </c>
      <c r="B1652">
        <v>47</v>
      </c>
      <c r="C1652">
        <v>100</v>
      </c>
      <c r="D1652">
        <v>1</v>
      </c>
      <c r="E1652">
        <v>5105.1400000000003</v>
      </c>
      <c r="F1652" t="s">
        <v>282</v>
      </c>
      <c r="G1652" t="s">
        <v>93</v>
      </c>
      <c r="H1652">
        <v>3</v>
      </c>
      <c r="I1652">
        <v>7</v>
      </c>
      <c r="J1652">
        <v>2003</v>
      </c>
      <c r="K1652" t="s">
        <v>638</v>
      </c>
      <c r="L1652">
        <v>127</v>
      </c>
      <c r="M1652" t="s">
        <v>816</v>
      </c>
      <c r="N1652" t="s">
        <v>132</v>
      </c>
      <c r="O1652">
        <v>6505556809</v>
      </c>
      <c r="P1652" t="s">
        <v>133</v>
      </c>
      <c r="R1652" t="s">
        <v>134</v>
      </c>
      <c r="S1652" t="s">
        <v>124</v>
      </c>
      <c r="T1652">
        <v>94217</v>
      </c>
      <c r="U1652" t="s">
        <v>100</v>
      </c>
      <c r="V1652" t="s">
        <v>101</v>
      </c>
      <c r="W1652" t="s">
        <v>135</v>
      </c>
      <c r="X1652" t="s">
        <v>136</v>
      </c>
      <c r="Y1652" t="s">
        <v>119</v>
      </c>
    </row>
    <row r="1653" spans="1:25">
      <c r="A1653">
        <v>10151</v>
      </c>
      <c r="B1653">
        <v>42</v>
      </c>
      <c r="C1653">
        <v>100</v>
      </c>
      <c r="D1653">
        <v>8</v>
      </c>
      <c r="E1653">
        <v>5098.8</v>
      </c>
      <c r="F1653" t="s">
        <v>661</v>
      </c>
      <c r="G1653" t="s">
        <v>93</v>
      </c>
      <c r="H1653">
        <v>3</v>
      </c>
      <c r="I1653">
        <v>9</v>
      </c>
      <c r="J1653">
        <v>2003</v>
      </c>
      <c r="K1653" t="s">
        <v>638</v>
      </c>
      <c r="L1653">
        <v>127</v>
      </c>
      <c r="M1653" t="s">
        <v>816</v>
      </c>
      <c r="N1653" t="s">
        <v>506</v>
      </c>
      <c r="O1653" t="s">
        <v>507</v>
      </c>
      <c r="P1653" t="s">
        <v>508</v>
      </c>
      <c r="R1653" t="s">
        <v>509</v>
      </c>
      <c r="T1653">
        <v>90110</v>
      </c>
      <c r="U1653" t="s">
        <v>208</v>
      </c>
      <c r="V1653" t="s">
        <v>110</v>
      </c>
      <c r="W1653" t="s">
        <v>510</v>
      </c>
      <c r="X1653" t="s">
        <v>511</v>
      </c>
      <c r="Y1653" t="s">
        <v>119</v>
      </c>
    </row>
    <row r="1654" spans="1:25">
      <c r="A1654">
        <v>10165</v>
      </c>
      <c r="B1654">
        <v>32</v>
      </c>
      <c r="C1654">
        <v>100</v>
      </c>
      <c r="D1654">
        <v>17</v>
      </c>
      <c r="E1654">
        <v>4661.76</v>
      </c>
      <c r="F1654" t="s">
        <v>608</v>
      </c>
      <c r="G1654" t="s">
        <v>93</v>
      </c>
      <c r="H1654">
        <v>4</v>
      </c>
      <c r="I1654">
        <v>10</v>
      </c>
      <c r="J1654">
        <v>2003</v>
      </c>
      <c r="K1654" t="s">
        <v>638</v>
      </c>
      <c r="L1654">
        <v>127</v>
      </c>
      <c r="M1654" t="s">
        <v>816</v>
      </c>
      <c r="N1654" t="s">
        <v>284</v>
      </c>
      <c r="O1654" t="s">
        <v>285</v>
      </c>
      <c r="P1654" t="s">
        <v>286</v>
      </c>
      <c r="R1654" t="s">
        <v>287</v>
      </c>
      <c r="T1654">
        <v>79903</v>
      </c>
      <c r="U1654" t="s">
        <v>287</v>
      </c>
      <c r="V1654" t="s">
        <v>288</v>
      </c>
      <c r="W1654" t="s">
        <v>289</v>
      </c>
      <c r="X1654" t="s">
        <v>290</v>
      </c>
      <c r="Y1654" t="s">
        <v>119</v>
      </c>
    </row>
    <row r="1655" spans="1:25">
      <c r="A1655">
        <v>10175</v>
      </c>
      <c r="B1655">
        <v>28</v>
      </c>
      <c r="C1655">
        <v>100</v>
      </c>
      <c r="D1655">
        <v>6</v>
      </c>
      <c r="E1655">
        <v>2969.96</v>
      </c>
      <c r="F1655" s="4">
        <v>37783</v>
      </c>
      <c r="G1655" t="s">
        <v>93</v>
      </c>
      <c r="H1655">
        <v>4</v>
      </c>
      <c r="I1655">
        <v>11</v>
      </c>
      <c r="J1655">
        <v>2003</v>
      </c>
      <c r="K1655" t="s">
        <v>638</v>
      </c>
      <c r="L1655">
        <v>127</v>
      </c>
      <c r="M1655" t="s">
        <v>816</v>
      </c>
      <c r="N1655" t="s">
        <v>433</v>
      </c>
      <c r="O1655" t="s">
        <v>434</v>
      </c>
      <c r="P1655" t="s">
        <v>435</v>
      </c>
      <c r="R1655" t="s">
        <v>436</v>
      </c>
      <c r="T1655" t="s">
        <v>437</v>
      </c>
      <c r="U1655" t="s">
        <v>252</v>
      </c>
      <c r="V1655" t="s">
        <v>110</v>
      </c>
      <c r="W1655" t="s">
        <v>130</v>
      </c>
      <c r="X1655" t="s">
        <v>438</v>
      </c>
      <c r="Y1655" t="s">
        <v>104</v>
      </c>
    </row>
    <row r="1656" spans="1:25">
      <c r="A1656">
        <v>10184</v>
      </c>
      <c r="B1656">
        <v>24</v>
      </c>
      <c r="C1656">
        <v>100</v>
      </c>
      <c r="D1656">
        <v>11</v>
      </c>
      <c r="E1656">
        <v>3496.32</v>
      </c>
      <c r="F1656" t="s">
        <v>451</v>
      </c>
      <c r="G1656" t="s">
        <v>93</v>
      </c>
      <c r="H1656">
        <v>4</v>
      </c>
      <c r="I1656">
        <v>11</v>
      </c>
      <c r="J1656">
        <v>2003</v>
      </c>
      <c r="K1656" t="s">
        <v>638</v>
      </c>
      <c r="L1656">
        <v>127</v>
      </c>
      <c r="M1656" t="s">
        <v>816</v>
      </c>
      <c r="N1656" t="s">
        <v>662</v>
      </c>
      <c r="O1656" t="s">
        <v>663</v>
      </c>
      <c r="P1656" t="s">
        <v>664</v>
      </c>
      <c r="R1656" t="s">
        <v>665</v>
      </c>
      <c r="T1656">
        <v>41101</v>
      </c>
      <c r="U1656" t="s">
        <v>261</v>
      </c>
      <c r="V1656" t="s">
        <v>110</v>
      </c>
      <c r="W1656" t="s">
        <v>666</v>
      </c>
      <c r="X1656" t="s">
        <v>667</v>
      </c>
      <c r="Y1656" t="s">
        <v>119</v>
      </c>
    </row>
    <row r="1657" spans="1:25">
      <c r="A1657">
        <v>10194</v>
      </c>
      <c r="B1657">
        <v>49</v>
      </c>
      <c r="C1657">
        <v>100</v>
      </c>
      <c r="D1657">
        <v>1</v>
      </c>
      <c r="E1657">
        <v>5760.93</v>
      </c>
      <c r="F1657" t="s">
        <v>309</v>
      </c>
      <c r="G1657" t="s">
        <v>93</v>
      </c>
      <c r="H1657">
        <v>4</v>
      </c>
      <c r="I1657">
        <v>11</v>
      </c>
      <c r="J1657">
        <v>2003</v>
      </c>
      <c r="K1657" t="s">
        <v>638</v>
      </c>
      <c r="L1657">
        <v>127</v>
      </c>
      <c r="M1657" t="s">
        <v>816</v>
      </c>
      <c r="N1657" t="s">
        <v>310</v>
      </c>
      <c r="O1657" t="s">
        <v>311</v>
      </c>
      <c r="P1657" t="s">
        <v>312</v>
      </c>
      <c r="R1657" t="s">
        <v>313</v>
      </c>
      <c r="T1657">
        <v>69004</v>
      </c>
      <c r="U1657" t="s">
        <v>109</v>
      </c>
      <c r="V1657" t="s">
        <v>110</v>
      </c>
      <c r="W1657" t="s">
        <v>314</v>
      </c>
      <c r="X1657" t="s">
        <v>315</v>
      </c>
      <c r="Y1657" t="s">
        <v>119</v>
      </c>
    </row>
    <row r="1658" spans="1:25">
      <c r="A1658">
        <v>10207</v>
      </c>
      <c r="B1658">
        <v>46</v>
      </c>
      <c r="C1658">
        <v>100</v>
      </c>
      <c r="D1658">
        <v>12</v>
      </c>
      <c r="E1658">
        <v>6819.04</v>
      </c>
      <c r="F1658" s="4">
        <v>37876</v>
      </c>
      <c r="G1658" t="s">
        <v>93</v>
      </c>
      <c r="H1658">
        <v>4</v>
      </c>
      <c r="I1658">
        <v>12</v>
      </c>
      <c r="J1658">
        <v>2003</v>
      </c>
      <c r="K1658" t="s">
        <v>638</v>
      </c>
      <c r="L1658">
        <v>127</v>
      </c>
      <c r="M1658" t="s">
        <v>816</v>
      </c>
      <c r="N1658" t="s">
        <v>533</v>
      </c>
      <c r="O1658">
        <v>6175552555</v>
      </c>
      <c r="P1658" t="s">
        <v>534</v>
      </c>
      <c r="R1658" t="s">
        <v>492</v>
      </c>
      <c r="S1658" t="s">
        <v>200</v>
      </c>
      <c r="T1658">
        <v>51003</v>
      </c>
      <c r="U1658" t="s">
        <v>100</v>
      </c>
      <c r="V1658" t="s">
        <v>101</v>
      </c>
      <c r="W1658" t="s">
        <v>535</v>
      </c>
      <c r="X1658" t="s">
        <v>371</v>
      </c>
      <c r="Y1658" t="s">
        <v>119</v>
      </c>
    </row>
    <row r="1659" spans="1:25">
      <c r="A1659">
        <v>10217</v>
      </c>
      <c r="B1659">
        <v>28</v>
      </c>
      <c r="C1659">
        <v>100</v>
      </c>
      <c r="D1659">
        <v>1</v>
      </c>
      <c r="E1659">
        <v>3148.88</v>
      </c>
      <c r="F1659" s="4">
        <v>38079</v>
      </c>
      <c r="G1659" t="s">
        <v>93</v>
      </c>
      <c r="H1659">
        <v>1</v>
      </c>
      <c r="I1659">
        <v>2</v>
      </c>
      <c r="J1659">
        <v>2004</v>
      </c>
      <c r="K1659" t="s">
        <v>638</v>
      </c>
      <c r="L1659">
        <v>127</v>
      </c>
      <c r="M1659" t="s">
        <v>816</v>
      </c>
      <c r="N1659" t="s">
        <v>536</v>
      </c>
      <c r="O1659" t="s">
        <v>537</v>
      </c>
      <c r="P1659" t="s">
        <v>538</v>
      </c>
      <c r="Q1659" t="s">
        <v>539</v>
      </c>
      <c r="R1659" t="s">
        <v>287</v>
      </c>
      <c r="T1659">
        <v>69045</v>
      </c>
      <c r="U1659" t="s">
        <v>287</v>
      </c>
      <c r="V1659" t="s">
        <v>169</v>
      </c>
      <c r="W1659" t="s">
        <v>540</v>
      </c>
      <c r="X1659" t="s">
        <v>541</v>
      </c>
      <c r="Y1659" t="s">
        <v>119</v>
      </c>
    </row>
    <row r="1660" spans="1:25">
      <c r="A1660">
        <v>10229</v>
      </c>
      <c r="B1660">
        <v>48</v>
      </c>
      <c r="C1660">
        <v>100</v>
      </c>
      <c r="D1660">
        <v>6</v>
      </c>
      <c r="E1660">
        <v>5704.32</v>
      </c>
      <c r="F1660" s="4">
        <v>38294</v>
      </c>
      <c r="G1660" t="s">
        <v>93</v>
      </c>
      <c r="H1660">
        <v>1</v>
      </c>
      <c r="I1660">
        <v>3</v>
      </c>
      <c r="J1660">
        <v>2004</v>
      </c>
      <c r="K1660" t="s">
        <v>638</v>
      </c>
      <c r="L1660">
        <v>127</v>
      </c>
      <c r="M1660" t="s">
        <v>816</v>
      </c>
      <c r="N1660" t="s">
        <v>367</v>
      </c>
      <c r="O1660">
        <v>4155551450</v>
      </c>
      <c r="P1660" t="s">
        <v>368</v>
      </c>
      <c r="R1660" t="s">
        <v>369</v>
      </c>
      <c r="S1660" t="s">
        <v>124</v>
      </c>
      <c r="T1660">
        <v>97562</v>
      </c>
      <c r="U1660" t="s">
        <v>100</v>
      </c>
      <c r="V1660" t="s">
        <v>101</v>
      </c>
      <c r="W1660" t="s">
        <v>370</v>
      </c>
      <c r="X1660" t="s">
        <v>371</v>
      </c>
      <c r="Y1660" t="s">
        <v>119</v>
      </c>
    </row>
    <row r="1661" spans="1:25">
      <c r="A1661">
        <v>10246</v>
      </c>
      <c r="B1661">
        <v>29</v>
      </c>
      <c r="C1661">
        <v>100</v>
      </c>
      <c r="D1661">
        <v>10</v>
      </c>
      <c r="E1661">
        <v>3520.6</v>
      </c>
      <c r="F1661" s="4">
        <v>38112</v>
      </c>
      <c r="G1661" t="s">
        <v>93</v>
      </c>
      <c r="H1661">
        <v>2</v>
      </c>
      <c r="I1661">
        <v>5</v>
      </c>
      <c r="J1661">
        <v>2004</v>
      </c>
      <c r="K1661" t="s">
        <v>638</v>
      </c>
      <c r="L1661">
        <v>127</v>
      </c>
      <c r="M1661" t="s">
        <v>816</v>
      </c>
      <c r="N1661" t="s">
        <v>257</v>
      </c>
      <c r="O1661" t="s">
        <v>258</v>
      </c>
      <c r="P1661" t="s">
        <v>259</v>
      </c>
      <c r="R1661" t="s">
        <v>260</v>
      </c>
      <c r="T1661">
        <v>28034</v>
      </c>
      <c r="U1661" t="s">
        <v>261</v>
      </c>
      <c r="V1661" t="s">
        <v>110</v>
      </c>
      <c r="W1661" t="s">
        <v>262</v>
      </c>
      <c r="X1661" t="s">
        <v>263</v>
      </c>
      <c r="Y1661" t="s">
        <v>119</v>
      </c>
    </row>
    <row r="1662" spans="1:25">
      <c r="A1662">
        <v>10259</v>
      </c>
      <c r="B1662">
        <v>47</v>
      </c>
      <c r="C1662">
        <v>100</v>
      </c>
      <c r="D1662">
        <v>9</v>
      </c>
      <c r="E1662">
        <v>5285.62</v>
      </c>
      <c r="F1662" t="s">
        <v>337</v>
      </c>
      <c r="G1662" t="s">
        <v>93</v>
      </c>
      <c r="H1662">
        <v>2</v>
      </c>
      <c r="I1662">
        <v>6</v>
      </c>
      <c r="J1662">
        <v>2004</v>
      </c>
      <c r="K1662" t="s">
        <v>638</v>
      </c>
      <c r="L1662">
        <v>127</v>
      </c>
      <c r="M1662" t="s">
        <v>816</v>
      </c>
      <c r="N1662" t="s">
        <v>536</v>
      </c>
      <c r="O1662" t="s">
        <v>537</v>
      </c>
      <c r="P1662" t="s">
        <v>538</v>
      </c>
      <c r="Q1662" t="s">
        <v>539</v>
      </c>
      <c r="R1662" t="s">
        <v>287</v>
      </c>
      <c r="T1662">
        <v>69045</v>
      </c>
      <c r="U1662" t="s">
        <v>287</v>
      </c>
      <c r="V1662" t="s">
        <v>169</v>
      </c>
      <c r="W1662" t="s">
        <v>540</v>
      </c>
      <c r="X1662" t="s">
        <v>541</v>
      </c>
      <c r="Y1662" t="s">
        <v>119</v>
      </c>
    </row>
    <row r="1663" spans="1:25">
      <c r="A1663">
        <v>10271</v>
      </c>
      <c r="B1663">
        <v>43</v>
      </c>
      <c r="C1663">
        <v>100</v>
      </c>
      <c r="D1663">
        <v>10</v>
      </c>
      <c r="E1663">
        <v>5605.05</v>
      </c>
      <c r="F1663" t="s">
        <v>623</v>
      </c>
      <c r="G1663" t="s">
        <v>93</v>
      </c>
      <c r="H1663">
        <v>3</v>
      </c>
      <c r="I1663">
        <v>7</v>
      </c>
      <c r="J1663">
        <v>2004</v>
      </c>
      <c r="K1663" t="s">
        <v>638</v>
      </c>
      <c r="L1663">
        <v>127</v>
      </c>
      <c r="M1663" t="s">
        <v>816</v>
      </c>
      <c r="N1663" t="s">
        <v>367</v>
      </c>
      <c r="O1663">
        <v>4155551450</v>
      </c>
      <c r="P1663" t="s">
        <v>368</v>
      </c>
      <c r="R1663" t="s">
        <v>369</v>
      </c>
      <c r="S1663" t="s">
        <v>124</v>
      </c>
      <c r="T1663">
        <v>97562</v>
      </c>
      <c r="U1663" t="s">
        <v>100</v>
      </c>
      <c r="V1663" t="s">
        <v>101</v>
      </c>
      <c r="W1663" t="s">
        <v>370</v>
      </c>
      <c r="X1663" t="s">
        <v>371</v>
      </c>
      <c r="Y1663" t="s">
        <v>119</v>
      </c>
    </row>
    <row r="1664" spans="1:25">
      <c r="A1664">
        <v>10281</v>
      </c>
      <c r="B1664">
        <v>25</v>
      </c>
      <c r="C1664">
        <v>100</v>
      </c>
      <c r="D1664">
        <v>6</v>
      </c>
      <c r="E1664">
        <v>2779.5</v>
      </c>
      <c r="F1664" t="s">
        <v>542</v>
      </c>
      <c r="G1664" t="s">
        <v>93</v>
      </c>
      <c r="H1664">
        <v>3</v>
      </c>
      <c r="I1664">
        <v>8</v>
      </c>
      <c r="J1664">
        <v>2004</v>
      </c>
      <c r="K1664" t="s">
        <v>638</v>
      </c>
      <c r="L1664">
        <v>127</v>
      </c>
      <c r="M1664" t="s">
        <v>816</v>
      </c>
      <c r="N1664" t="s">
        <v>218</v>
      </c>
      <c r="O1664">
        <v>2155551555</v>
      </c>
      <c r="P1664" t="s">
        <v>219</v>
      </c>
      <c r="R1664" t="s">
        <v>220</v>
      </c>
      <c r="S1664" t="s">
        <v>221</v>
      </c>
      <c r="T1664">
        <v>70267</v>
      </c>
      <c r="U1664" t="s">
        <v>100</v>
      </c>
      <c r="V1664" t="s">
        <v>101</v>
      </c>
      <c r="W1664" t="s">
        <v>102</v>
      </c>
      <c r="X1664" t="s">
        <v>222</v>
      </c>
      <c r="Y1664" t="s">
        <v>104</v>
      </c>
    </row>
    <row r="1665" spans="1:25">
      <c r="A1665">
        <v>10291</v>
      </c>
      <c r="B1665">
        <v>48</v>
      </c>
      <c r="C1665">
        <v>100</v>
      </c>
      <c r="D1665">
        <v>1</v>
      </c>
      <c r="E1665">
        <v>5398.08</v>
      </c>
      <c r="F1665" s="4">
        <v>38208</v>
      </c>
      <c r="G1665" t="s">
        <v>93</v>
      </c>
      <c r="H1665">
        <v>3</v>
      </c>
      <c r="I1665">
        <v>9</v>
      </c>
      <c r="J1665">
        <v>2004</v>
      </c>
      <c r="K1665" t="s">
        <v>638</v>
      </c>
      <c r="L1665">
        <v>127</v>
      </c>
      <c r="M1665" t="s">
        <v>816</v>
      </c>
      <c r="N1665" t="s">
        <v>355</v>
      </c>
      <c r="O1665" t="s">
        <v>356</v>
      </c>
      <c r="P1665" t="s">
        <v>357</v>
      </c>
      <c r="R1665" t="s">
        <v>358</v>
      </c>
      <c r="T1665" t="s">
        <v>359</v>
      </c>
      <c r="U1665" t="s">
        <v>273</v>
      </c>
      <c r="V1665" t="s">
        <v>110</v>
      </c>
      <c r="W1665" t="s">
        <v>360</v>
      </c>
      <c r="X1665" t="s">
        <v>295</v>
      </c>
      <c r="Y1665" t="s">
        <v>119</v>
      </c>
    </row>
    <row r="1666" spans="1:25">
      <c r="A1666">
        <v>10305</v>
      </c>
      <c r="B1666">
        <v>24</v>
      </c>
      <c r="C1666">
        <v>100</v>
      </c>
      <c r="D1666">
        <v>10</v>
      </c>
      <c r="E1666">
        <v>3189.6</v>
      </c>
      <c r="F1666" t="s">
        <v>543</v>
      </c>
      <c r="G1666" t="s">
        <v>93</v>
      </c>
      <c r="H1666">
        <v>4</v>
      </c>
      <c r="I1666">
        <v>10</v>
      </c>
      <c r="J1666">
        <v>2004</v>
      </c>
      <c r="K1666" t="s">
        <v>638</v>
      </c>
      <c r="L1666">
        <v>127</v>
      </c>
      <c r="M1666" t="s">
        <v>816</v>
      </c>
      <c r="N1666" t="s">
        <v>197</v>
      </c>
      <c r="O1666">
        <v>6175558555</v>
      </c>
      <c r="P1666" t="s">
        <v>198</v>
      </c>
      <c r="R1666" t="s">
        <v>199</v>
      </c>
      <c r="S1666" t="s">
        <v>200</v>
      </c>
      <c r="T1666">
        <v>51247</v>
      </c>
      <c r="U1666" t="s">
        <v>100</v>
      </c>
      <c r="V1666" t="s">
        <v>101</v>
      </c>
      <c r="W1666" t="s">
        <v>201</v>
      </c>
      <c r="X1666" t="s">
        <v>202</v>
      </c>
      <c r="Y1666" t="s">
        <v>119</v>
      </c>
    </row>
    <row r="1667" spans="1:25">
      <c r="A1667">
        <v>10313</v>
      </c>
      <c r="B1667">
        <v>42</v>
      </c>
      <c r="C1667">
        <v>100</v>
      </c>
      <c r="D1667">
        <v>4</v>
      </c>
      <c r="E1667">
        <v>5581.8</v>
      </c>
      <c r="F1667" t="s">
        <v>544</v>
      </c>
      <c r="G1667" t="s">
        <v>93</v>
      </c>
      <c r="H1667">
        <v>4</v>
      </c>
      <c r="I1667">
        <v>10</v>
      </c>
      <c r="J1667">
        <v>2004</v>
      </c>
      <c r="K1667" t="s">
        <v>638</v>
      </c>
      <c r="L1667">
        <v>127</v>
      </c>
      <c r="M1667" t="s">
        <v>816</v>
      </c>
      <c r="N1667" t="s">
        <v>316</v>
      </c>
      <c r="O1667" t="s">
        <v>317</v>
      </c>
      <c r="P1667" t="s">
        <v>318</v>
      </c>
      <c r="R1667" t="s">
        <v>319</v>
      </c>
      <c r="S1667" t="s">
        <v>320</v>
      </c>
      <c r="T1667" t="s">
        <v>321</v>
      </c>
      <c r="U1667" t="s">
        <v>322</v>
      </c>
      <c r="V1667" t="s">
        <v>101</v>
      </c>
      <c r="W1667" t="s">
        <v>323</v>
      </c>
      <c r="X1667" t="s">
        <v>324</v>
      </c>
      <c r="Y1667" t="s">
        <v>119</v>
      </c>
    </row>
    <row r="1668" spans="1:25">
      <c r="A1668">
        <v>10324</v>
      </c>
      <c r="B1668">
        <v>31</v>
      </c>
      <c r="C1668">
        <v>100</v>
      </c>
      <c r="D1668">
        <v>2</v>
      </c>
      <c r="E1668">
        <v>3820.44</v>
      </c>
      <c r="F1668" s="4">
        <v>38118</v>
      </c>
      <c r="G1668" t="s">
        <v>93</v>
      </c>
      <c r="H1668">
        <v>4</v>
      </c>
      <c r="I1668">
        <v>11</v>
      </c>
      <c r="J1668">
        <v>2004</v>
      </c>
      <c r="K1668" t="s">
        <v>638</v>
      </c>
      <c r="L1668">
        <v>127</v>
      </c>
      <c r="M1668" t="s">
        <v>816</v>
      </c>
      <c r="N1668" t="s">
        <v>172</v>
      </c>
      <c r="O1668">
        <v>2125551500</v>
      </c>
      <c r="P1668" t="s">
        <v>173</v>
      </c>
      <c r="Q1668" t="s">
        <v>174</v>
      </c>
      <c r="R1668" t="s">
        <v>98</v>
      </c>
      <c r="S1668" t="s">
        <v>99</v>
      </c>
      <c r="T1668">
        <v>10022</v>
      </c>
      <c r="U1668" t="s">
        <v>100</v>
      </c>
      <c r="V1668" t="s">
        <v>101</v>
      </c>
      <c r="W1668" t="s">
        <v>175</v>
      </c>
      <c r="X1668" t="s">
        <v>176</v>
      </c>
      <c r="Y1668" t="s">
        <v>119</v>
      </c>
    </row>
    <row r="1669" spans="1:25">
      <c r="A1669">
        <v>10334</v>
      </c>
      <c r="B1669">
        <v>42</v>
      </c>
      <c r="C1669">
        <v>100</v>
      </c>
      <c r="D1669">
        <v>5</v>
      </c>
      <c r="E1669">
        <v>5528.04</v>
      </c>
      <c r="F1669" t="s">
        <v>545</v>
      </c>
      <c r="G1669" t="s">
        <v>518</v>
      </c>
      <c r="H1669">
        <v>4</v>
      </c>
      <c r="I1669">
        <v>11</v>
      </c>
      <c r="J1669">
        <v>2004</v>
      </c>
      <c r="K1669" t="s">
        <v>638</v>
      </c>
      <c r="L1669">
        <v>127</v>
      </c>
      <c r="M1669" t="s">
        <v>816</v>
      </c>
      <c r="N1669" t="s">
        <v>268</v>
      </c>
      <c r="O1669" t="s">
        <v>269</v>
      </c>
      <c r="P1669" t="s">
        <v>270</v>
      </c>
      <c r="R1669" t="s">
        <v>271</v>
      </c>
      <c r="T1669" t="s">
        <v>272</v>
      </c>
      <c r="U1669" t="s">
        <v>273</v>
      </c>
      <c r="V1669" t="s">
        <v>110</v>
      </c>
      <c r="W1669" t="s">
        <v>274</v>
      </c>
      <c r="X1669" t="s">
        <v>275</v>
      </c>
      <c r="Y1669" t="s">
        <v>119</v>
      </c>
    </row>
    <row r="1670" spans="1:25">
      <c r="A1670">
        <v>10348</v>
      </c>
      <c r="B1670">
        <v>37</v>
      </c>
      <c r="C1670">
        <v>100</v>
      </c>
      <c r="D1670">
        <v>1</v>
      </c>
      <c r="E1670">
        <v>5981.42</v>
      </c>
      <c r="F1670" s="4">
        <v>37997</v>
      </c>
      <c r="G1670" t="s">
        <v>93</v>
      </c>
      <c r="H1670">
        <v>4</v>
      </c>
      <c r="I1670">
        <v>11</v>
      </c>
      <c r="J1670">
        <v>2004</v>
      </c>
      <c r="K1670" t="s">
        <v>638</v>
      </c>
      <c r="L1670">
        <v>127</v>
      </c>
      <c r="M1670" t="s">
        <v>816</v>
      </c>
      <c r="N1670" t="s">
        <v>277</v>
      </c>
      <c r="O1670" t="s">
        <v>278</v>
      </c>
      <c r="P1670" t="s">
        <v>279</v>
      </c>
      <c r="R1670" t="s">
        <v>260</v>
      </c>
      <c r="T1670">
        <v>28023</v>
      </c>
      <c r="U1670" t="s">
        <v>261</v>
      </c>
      <c r="V1670" t="s">
        <v>110</v>
      </c>
      <c r="W1670" t="s">
        <v>280</v>
      </c>
      <c r="X1670" t="s">
        <v>281</v>
      </c>
      <c r="Y1670" t="s">
        <v>119</v>
      </c>
    </row>
    <row r="1671" spans="1:25">
      <c r="A1671">
        <v>10358</v>
      </c>
      <c r="B1671">
        <v>41</v>
      </c>
      <c r="C1671">
        <v>100</v>
      </c>
      <c r="D1671">
        <v>7</v>
      </c>
      <c r="E1671">
        <v>5684.65</v>
      </c>
      <c r="F1671" s="4">
        <v>38272</v>
      </c>
      <c r="G1671" t="s">
        <v>93</v>
      </c>
      <c r="H1671">
        <v>4</v>
      </c>
      <c r="I1671">
        <v>12</v>
      </c>
      <c r="J1671">
        <v>2004</v>
      </c>
      <c r="K1671" t="s">
        <v>638</v>
      </c>
      <c r="L1671">
        <v>127</v>
      </c>
      <c r="M1671" t="s">
        <v>816</v>
      </c>
      <c r="N1671" t="s">
        <v>257</v>
      </c>
      <c r="O1671" t="s">
        <v>258</v>
      </c>
      <c r="P1671" t="s">
        <v>259</v>
      </c>
      <c r="R1671" t="s">
        <v>260</v>
      </c>
      <c r="T1671">
        <v>28034</v>
      </c>
      <c r="U1671" t="s">
        <v>261</v>
      </c>
      <c r="V1671" t="s">
        <v>110</v>
      </c>
      <c r="W1671" t="s">
        <v>262</v>
      </c>
      <c r="X1671" t="s">
        <v>263</v>
      </c>
      <c r="Y1671" t="s">
        <v>119</v>
      </c>
    </row>
    <row r="1672" spans="1:25">
      <c r="A1672">
        <v>10371</v>
      </c>
      <c r="B1672">
        <v>20</v>
      </c>
      <c r="C1672">
        <v>100</v>
      </c>
      <c r="D1672">
        <v>5</v>
      </c>
      <c r="E1672">
        <v>3449.4</v>
      </c>
      <c r="F1672" t="s">
        <v>637</v>
      </c>
      <c r="G1672" t="s">
        <v>93</v>
      </c>
      <c r="H1672">
        <v>1</v>
      </c>
      <c r="I1672">
        <v>1</v>
      </c>
      <c r="J1672">
        <v>2005</v>
      </c>
      <c r="K1672" t="s">
        <v>638</v>
      </c>
      <c r="L1672">
        <v>127</v>
      </c>
      <c r="M1672" t="s">
        <v>816</v>
      </c>
      <c r="N1672" t="s">
        <v>367</v>
      </c>
      <c r="O1672">
        <v>4155551450</v>
      </c>
      <c r="P1672" t="s">
        <v>368</v>
      </c>
      <c r="R1672" t="s">
        <v>369</v>
      </c>
      <c r="S1672" t="s">
        <v>124</v>
      </c>
      <c r="T1672">
        <v>97562</v>
      </c>
      <c r="U1672" t="s">
        <v>100</v>
      </c>
      <c r="V1672" t="s">
        <v>101</v>
      </c>
      <c r="W1672" t="s">
        <v>370</v>
      </c>
      <c r="X1672" t="s">
        <v>371</v>
      </c>
      <c r="Y1672" t="s">
        <v>119</v>
      </c>
    </row>
    <row r="1673" spans="1:25">
      <c r="A1673">
        <v>10382</v>
      </c>
      <c r="B1673">
        <v>20</v>
      </c>
      <c r="C1673">
        <v>100</v>
      </c>
      <c r="D1673">
        <v>3</v>
      </c>
      <c r="E1673">
        <v>2654.4</v>
      </c>
      <c r="F1673" t="s">
        <v>383</v>
      </c>
      <c r="G1673" t="s">
        <v>93</v>
      </c>
      <c r="H1673">
        <v>1</v>
      </c>
      <c r="I1673">
        <v>2</v>
      </c>
      <c r="J1673">
        <v>2005</v>
      </c>
      <c r="K1673" t="s">
        <v>638</v>
      </c>
      <c r="L1673">
        <v>127</v>
      </c>
      <c r="M1673" t="s">
        <v>816</v>
      </c>
      <c r="N1673" t="s">
        <v>367</v>
      </c>
      <c r="O1673">
        <v>4155551450</v>
      </c>
      <c r="P1673" t="s">
        <v>368</v>
      </c>
      <c r="R1673" t="s">
        <v>369</v>
      </c>
      <c r="S1673" t="s">
        <v>124</v>
      </c>
      <c r="T1673">
        <v>97562</v>
      </c>
      <c r="U1673" t="s">
        <v>100</v>
      </c>
      <c r="V1673" t="s">
        <v>101</v>
      </c>
      <c r="W1673" t="s">
        <v>370</v>
      </c>
      <c r="X1673" t="s">
        <v>371</v>
      </c>
      <c r="Y1673" t="s">
        <v>104</v>
      </c>
    </row>
    <row r="1674" spans="1:25">
      <c r="A1674">
        <v>10412</v>
      </c>
      <c r="B1674">
        <v>70</v>
      </c>
      <c r="C1674">
        <v>100</v>
      </c>
      <c r="D1674">
        <v>10</v>
      </c>
      <c r="E1674">
        <v>8498</v>
      </c>
      <c r="F1674" s="4">
        <v>38416</v>
      </c>
      <c r="G1674" t="s">
        <v>93</v>
      </c>
      <c r="H1674">
        <v>2</v>
      </c>
      <c r="I1674">
        <v>5</v>
      </c>
      <c r="J1674">
        <v>2005</v>
      </c>
      <c r="K1674" t="s">
        <v>638</v>
      </c>
      <c r="L1674">
        <v>127</v>
      </c>
      <c r="M1674" t="s">
        <v>816</v>
      </c>
      <c r="N1674" t="s">
        <v>257</v>
      </c>
      <c r="O1674" t="s">
        <v>258</v>
      </c>
      <c r="P1674" t="s">
        <v>259</v>
      </c>
      <c r="R1674" t="s">
        <v>260</v>
      </c>
      <c r="T1674">
        <v>28034</v>
      </c>
      <c r="U1674" t="s">
        <v>261</v>
      </c>
      <c r="V1674" t="s">
        <v>110</v>
      </c>
      <c r="W1674" t="s">
        <v>262</v>
      </c>
      <c r="X1674" t="s">
        <v>263</v>
      </c>
      <c r="Y1674" t="s">
        <v>232</v>
      </c>
    </row>
    <row r="1675" spans="1:25">
      <c r="A1675">
        <v>10425</v>
      </c>
      <c r="B1675">
        <v>49</v>
      </c>
      <c r="C1675">
        <v>100</v>
      </c>
      <c r="D1675">
        <v>9</v>
      </c>
      <c r="E1675">
        <v>5510.54</v>
      </c>
      <c r="F1675" t="s">
        <v>399</v>
      </c>
      <c r="G1675" t="s">
        <v>400</v>
      </c>
      <c r="H1675">
        <v>2</v>
      </c>
      <c r="I1675">
        <v>5</v>
      </c>
      <c r="J1675">
        <v>2005</v>
      </c>
      <c r="K1675" t="s">
        <v>638</v>
      </c>
      <c r="L1675">
        <v>127</v>
      </c>
      <c r="M1675" t="s">
        <v>816</v>
      </c>
      <c r="N1675" t="s">
        <v>190</v>
      </c>
      <c r="O1675" t="s">
        <v>191</v>
      </c>
      <c r="P1675" t="s">
        <v>192</v>
      </c>
      <c r="R1675" t="s">
        <v>193</v>
      </c>
      <c r="T1675">
        <v>44000</v>
      </c>
      <c r="U1675" t="s">
        <v>109</v>
      </c>
      <c r="V1675" t="s">
        <v>110</v>
      </c>
      <c r="W1675" t="s">
        <v>194</v>
      </c>
      <c r="X1675" t="s">
        <v>195</v>
      </c>
      <c r="Y1675" t="s">
        <v>119</v>
      </c>
    </row>
    <row r="1676" spans="1:25">
      <c r="A1676">
        <v>10108</v>
      </c>
      <c r="B1676">
        <v>35</v>
      </c>
      <c r="C1676">
        <v>58.87</v>
      </c>
      <c r="D1676">
        <v>15</v>
      </c>
      <c r="E1676">
        <v>2060.4499999999998</v>
      </c>
      <c r="F1676" s="4">
        <v>37683</v>
      </c>
      <c r="G1676" t="s">
        <v>93</v>
      </c>
      <c r="H1676">
        <v>1</v>
      </c>
      <c r="I1676">
        <v>3</v>
      </c>
      <c r="J1676">
        <v>2003</v>
      </c>
      <c r="K1676" t="s">
        <v>94</v>
      </c>
      <c r="L1676">
        <v>69</v>
      </c>
      <c r="M1676" t="s">
        <v>817</v>
      </c>
      <c r="N1676" t="s">
        <v>547</v>
      </c>
      <c r="O1676" t="s">
        <v>548</v>
      </c>
      <c r="P1676" t="s">
        <v>549</v>
      </c>
      <c r="R1676" t="s">
        <v>550</v>
      </c>
      <c r="T1676" t="s">
        <v>551</v>
      </c>
      <c r="U1676" t="s">
        <v>552</v>
      </c>
      <c r="V1676" t="s">
        <v>288</v>
      </c>
      <c r="W1676" t="s">
        <v>553</v>
      </c>
      <c r="X1676" t="s">
        <v>554</v>
      </c>
      <c r="Y1676" t="s">
        <v>104</v>
      </c>
    </row>
    <row r="1677" spans="1:25">
      <c r="A1677">
        <v>10121</v>
      </c>
      <c r="B1677">
        <v>32</v>
      </c>
      <c r="C1677">
        <v>76.88</v>
      </c>
      <c r="D1677">
        <v>2</v>
      </c>
      <c r="E1677">
        <v>2460.16</v>
      </c>
      <c r="F1677" s="4">
        <v>37807</v>
      </c>
      <c r="G1677" t="s">
        <v>93</v>
      </c>
      <c r="H1677">
        <v>2</v>
      </c>
      <c r="I1677">
        <v>5</v>
      </c>
      <c r="J1677">
        <v>2003</v>
      </c>
      <c r="K1677" t="s">
        <v>94</v>
      </c>
      <c r="L1677">
        <v>69</v>
      </c>
      <c r="M1677" t="s">
        <v>817</v>
      </c>
      <c r="N1677" t="s">
        <v>105</v>
      </c>
      <c r="O1677" t="s">
        <v>106</v>
      </c>
      <c r="P1677" t="s">
        <v>107</v>
      </c>
      <c r="R1677" t="s">
        <v>108</v>
      </c>
      <c r="T1677">
        <v>51100</v>
      </c>
      <c r="U1677" t="s">
        <v>109</v>
      </c>
      <c r="V1677" t="s">
        <v>110</v>
      </c>
      <c r="W1677" t="s">
        <v>111</v>
      </c>
      <c r="X1677" t="s">
        <v>112</v>
      </c>
      <c r="Y1677" t="s">
        <v>104</v>
      </c>
    </row>
    <row r="1678" spans="1:25">
      <c r="A1678">
        <v>10135</v>
      </c>
      <c r="B1678">
        <v>29</v>
      </c>
      <c r="C1678">
        <v>61.64</v>
      </c>
      <c r="D1678">
        <v>16</v>
      </c>
      <c r="E1678">
        <v>1787.56</v>
      </c>
      <c r="F1678" s="4">
        <v>37659</v>
      </c>
      <c r="G1678" t="s">
        <v>93</v>
      </c>
      <c r="H1678">
        <v>3</v>
      </c>
      <c r="I1678">
        <v>7</v>
      </c>
      <c r="J1678">
        <v>2003</v>
      </c>
      <c r="K1678" t="s">
        <v>94</v>
      </c>
      <c r="L1678">
        <v>69</v>
      </c>
      <c r="M1678" t="s">
        <v>817</v>
      </c>
      <c r="N1678" t="s">
        <v>367</v>
      </c>
      <c r="O1678">
        <v>4155551450</v>
      </c>
      <c r="P1678" t="s">
        <v>368</v>
      </c>
      <c r="R1678" t="s">
        <v>369</v>
      </c>
      <c r="S1678" t="s">
        <v>124</v>
      </c>
      <c r="T1678">
        <v>97562</v>
      </c>
      <c r="U1678" t="s">
        <v>100</v>
      </c>
      <c r="V1678" t="s">
        <v>101</v>
      </c>
      <c r="W1678" t="s">
        <v>370</v>
      </c>
      <c r="X1678" t="s">
        <v>371</v>
      </c>
      <c r="Y1678" t="s">
        <v>104</v>
      </c>
    </row>
    <row r="1679" spans="1:25">
      <c r="A1679">
        <v>10145</v>
      </c>
      <c r="B1679">
        <v>27</v>
      </c>
      <c r="C1679">
        <v>60.95</v>
      </c>
      <c r="D1679">
        <v>3</v>
      </c>
      <c r="E1679">
        <v>1645.65</v>
      </c>
      <c r="F1679" t="s">
        <v>120</v>
      </c>
      <c r="G1679" t="s">
        <v>93</v>
      </c>
      <c r="H1679">
        <v>3</v>
      </c>
      <c r="I1679">
        <v>8</v>
      </c>
      <c r="J1679">
        <v>2003</v>
      </c>
      <c r="K1679" t="s">
        <v>94</v>
      </c>
      <c r="L1679">
        <v>69</v>
      </c>
      <c r="M1679" t="s">
        <v>817</v>
      </c>
      <c r="N1679" t="s">
        <v>121</v>
      </c>
      <c r="O1679">
        <v>6265557265</v>
      </c>
      <c r="P1679" t="s">
        <v>122</v>
      </c>
      <c r="R1679" t="s">
        <v>123</v>
      </c>
      <c r="S1679" t="s">
        <v>124</v>
      </c>
      <c r="T1679">
        <v>90003</v>
      </c>
      <c r="U1679" t="s">
        <v>100</v>
      </c>
      <c r="V1679" t="s">
        <v>101</v>
      </c>
      <c r="W1679" t="s">
        <v>125</v>
      </c>
      <c r="X1679" t="s">
        <v>126</v>
      </c>
      <c r="Y1679" t="s">
        <v>104</v>
      </c>
    </row>
    <row r="1680" spans="1:25">
      <c r="A1680">
        <v>10159</v>
      </c>
      <c r="B1680">
        <v>27</v>
      </c>
      <c r="C1680">
        <v>80.34</v>
      </c>
      <c r="D1680">
        <v>11</v>
      </c>
      <c r="E1680">
        <v>2169.1799999999998</v>
      </c>
      <c r="F1680" s="4">
        <v>37904</v>
      </c>
      <c r="G1680" t="s">
        <v>93</v>
      </c>
      <c r="H1680">
        <v>4</v>
      </c>
      <c r="I1680">
        <v>10</v>
      </c>
      <c r="J1680">
        <v>2003</v>
      </c>
      <c r="K1680" t="s">
        <v>94</v>
      </c>
      <c r="L1680">
        <v>69</v>
      </c>
      <c r="M1680" t="s">
        <v>817</v>
      </c>
      <c r="N1680" t="s">
        <v>127</v>
      </c>
      <c r="O1680">
        <v>6505551386</v>
      </c>
      <c r="P1680" t="s">
        <v>128</v>
      </c>
      <c r="R1680" t="s">
        <v>129</v>
      </c>
      <c r="S1680" t="s">
        <v>124</v>
      </c>
      <c r="U1680" t="s">
        <v>100</v>
      </c>
      <c r="V1680" t="s">
        <v>101</v>
      </c>
      <c r="W1680" t="s">
        <v>130</v>
      </c>
      <c r="X1680" t="s">
        <v>126</v>
      </c>
      <c r="Y1680" t="s">
        <v>104</v>
      </c>
    </row>
    <row r="1681" spans="1:25">
      <c r="A1681">
        <v>10169</v>
      </c>
      <c r="B1681">
        <v>38</v>
      </c>
      <c r="C1681">
        <v>74.11</v>
      </c>
      <c r="D1681">
        <v>11</v>
      </c>
      <c r="E1681">
        <v>2816.18</v>
      </c>
      <c r="F1681" s="4">
        <v>37722</v>
      </c>
      <c r="G1681" t="s">
        <v>93</v>
      </c>
      <c r="H1681">
        <v>4</v>
      </c>
      <c r="I1681">
        <v>11</v>
      </c>
      <c r="J1681">
        <v>2003</v>
      </c>
      <c r="K1681" t="s">
        <v>94</v>
      </c>
      <c r="L1681">
        <v>69</v>
      </c>
      <c r="M1681" t="s">
        <v>817</v>
      </c>
      <c r="N1681" t="s">
        <v>384</v>
      </c>
      <c r="O1681" t="s">
        <v>385</v>
      </c>
      <c r="P1681" t="s">
        <v>386</v>
      </c>
      <c r="Q1681" t="s">
        <v>387</v>
      </c>
      <c r="R1681" t="s">
        <v>388</v>
      </c>
      <c r="S1681" t="s">
        <v>239</v>
      </c>
      <c r="T1681">
        <v>2060</v>
      </c>
      <c r="U1681" t="s">
        <v>168</v>
      </c>
      <c r="V1681" t="s">
        <v>169</v>
      </c>
      <c r="W1681" t="s">
        <v>389</v>
      </c>
      <c r="X1681" t="s">
        <v>390</v>
      </c>
      <c r="Y1681" t="s">
        <v>104</v>
      </c>
    </row>
    <row r="1682" spans="1:25">
      <c r="A1682">
        <v>10180</v>
      </c>
      <c r="B1682">
        <v>35</v>
      </c>
      <c r="C1682">
        <v>72.03</v>
      </c>
      <c r="D1682">
        <v>6</v>
      </c>
      <c r="E1682">
        <v>2521.0500000000002</v>
      </c>
      <c r="F1682" s="4">
        <v>37936</v>
      </c>
      <c r="G1682" t="s">
        <v>93</v>
      </c>
      <c r="H1682">
        <v>4</v>
      </c>
      <c r="I1682">
        <v>11</v>
      </c>
      <c r="J1682">
        <v>2003</v>
      </c>
      <c r="K1682" t="s">
        <v>94</v>
      </c>
      <c r="L1682">
        <v>69</v>
      </c>
      <c r="M1682" t="s">
        <v>817</v>
      </c>
      <c r="N1682" t="s">
        <v>137</v>
      </c>
      <c r="O1682" t="s">
        <v>138</v>
      </c>
      <c r="P1682" t="s">
        <v>139</v>
      </c>
      <c r="R1682" t="s">
        <v>140</v>
      </c>
      <c r="T1682">
        <v>59000</v>
      </c>
      <c r="U1682" t="s">
        <v>109</v>
      </c>
      <c r="V1682" t="s">
        <v>110</v>
      </c>
      <c r="W1682" t="s">
        <v>141</v>
      </c>
      <c r="X1682" t="s">
        <v>142</v>
      </c>
      <c r="Y1682" t="s">
        <v>104</v>
      </c>
    </row>
    <row r="1683" spans="1:25">
      <c r="A1683">
        <v>10190</v>
      </c>
      <c r="B1683">
        <v>42</v>
      </c>
      <c r="C1683">
        <v>76.19</v>
      </c>
      <c r="D1683">
        <v>3</v>
      </c>
      <c r="E1683">
        <v>3199.98</v>
      </c>
      <c r="F1683" t="s">
        <v>818</v>
      </c>
      <c r="G1683" t="s">
        <v>93</v>
      </c>
      <c r="H1683">
        <v>4</v>
      </c>
      <c r="I1683">
        <v>11</v>
      </c>
      <c r="J1683">
        <v>2003</v>
      </c>
      <c r="K1683" t="s">
        <v>94</v>
      </c>
      <c r="L1683">
        <v>69</v>
      </c>
      <c r="M1683" t="s">
        <v>817</v>
      </c>
      <c r="N1683" t="s">
        <v>257</v>
      </c>
      <c r="O1683" t="s">
        <v>258</v>
      </c>
      <c r="P1683" t="s">
        <v>259</v>
      </c>
      <c r="R1683" t="s">
        <v>260</v>
      </c>
      <c r="T1683">
        <v>28034</v>
      </c>
      <c r="U1683" t="s">
        <v>261</v>
      </c>
      <c r="V1683" t="s">
        <v>110</v>
      </c>
      <c r="W1683" t="s">
        <v>262</v>
      </c>
      <c r="X1683" t="s">
        <v>263</v>
      </c>
      <c r="Y1683" t="s">
        <v>119</v>
      </c>
    </row>
    <row r="1684" spans="1:25">
      <c r="A1684">
        <v>10211</v>
      </c>
      <c r="B1684">
        <v>21</v>
      </c>
      <c r="C1684">
        <v>63.72</v>
      </c>
      <c r="D1684">
        <v>11</v>
      </c>
      <c r="E1684">
        <v>1338.12</v>
      </c>
      <c r="F1684" t="s">
        <v>155</v>
      </c>
      <c r="G1684" t="s">
        <v>93</v>
      </c>
      <c r="H1684">
        <v>1</v>
      </c>
      <c r="I1684">
        <v>1</v>
      </c>
      <c r="J1684">
        <v>2004</v>
      </c>
      <c r="K1684" t="s">
        <v>94</v>
      </c>
      <c r="L1684">
        <v>69</v>
      </c>
      <c r="M1684" t="s">
        <v>817</v>
      </c>
      <c r="N1684" t="s">
        <v>156</v>
      </c>
      <c r="O1684" t="s">
        <v>157</v>
      </c>
      <c r="P1684" t="s">
        <v>158</v>
      </c>
      <c r="R1684" t="s">
        <v>116</v>
      </c>
      <c r="T1684">
        <v>75016</v>
      </c>
      <c r="U1684" t="s">
        <v>109</v>
      </c>
      <c r="V1684" t="s">
        <v>110</v>
      </c>
      <c r="W1684" t="s">
        <v>159</v>
      </c>
      <c r="X1684" t="s">
        <v>160</v>
      </c>
      <c r="Y1684" t="s">
        <v>104</v>
      </c>
    </row>
    <row r="1685" spans="1:25">
      <c r="A1685">
        <v>10224</v>
      </c>
      <c r="B1685">
        <v>37</v>
      </c>
      <c r="C1685">
        <v>80.34</v>
      </c>
      <c r="D1685">
        <v>4</v>
      </c>
      <c r="E1685">
        <v>2972.58</v>
      </c>
      <c r="F1685" t="s">
        <v>642</v>
      </c>
      <c r="G1685" t="s">
        <v>93</v>
      </c>
      <c r="H1685">
        <v>1</v>
      </c>
      <c r="I1685">
        <v>2</v>
      </c>
      <c r="J1685">
        <v>2004</v>
      </c>
      <c r="K1685" t="s">
        <v>94</v>
      </c>
      <c r="L1685">
        <v>69</v>
      </c>
      <c r="M1685" t="s">
        <v>817</v>
      </c>
      <c r="N1685" t="s">
        <v>137</v>
      </c>
      <c r="O1685" t="s">
        <v>138</v>
      </c>
      <c r="P1685" t="s">
        <v>139</v>
      </c>
      <c r="R1685" t="s">
        <v>140</v>
      </c>
      <c r="T1685">
        <v>59000</v>
      </c>
      <c r="U1685" t="s">
        <v>109</v>
      </c>
      <c r="V1685" t="s">
        <v>110</v>
      </c>
      <c r="W1685" t="s">
        <v>141</v>
      </c>
      <c r="X1685" t="s">
        <v>142</v>
      </c>
      <c r="Y1685" t="s">
        <v>104</v>
      </c>
    </row>
    <row r="1686" spans="1:25">
      <c r="A1686">
        <v>10237</v>
      </c>
      <c r="B1686">
        <v>26</v>
      </c>
      <c r="C1686">
        <v>79.650000000000006</v>
      </c>
      <c r="D1686">
        <v>4</v>
      </c>
      <c r="E1686">
        <v>2070.9</v>
      </c>
      <c r="F1686" s="4">
        <v>38111</v>
      </c>
      <c r="G1686" t="s">
        <v>93</v>
      </c>
      <c r="H1686">
        <v>2</v>
      </c>
      <c r="I1686">
        <v>4</v>
      </c>
      <c r="J1686">
        <v>2004</v>
      </c>
      <c r="K1686" t="s">
        <v>94</v>
      </c>
      <c r="L1686">
        <v>69</v>
      </c>
      <c r="M1686" t="s">
        <v>817</v>
      </c>
      <c r="N1686" t="s">
        <v>172</v>
      </c>
      <c r="O1686">
        <v>2125551500</v>
      </c>
      <c r="P1686" t="s">
        <v>173</v>
      </c>
      <c r="Q1686" t="s">
        <v>174</v>
      </c>
      <c r="R1686" t="s">
        <v>98</v>
      </c>
      <c r="S1686" t="s">
        <v>99</v>
      </c>
      <c r="T1686">
        <v>10022</v>
      </c>
      <c r="U1686" t="s">
        <v>100</v>
      </c>
      <c r="V1686" t="s">
        <v>101</v>
      </c>
      <c r="W1686" t="s">
        <v>175</v>
      </c>
      <c r="X1686" t="s">
        <v>176</v>
      </c>
      <c r="Y1686" t="s">
        <v>104</v>
      </c>
    </row>
    <row r="1687" spans="1:25">
      <c r="A1687">
        <v>10252</v>
      </c>
      <c r="B1687">
        <v>47</v>
      </c>
      <c r="C1687">
        <v>65.8</v>
      </c>
      <c r="D1687">
        <v>8</v>
      </c>
      <c r="E1687">
        <v>3092.6</v>
      </c>
      <c r="F1687" t="s">
        <v>788</v>
      </c>
      <c r="G1687" t="s">
        <v>93</v>
      </c>
      <c r="H1687">
        <v>2</v>
      </c>
      <c r="I1687">
        <v>5</v>
      </c>
      <c r="J1687">
        <v>2004</v>
      </c>
      <c r="K1687" t="s">
        <v>94</v>
      </c>
      <c r="L1687">
        <v>69</v>
      </c>
      <c r="M1687" t="s">
        <v>817</v>
      </c>
      <c r="N1687" t="s">
        <v>156</v>
      </c>
      <c r="O1687" t="s">
        <v>157</v>
      </c>
      <c r="P1687" t="s">
        <v>158</v>
      </c>
      <c r="R1687" t="s">
        <v>116</v>
      </c>
      <c r="T1687">
        <v>75016</v>
      </c>
      <c r="U1687" t="s">
        <v>109</v>
      </c>
      <c r="V1687" t="s">
        <v>110</v>
      </c>
      <c r="W1687" t="s">
        <v>159</v>
      </c>
      <c r="X1687" t="s">
        <v>160</v>
      </c>
      <c r="Y1687" t="s">
        <v>119</v>
      </c>
    </row>
    <row r="1688" spans="1:25">
      <c r="A1688">
        <v>10264</v>
      </c>
      <c r="B1688">
        <v>37</v>
      </c>
      <c r="C1688">
        <v>65.099999999999994</v>
      </c>
      <c r="D1688">
        <v>6</v>
      </c>
      <c r="E1688">
        <v>2408.6999999999998</v>
      </c>
      <c r="F1688" t="s">
        <v>794</v>
      </c>
      <c r="G1688" t="s">
        <v>93</v>
      </c>
      <c r="H1688">
        <v>2</v>
      </c>
      <c r="I1688">
        <v>6</v>
      </c>
      <c r="J1688">
        <v>2004</v>
      </c>
      <c r="K1688" t="s">
        <v>94</v>
      </c>
      <c r="L1688">
        <v>69</v>
      </c>
      <c r="M1688" t="s">
        <v>817</v>
      </c>
      <c r="N1688" t="s">
        <v>490</v>
      </c>
      <c r="O1688">
        <v>6175559555</v>
      </c>
      <c r="P1688" t="s">
        <v>491</v>
      </c>
      <c r="R1688" t="s">
        <v>492</v>
      </c>
      <c r="S1688" t="s">
        <v>200</v>
      </c>
      <c r="T1688">
        <v>51003</v>
      </c>
      <c r="U1688" t="s">
        <v>100</v>
      </c>
      <c r="V1688" t="s">
        <v>101</v>
      </c>
      <c r="W1688" t="s">
        <v>493</v>
      </c>
      <c r="X1688" t="s">
        <v>136</v>
      </c>
      <c r="Y1688" t="s">
        <v>104</v>
      </c>
    </row>
    <row r="1689" spans="1:25">
      <c r="A1689">
        <v>10276</v>
      </c>
      <c r="B1689">
        <v>46</v>
      </c>
      <c r="C1689">
        <v>75.489999999999995</v>
      </c>
      <c r="D1689">
        <v>12</v>
      </c>
      <c r="E1689">
        <v>3472.54</v>
      </c>
      <c r="F1689" s="4">
        <v>38025</v>
      </c>
      <c r="G1689" t="s">
        <v>93</v>
      </c>
      <c r="H1689">
        <v>3</v>
      </c>
      <c r="I1689">
        <v>8</v>
      </c>
      <c r="J1689">
        <v>2004</v>
      </c>
      <c r="K1689" t="s">
        <v>94</v>
      </c>
      <c r="L1689">
        <v>69</v>
      </c>
      <c r="M1689" t="s">
        <v>817</v>
      </c>
      <c r="N1689" t="s">
        <v>582</v>
      </c>
      <c r="O1689">
        <v>6175557555</v>
      </c>
      <c r="P1689" t="s">
        <v>583</v>
      </c>
      <c r="R1689" t="s">
        <v>381</v>
      </c>
      <c r="S1689" t="s">
        <v>200</v>
      </c>
      <c r="T1689">
        <v>58339</v>
      </c>
      <c r="U1689" t="s">
        <v>100</v>
      </c>
      <c r="V1689" t="s">
        <v>101</v>
      </c>
      <c r="W1689" t="s">
        <v>584</v>
      </c>
      <c r="X1689" t="s">
        <v>585</v>
      </c>
      <c r="Y1689" t="s">
        <v>119</v>
      </c>
    </row>
    <row r="1690" spans="1:25">
      <c r="A1690">
        <v>10285</v>
      </c>
      <c r="B1690">
        <v>38</v>
      </c>
      <c r="C1690">
        <v>59.56</v>
      </c>
      <c r="D1690">
        <v>3</v>
      </c>
      <c r="E1690">
        <v>2263.2800000000002</v>
      </c>
      <c r="F1690" t="s">
        <v>196</v>
      </c>
      <c r="G1690" t="s">
        <v>93</v>
      </c>
      <c r="H1690">
        <v>3</v>
      </c>
      <c r="I1690">
        <v>8</v>
      </c>
      <c r="J1690">
        <v>2004</v>
      </c>
      <c r="K1690" t="s">
        <v>94</v>
      </c>
      <c r="L1690">
        <v>69</v>
      </c>
      <c r="M1690" t="s">
        <v>817</v>
      </c>
      <c r="N1690" t="s">
        <v>197</v>
      </c>
      <c r="O1690">
        <v>6175558555</v>
      </c>
      <c r="P1690" t="s">
        <v>198</v>
      </c>
      <c r="R1690" t="s">
        <v>199</v>
      </c>
      <c r="S1690" t="s">
        <v>200</v>
      </c>
      <c r="T1690">
        <v>51247</v>
      </c>
      <c r="U1690" t="s">
        <v>100</v>
      </c>
      <c r="V1690" t="s">
        <v>101</v>
      </c>
      <c r="W1690" t="s">
        <v>201</v>
      </c>
      <c r="X1690" t="s">
        <v>202</v>
      </c>
      <c r="Y1690" t="s">
        <v>104</v>
      </c>
    </row>
    <row r="1691" spans="1:25">
      <c r="A1691">
        <v>10299</v>
      </c>
      <c r="B1691">
        <v>33</v>
      </c>
      <c r="C1691">
        <v>66.489999999999995</v>
      </c>
      <c r="D1691">
        <v>6</v>
      </c>
      <c r="E1691">
        <v>2194.17</v>
      </c>
      <c r="F1691" t="s">
        <v>203</v>
      </c>
      <c r="G1691" t="s">
        <v>93</v>
      </c>
      <c r="H1691">
        <v>3</v>
      </c>
      <c r="I1691">
        <v>9</v>
      </c>
      <c r="J1691">
        <v>2004</v>
      </c>
      <c r="K1691" t="s">
        <v>94</v>
      </c>
      <c r="L1691">
        <v>69</v>
      </c>
      <c r="M1691" t="s">
        <v>817</v>
      </c>
      <c r="N1691" t="s">
        <v>204</v>
      </c>
      <c r="O1691" t="s">
        <v>205</v>
      </c>
      <c r="P1691" t="s">
        <v>206</v>
      </c>
      <c r="R1691" t="s">
        <v>207</v>
      </c>
      <c r="T1691">
        <v>21240</v>
      </c>
      <c r="U1691" t="s">
        <v>208</v>
      </c>
      <c r="V1691" t="s">
        <v>110</v>
      </c>
      <c r="W1691" t="s">
        <v>209</v>
      </c>
      <c r="X1691" t="s">
        <v>210</v>
      </c>
      <c r="Y1691" t="s">
        <v>104</v>
      </c>
    </row>
    <row r="1692" spans="1:25">
      <c r="A1692">
        <v>10309</v>
      </c>
      <c r="B1692">
        <v>24</v>
      </c>
      <c r="C1692">
        <v>56.1</v>
      </c>
      <c r="D1692">
        <v>2</v>
      </c>
      <c r="E1692">
        <v>1346.4</v>
      </c>
      <c r="F1692" t="s">
        <v>211</v>
      </c>
      <c r="G1692" t="s">
        <v>93</v>
      </c>
      <c r="H1692">
        <v>4</v>
      </c>
      <c r="I1692">
        <v>10</v>
      </c>
      <c r="J1692">
        <v>2004</v>
      </c>
      <c r="K1692" t="s">
        <v>94</v>
      </c>
      <c r="L1692">
        <v>69</v>
      </c>
      <c r="M1692" t="s">
        <v>817</v>
      </c>
      <c r="N1692" t="s">
        <v>212</v>
      </c>
      <c r="O1692" t="s">
        <v>213</v>
      </c>
      <c r="P1692" t="s">
        <v>214</v>
      </c>
      <c r="R1692" t="s">
        <v>215</v>
      </c>
      <c r="T1692">
        <v>4110</v>
      </c>
      <c r="U1692" t="s">
        <v>149</v>
      </c>
      <c r="V1692" t="s">
        <v>110</v>
      </c>
      <c r="W1692" t="s">
        <v>216</v>
      </c>
      <c r="X1692" t="s">
        <v>217</v>
      </c>
      <c r="Y1692" t="s">
        <v>104</v>
      </c>
    </row>
    <row r="1693" spans="1:25">
      <c r="A1693">
        <v>10319</v>
      </c>
      <c r="B1693">
        <v>31</v>
      </c>
      <c r="C1693">
        <v>81.73</v>
      </c>
      <c r="D1693">
        <v>7</v>
      </c>
      <c r="E1693">
        <v>2533.63</v>
      </c>
      <c r="F1693" s="4">
        <v>38057</v>
      </c>
      <c r="G1693" t="s">
        <v>93</v>
      </c>
      <c r="H1693">
        <v>4</v>
      </c>
      <c r="I1693">
        <v>11</v>
      </c>
      <c r="J1693">
        <v>2004</v>
      </c>
      <c r="K1693" t="s">
        <v>94</v>
      </c>
      <c r="L1693">
        <v>69</v>
      </c>
      <c r="M1693" t="s">
        <v>817</v>
      </c>
      <c r="N1693" t="s">
        <v>643</v>
      </c>
      <c r="O1693">
        <v>2125551957</v>
      </c>
      <c r="P1693" t="s">
        <v>644</v>
      </c>
      <c r="Q1693" t="s">
        <v>645</v>
      </c>
      <c r="R1693" t="s">
        <v>98</v>
      </c>
      <c r="S1693" t="s">
        <v>99</v>
      </c>
      <c r="T1693">
        <v>10022</v>
      </c>
      <c r="U1693" t="s">
        <v>100</v>
      </c>
      <c r="V1693" t="s">
        <v>101</v>
      </c>
      <c r="W1693" t="s">
        <v>646</v>
      </c>
      <c r="X1693" t="s">
        <v>647</v>
      </c>
      <c r="Y1693" t="s">
        <v>104</v>
      </c>
    </row>
    <row r="1694" spans="1:25">
      <c r="A1694">
        <v>10330</v>
      </c>
      <c r="B1694">
        <v>42</v>
      </c>
      <c r="C1694">
        <v>81.03</v>
      </c>
      <c r="D1694">
        <v>1</v>
      </c>
      <c r="E1694">
        <v>3403.26</v>
      </c>
      <c r="F1694" t="s">
        <v>791</v>
      </c>
      <c r="G1694" t="s">
        <v>93</v>
      </c>
      <c r="H1694">
        <v>4</v>
      </c>
      <c r="I1694">
        <v>11</v>
      </c>
      <c r="J1694">
        <v>2004</v>
      </c>
      <c r="K1694" t="s">
        <v>94</v>
      </c>
      <c r="L1694">
        <v>69</v>
      </c>
      <c r="M1694" t="s">
        <v>817</v>
      </c>
      <c r="N1694" t="s">
        <v>547</v>
      </c>
      <c r="O1694" t="s">
        <v>548</v>
      </c>
      <c r="P1694" t="s">
        <v>549</v>
      </c>
      <c r="R1694" t="s">
        <v>550</v>
      </c>
      <c r="T1694" t="s">
        <v>551</v>
      </c>
      <c r="U1694" t="s">
        <v>552</v>
      </c>
      <c r="V1694" t="s">
        <v>288</v>
      </c>
      <c r="W1694" t="s">
        <v>553</v>
      </c>
      <c r="X1694" t="s">
        <v>554</v>
      </c>
      <c r="Y1694" t="s">
        <v>119</v>
      </c>
    </row>
    <row r="1695" spans="1:25">
      <c r="A1695">
        <v>10341</v>
      </c>
      <c r="B1695">
        <v>32</v>
      </c>
      <c r="C1695">
        <v>100</v>
      </c>
      <c r="D1695">
        <v>6</v>
      </c>
      <c r="E1695">
        <v>3307.2</v>
      </c>
      <c r="F1695" t="s">
        <v>224</v>
      </c>
      <c r="G1695" t="s">
        <v>93</v>
      </c>
      <c r="H1695">
        <v>4</v>
      </c>
      <c r="I1695">
        <v>11</v>
      </c>
      <c r="J1695">
        <v>2004</v>
      </c>
      <c r="K1695" t="s">
        <v>94</v>
      </c>
      <c r="L1695">
        <v>69</v>
      </c>
      <c r="M1695" t="s">
        <v>817</v>
      </c>
      <c r="N1695" t="s">
        <v>225</v>
      </c>
      <c r="O1695" t="s">
        <v>226</v>
      </c>
      <c r="P1695" t="s">
        <v>227</v>
      </c>
      <c r="R1695" t="s">
        <v>228</v>
      </c>
      <c r="T1695">
        <v>5020</v>
      </c>
      <c r="U1695" t="s">
        <v>229</v>
      </c>
      <c r="V1695" t="s">
        <v>110</v>
      </c>
      <c r="W1695" t="s">
        <v>230</v>
      </c>
      <c r="X1695" t="s">
        <v>231</v>
      </c>
      <c r="Y1695" t="s">
        <v>119</v>
      </c>
    </row>
    <row r="1696" spans="1:25">
      <c r="A1696">
        <v>10355</v>
      </c>
      <c r="B1696">
        <v>41</v>
      </c>
      <c r="C1696">
        <v>70.650000000000006</v>
      </c>
      <c r="D1696">
        <v>3</v>
      </c>
      <c r="E1696">
        <v>2896.65</v>
      </c>
      <c r="F1696" s="4">
        <v>38180</v>
      </c>
      <c r="G1696" t="s">
        <v>93</v>
      </c>
      <c r="H1696">
        <v>4</v>
      </c>
      <c r="I1696">
        <v>12</v>
      </c>
      <c r="J1696">
        <v>2004</v>
      </c>
      <c r="K1696" t="s">
        <v>94</v>
      </c>
      <c r="L1696">
        <v>69</v>
      </c>
      <c r="M1696" t="s">
        <v>817</v>
      </c>
      <c r="N1696" t="s">
        <v>257</v>
      </c>
      <c r="O1696" t="s">
        <v>258</v>
      </c>
      <c r="P1696" t="s">
        <v>259</v>
      </c>
      <c r="R1696" t="s">
        <v>260</v>
      </c>
      <c r="T1696">
        <v>28034</v>
      </c>
      <c r="U1696" t="s">
        <v>261</v>
      </c>
      <c r="V1696" t="s">
        <v>110</v>
      </c>
      <c r="W1696" t="s">
        <v>262</v>
      </c>
      <c r="X1696" t="s">
        <v>263</v>
      </c>
      <c r="Y1696" t="s">
        <v>104</v>
      </c>
    </row>
    <row r="1697" spans="1:25">
      <c r="A1697">
        <v>10363</v>
      </c>
      <c r="B1697">
        <v>43</v>
      </c>
      <c r="C1697">
        <v>61.23</v>
      </c>
      <c r="D1697">
        <v>14</v>
      </c>
      <c r="E1697">
        <v>2632.89</v>
      </c>
      <c r="F1697" s="4">
        <v>38504</v>
      </c>
      <c r="G1697" t="s">
        <v>93</v>
      </c>
      <c r="H1697">
        <v>1</v>
      </c>
      <c r="I1697">
        <v>1</v>
      </c>
      <c r="J1697">
        <v>2005</v>
      </c>
      <c r="K1697" t="s">
        <v>94</v>
      </c>
      <c r="L1697">
        <v>69</v>
      </c>
      <c r="M1697" t="s">
        <v>817</v>
      </c>
      <c r="N1697" t="s">
        <v>593</v>
      </c>
      <c r="O1697" t="s">
        <v>594</v>
      </c>
      <c r="P1697" t="s">
        <v>595</v>
      </c>
      <c r="R1697" t="s">
        <v>596</v>
      </c>
      <c r="T1697" t="s">
        <v>597</v>
      </c>
      <c r="U1697" t="s">
        <v>208</v>
      </c>
      <c r="V1697" t="s">
        <v>110</v>
      </c>
      <c r="W1697" t="s">
        <v>598</v>
      </c>
      <c r="X1697" t="s">
        <v>599</v>
      </c>
      <c r="Y1697" t="s">
        <v>104</v>
      </c>
    </row>
    <row r="1698" spans="1:25">
      <c r="A1698">
        <v>10375</v>
      </c>
      <c r="B1698">
        <v>20</v>
      </c>
      <c r="C1698">
        <v>100</v>
      </c>
      <c r="D1698">
        <v>14</v>
      </c>
      <c r="E1698">
        <v>2046</v>
      </c>
      <c r="F1698" s="4">
        <v>38413</v>
      </c>
      <c r="G1698" t="s">
        <v>93</v>
      </c>
      <c r="H1698">
        <v>1</v>
      </c>
      <c r="I1698">
        <v>2</v>
      </c>
      <c r="J1698">
        <v>2005</v>
      </c>
      <c r="K1698" t="s">
        <v>94</v>
      </c>
      <c r="L1698">
        <v>69</v>
      </c>
      <c r="M1698" t="s">
        <v>817</v>
      </c>
      <c r="N1698" t="s">
        <v>190</v>
      </c>
      <c r="O1698" t="s">
        <v>191</v>
      </c>
      <c r="P1698" t="s">
        <v>192</v>
      </c>
      <c r="R1698" t="s">
        <v>193</v>
      </c>
      <c r="T1698">
        <v>44000</v>
      </c>
      <c r="U1698" t="s">
        <v>109</v>
      </c>
      <c r="V1698" t="s">
        <v>110</v>
      </c>
      <c r="W1698" t="s">
        <v>194</v>
      </c>
      <c r="X1698" t="s">
        <v>195</v>
      </c>
      <c r="Y1698" t="s">
        <v>104</v>
      </c>
    </row>
    <row r="1699" spans="1:25">
      <c r="A1699">
        <v>10390</v>
      </c>
      <c r="B1699">
        <v>35</v>
      </c>
      <c r="C1699">
        <v>65.13</v>
      </c>
      <c r="D1699">
        <v>4</v>
      </c>
      <c r="E1699">
        <v>2279.5500000000002</v>
      </c>
      <c r="F1699" s="4">
        <v>38445</v>
      </c>
      <c r="G1699" t="s">
        <v>93</v>
      </c>
      <c r="H1699">
        <v>1</v>
      </c>
      <c r="I1699">
        <v>3</v>
      </c>
      <c r="J1699">
        <v>2005</v>
      </c>
      <c r="K1699" t="s">
        <v>94</v>
      </c>
      <c r="L1699">
        <v>69</v>
      </c>
      <c r="M1699" t="s">
        <v>817</v>
      </c>
      <c r="N1699" t="s">
        <v>367</v>
      </c>
      <c r="O1699">
        <v>4155551450</v>
      </c>
      <c r="P1699" t="s">
        <v>368</v>
      </c>
      <c r="R1699" t="s">
        <v>369</v>
      </c>
      <c r="S1699" t="s">
        <v>124</v>
      </c>
      <c r="T1699">
        <v>97562</v>
      </c>
      <c r="U1699" t="s">
        <v>100</v>
      </c>
      <c r="V1699" t="s">
        <v>101</v>
      </c>
      <c r="W1699" t="s">
        <v>370</v>
      </c>
      <c r="X1699" t="s">
        <v>371</v>
      </c>
      <c r="Y1699" t="s">
        <v>104</v>
      </c>
    </row>
    <row r="1700" spans="1:25">
      <c r="A1700">
        <v>10403</v>
      </c>
      <c r="B1700">
        <v>27</v>
      </c>
      <c r="C1700">
        <v>79.650000000000006</v>
      </c>
      <c r="D1700">
        <v>4</v>
      </c>
      <c r="E1700">
        <v>2150.5500000000002</v>
      </c>
      <c r="F1700" s="4">
        <v>38568</v>
      </c>
      <c r="G1700" t="s">
        <v>93</v>
      </c>
      <c r="H1700">
        <v>2</v>
      </c>
      <c r="I1700">
        <v>4</v>
      </c>
      <c r="J1700">
        <v>2005</v>
      </c>
      <c r="K1700" t="s">
        <v>94</v>
      </c>
      <c r="L1700">
        <v>69</v>
      </c>
      <c r="M1700" t="s">
        <v>817</v>
      </c>
      <c r="N1700" t="s">
        <v>247</v>
      </c>
      <c r="O1700" t="s">
        <v>248</v>
      </c>
      <c r="P1700" t="s">
        <v>249</v>
      </c>
      <c r="R1700" t="s">
        <v>250</v>
      </c>
      <c r="T1700" t="s">
        <v>251</v>
      </c>
      <c r="U1700" t="s">
        <v>252</v>
      </c>
      <c r="V1700" t="s">
        <v>110</v>
      </c>
      <c r="W1700" t="s">
        <v>253</v>
      </c>
      <c r="X1700" t="s">
        <v>254</v>
      </c>
      <c r="Y1700" t="s">
        <v>104</v>
      </c>
    </row>
    <row r="1701" spans="1:25">
      <c r="A1701">
        <v>10110</v>
      </c>
      <c r="B1701">
        <v>43</v>
      </c>
      <c r="C1701">
        <v>78.150000000000006</v>
      </c>
      <c r="D1701">
        <v>11</v>
      </c>
      <c r="E1701">
        <v>3360.45</v>
      </c>
      <c r="F1701" t="s">
        <v>720</v>
      </c>
      <c r="G1701" t="s">
        <v>93</v>
      </c>
      <c r="H1701">
        <v>1</v>
      </c>
      <c r="I1701">
        <v>3</v>
      </c>
      <c r="J1701">
        <v>2003</v>
      </c>
      <c r="K1701" t="s">
        <v>265</v>
      </c>
      <c r="L1701">
        <v>90</v>
      </c>
      <c r="M1701" t="s">
        <v>819</v>
      </c>
      <c r="N1701" t="s">
        <v>624</v>
      </c>
      <c r="O1701" t="s">
        <v>625</v>
      </c>
      <c r="P1701" t="s">
        <v>626</v>
      </c>
      <c r="R1701" t="s">
        <v>627</v>
      </c>
      <c r="T1701" t="s">
        <v>628</v>
      </c>
      <c r="U1701" t="s">
        <v>252</v>
      </c>
      <c r="V1701" t="s">
        <v>110</v>
      </c>
      <c r="W1701" t="s">
        <v>629</v>
      </c>
      <c r="X1701" t="s">
        <v>167</v>
      </c>
      <c r="Y1701" t="s">
        <v>119</v>
      </c>
    </row>
    <row r="1702" spans="1:25">
      <c r="A1702">
        <v>10124</v>
      </c>
      <c r="B1702">
        <v>32</v>
      </c>
      <c r="C1702">
        <v>72.7</v>
      </c>
      <c r="D1702">
        <v>10</v>
      </c>
      <c r="E1702">
        <v>2326.4</v>
      </c>
      <c r="F1702" t="s">
        <v>700</v>
      </c>
      <c r="G1702" t="s">
        <v>93</v>
      </c>
      <c r="H1702">
        <v>2</v>
      </c>
      <c r="I1702">
        <v>5</v>
      </c>
      <c r="J1702">
        <v>2003</v>
      </c>
      <c r="K1702" t="s">
        <v>265</v>
      </c>
      <c r="L1702">
        <v>90</v>
      </c>
      <c r="M1702" t="s">
        <v>819</v>
      </c>
      <c r="N1702" t="s">
        <v>684</v>
      </c>
      <c r="O1702">
        <v>7025551838</v>
      </c>
      <c r="P1702" t="s">
        <v>685</v>
      </c>
      <c r="R1702" t="s">
        <v>686</v>
      </c>
      <c r="S1702" t="s">
        <v>687</v>
      </c>
      <c r="T1702">
        <v>83030</v>
      </c>
      <c r="U1702" t="s">
        <v>100</v>
      </c>
      <c r="V1702" t="s">
        <v>101</v>
      </c>
      <c r="W1702" t="s">
        <v>188</v>
      </c>
      <c r="X1702" t="s">
        <v>517</v>
      </c>
      <c r="Y1702" t="s">
        <v>104</v>
      </c>
    </row>
    <row r="1703" spans="1:25">
      <c r="A1703">
        <v>10148</v>
      </c>
      <c r="B1703">
        <v>21</v>
      </c>
      <c r="C1703">
        <v>73.599999999999994</v>
      </c>
      <c r="D1703">
        <v>4</v>
      </c>
      <c r="E1703">
        <v>1545.6</v>
      </c>
      <c r="F1703" s="4">
        <v>37934</v>
      </c>
      <c r="G1703" t="s">
        <v>93</v>
      </c>
      <c r="H1703">
        <v>3</v>
      </c>
      <c r="I1703">
        <v>9</v>
      </c>
      <c r="J1703">
        <v>2003</v>
      </c>
      <c r="K1703" t="s">
        <v>265</v>
      </c>
      <c r="L1703">
        <v>90</v>
      </c>
      <c r="M1703" t="s">
        <v>819</v>
      </c>
      <c r="N1703" t="s">
        <v>384</v>
      </c>
      <c r="O1703" t="s">
        <v>385</v>
      </c>
      <c r="P1703" t="s">
        <v>386</v>
      </c>
      <c r="Q1703" t="s">
        <v>387</v>
      </c>
      <c r="R1703" t="s">
        <v>388</v>
      </c>
      <c r="S1703" t="s">
        <v>239</v>
      </c>
      <c r="T1703">
        <v>2060</v>
      </c>
      <c r="U1703" t="s">
        <v>168</v>
      </c>
      <c r="V1703" t="s">
        <v>169</v>
      </c>
      <c r="W1703" t="s">
        <v>389</v>
      </c>
      <c r="X1703" t="s">
        <v>390</v>
      </c>
      <c r="Y1703" t="s">
        <v>104</v>
      </c>
    </row>
    <row r="1704" spans="1:25">
      <c r="A1704">
        <v>10161</v>
      </c>
      <c r="B1704">
        <v>20</v>
      </c>
      <c r="C1704">
        <v>100</v>
      </c>
      <c r="D1704">
        <v>3</v>
      </c>
      <c r="E1704">
        <v>2144.6</v>
      </c>
      <c r="F1704" t="s">
        <v>682</v>
      </c>
      <c r="G1704" t="s">
        <v>93</v>
      </c>
      <c r="H1704">
        <v>4</v>
      </c>
      <c r="I1704">
        <v>10</v>
      </c>
      <c r="J1704">
        <v>2003</v>
      </c>
      <c r="K1704" t="s">
        <v>265</v>
      </c>
      <c r="L1704">
        <v>90</v>
      </c>
      <c r="M1704" t="s">
        <v>819</v>
      </c>
      <c r="N1704" t="s">
        <v>630</v>
      </c>
      <c r="O1704" t="s">
        <v>631</v>
      </c>
      <c r="P1704" t="s">
        <v>632</v>
      </c>
      <c r="R1704" t="s">
        <v>633</v>
      </c>
      <c r="T1704">
        <v>8200</v>
      </c>
      <c r="U1704" t="s">
        <v>429</v>
      </c>
      <c r="V1704" t="s">
        <v>110</v>
      </c>
      <c r="W1704" t="s">
        <v>634</v>
      </c>
      <c r="X1704" t="s">
        <v>635</v>
      </c>
      <c r="Y1704" t="s">
        <v>104</v>
      </c>
    </row>
    <row r="1705" spans="1:25">
      <c r="A1705">
        <v>10172</v>
      </c>
      <c r="B1705">
        <v>22</v>
      </c>
      <c r="C1705">
        <v>74.510000000000005</v>
      </c>
      <c r="D1705">
        <v>1</v>
      </c>
      <c r="E1705">
        <v>1639.22</v>
      </c>
      <c r="F1705" s="4">
        <v>37752</v>
      </c>
      <c r="G1705" t="s">
        <v>93</v>
      </c>
      <c r="H1705">
        <v>4</v>
      </c>
      <c r="I1705">
        <v>11</v>
      </c>
      <c r="J1705">
        <v>2003</v>
      </c>
      <c r="K1705" t="s">
        <v>265</v>
      </c>
      <c r="L1705">
        <v>90</v>
      </c>
      <c r="M1705" t="s">
        <v>819</v>
      </c>
      <c r="N1705" t="s">
        <v>184</v>
      </c>
      <c r="O1705">
        <v>2035552570</v>
      </c>
      <c r="P1705" t="s">
        <v>185</v>
      </c>
      <c r="R1705" t="s">
        <v>186</v>
      </c>
      <c r="S1705" t="s">
        <v>187</v>
      </c>
      <c r="T1705">
        <v>97562</v>
      </c>
      <c r="U1705" t="s">
        <v>100</v>
      </c>
      <c r="V1705" t="s">
        <v>101</v>
      </c>
      <c r="W1705" t="s">
        <v>188</v>
      </c>
      <c r="X1705" t="s">
        <v>126</v>
      </c>
      <c r="Y1705" t="s">
        <v>104</v>
      </c>
    </row>
    <row r="1706" spans="1:25">
      <c r="A1706">
        <v>10182</v>
      </c>
      <c r="B1706">
        <v>36</v>
      </c>
      <c r="C1706">
        <v>73.599999999999994</v>
      </c>
      <c r="D1706">
        <v>14</v>
      </c>
      <c r="E1706">
        <v>2649.6</v>
      </c>
      <c r="F1706" s="4">
        <v>37966</v>
      </c>
      <c r="G1706" t="s">
        <v>93</v>
      </c>
      <c r="H1706">
        <v>4</v>
      </c>
      <c r="I1706">
        <v>11</v>
      </c>
      <c r="J1706">
        <v>2003</v>
      </c>
      <c r="K1706" t="s">
        <v>265</v>
      </c>
      <c r="L1706">
        <v>90</v>
      </c>
      <c r="M1706" t="s">
        <v>819</v>
      </c>
      <c r="N1706" t="s">
        <v>367</v>
      </c>
      <c r="O1706">
        <v>4155551450</v>
      </c>
      <c r="P1706" t="s">
        <v>368</v>
      </c>
      <c r="R1706" t="s">
        <v>369</v>
      </c>
      <c r="S1706" t="s">
        <v>124</v>
      </c>
      <c r="T1706">
        <v>97562</v>
      </c>
      <c r="U1706" t="s">
        <v>100</v>
      </c>
      <c r="V1706" t="s">
        <v>101</v>
      </c>
      <c r="W1706" t="s">
        <v>370</v>
      </c>
      <c r="X1706" t="s">
        <v>371</v>
      </c>
      <c r="Y1706" t="s">
        <v>104</v>
      </c>
    </row>
    <row r="1707" spans="1:25">
      <c r="A1707">
        <v>10192</v>
      </c>
      <c r="B1707">
        <v>46</v>
      </c>
      <c r="C1707">
        <v>83.6</v>
      </c>
      <c r="D1707">
        <v>2</v>
      </c>
      <c r="E1707">
        <v>3845.6</v>
      </c>
      <c r="F1707" t="s">
        <v>561</v>
      </c>
      <c r="G1707" t="s">
        <v>93</v>
      </c>
      <c r="H1707">
        <v>4</v>
      </c>
      <c r="I1707">
        <v>11</v>
      </c>
      <c r="J1707">
        <v>2003</v>
      </c>
      <c r="K1707" t="s">
        <v>265</v>
      </c>
      <c r="L1707">
        <v>90</v>
      </c>
      <c r="M1707" t="s">
        <v>819</v>
      </c>
      <c r="N1707" t="s">
        <v>372</v>
      </c>
      <c r="O1707">
        <v>6035558647</v>
      </c>
      <c r="P1707" t="s">
        <v>373</v>
      </c>
      <c r="R1707" t="s">
        <v>374</v>
      </c>
      <c r="S1707" t="s">
        <v>375</v>
      </c>
      <c r="T1707">
        <v>62005</v>
      </c>
      <c r="U1707" t="s">
        <v>100</v>
      </c>
      <c r="V1707" t="s">
        <v>101</v>
      </c>
      <c r="W1707" t="s">
        <v>125</v>
      </c>
      <c r="X1707" t="s">
        <v>371</v>
      </c>
      <c r="Y1707" t="s">
        <v>119</v>
      </c>
    </row>
    <row r="1708" spans="1:25">
      <c r="A1708">
        <v>10204</v>
      </c>
      <c r="B1708">
        <v>47</v>
      </c>
      <c r="C1708">
        <v>96.32</v>
      </c>
      <c r="D1708">
        <v>8</v>
      </c>
      <c r="E1708">
        <v>4527.04</v>
      </c>
      <c r="F1708" s="4">
        <v>37664</v>
      </c>
      <c r="G1708" t="s">
        <v>93</v>
      </c>
      <c r="H1708">
        <v>4</v>
      </c>
      <c r="I1708">
        <v>12</v>
      </c>
      <c r="J1708">
        <v>2003</v>
      </c>
      <c r="K1708" t="s">
        <v>265</v>
      </c>
      <c r="L1708">
        <v>90</v>
      </c>
      <c r="M1708" t="s">
        <v>819</v>
      </c>
      <c r="N1708" t="s">
        <v>603</v>
      </c>
      <c r="O1708">
        <v>2125557413</v>
      </c>
      <c r="P1708" t="s">
        <v>604</v>
      </c>
      <c r="Q1708" t="s">
        <v>605</v>
      </c>
      <c r="R1708" t="s">
        <v>98</v>
      </c>
      <c r="S1708" t="s">
        <v>99</v>
      </c>
      <c r="T1708">
        <v>10022</v>
      </c>
      <c r="U1708" t="s">
        <v>100</v>
      </c>
      <c r="V1708" t="s">
        <v>101</v>
      </c>
      <c r="W1708" t="s">
        <v>125</v>
      </c>
      <c r="X1708" t="s">
        <v>606</v>
      </c>
      <c r="Y1708" t="s">
        <v>119</v>
      </c>
    </row>
    <row r="1709" spans="1:25">
      <c r="A1709">
        <v>10212</v>
      </c>
      <c r="B1709">
        <v>45</v>
      </c>
      <c r="C1709">
        <v>88.14</v>
      </c>
      <c r="D1709">
        <v>1</v>
      </c>
      <c r="E1709">
        <v>3966.3</v>
      </c>
      <c r="F1709" t="s">
        <v>653</v>
      </c>
      <c r="G1709" t="s">
        <v>93</v>
      </c>
      <c r="H1709">
        <v>1</v>
      </c>
      <c r="I1709">
        <v>1</v>
      </c>
      <c r="J1709">
        <v>2004</v>
      </c>
      <c r="K1709" t="s">
        <v>265</v>
      </c>
      <c r="L1709">
        <v>90</v>
      </c>
      <c r="M1709" t="s">
        <v>819</v>
      </c>
      <c r="N1709" t="s">
        <v>257</v>
      </c>
      <c r="O1709" t="s">
        <v>258</v>
      </c>
      <c r="P1709" t="s">
        <v>259</v>
      </c>
      <c r="R1709" t="s">
        <v>260</v>
      </c>
      <c r="T1709">
        <v>28034</v>
      </c>
      <c r="U1709" t="s">
        <v>261</v>
      </c>
      <c r="V1709" t="s">
        <v>110</v>
      </c>
      <c r="W1709" t="s">
        <v>262</v>
      </c>
      <c r="X1709" t="s">
        <v>263</v>
      </c>
      <c r="Y1709" t="s">
        <v>119</v>
      </c>
    </row>
    <row r="1710" spans="1:25">
      <c r="A1710">
        <v>10227</v>
      </c>
      <c r="B1710">
        <v>47</v>
      </c>
      <c r="C1710">
        <v>88.14</v>
      </c>
      <c r="D1710">
        <v>14</v>
      </c>
      <c r="E1710">
        <v>4142.58</v>
      </c>
      <c r="F1710" s="4">
        <v>38020</v>
      </c>
      <c r="G1710" t="s">
        <v>93</v>
      </c>
      <c r="H1710">
        <v>1</v>
      </c>
      <c r="I1710">
        <v>3</v>
      </c>
      <c r="J1710">
        <v>2004</v>
      </c>
      <c r="K1710" t="s">
        <v>265</v>
      </c>
      <c r="L1710">
        <v>90</v>
      </c>
      <c r="M1710" t="s">
        <v>819</v>
      </c>
      <c r="N1710" t="s">
        <v>310</v>
      </c>
      <c r="O1710" t="s">
        <v>311</v>
      </c>
      <c r="P1710" t="s">
        <v>312</v>
      </c>
      <c r="R1710" t="s">
        <v>313</v>
      </c>
      <c r="T1710">
        <v>69004</v>
      </c>
      <c r="U1710" t="s">
        <v>109</v>
      </c>
      <c r="V1710" t="s">
        <v>110</v>
      </c>
      <c r="W1710" t="s">
        <v>314</v>
      </c>
      <c r="X1710" t="s">
        <v>315</v>
      </c>
      <c r="Y1710" t="s">
        <v>119</v>
      </c>
    </row>
    <row r="1711" spans="1:25">
      <c r="A1711">
        <v>10241</v>
      </c>
      <c r="B1711">
        <v>47</v>
      </c>
      <c r="C1711">
        <v>94.5</v>
      </c>
      <c r="D1711">
        <v>6</v>
      </c>
      <c r="E1711">
        <v>4441.5</v>
      </c>
      <c r="F1711" t="s">
        <v>683</v>
      </c>
      <c r="G1711" t="s">
        <v>93</v>
      </c>
      <c r="H1711">
        <v>2</v>
      </c>
      <c r="I1711">
        <v>4</v>
      </c>
      <c r="J1711">
        <v>2004</v>
      </c>
      <c r="K1711" t="s">
        <v>265</v>
      </c>
      <c r="L1711">
        <v>90</v>
      </c>
      <c r="M1711" t="s">
        <v>819</v>
      </c>
      <c r="N1711" t="s">
        <v>674</v>
      </c>
      <c r="O1711" t="s">
        <v>675</v>
      </c>
      <c r="P1711" t="s">
        <v>676</v>
      </c>
      <c r="R1711" t="s">
        <v>677</v>
      </c>
      <c r="T1711">
        <v>67000</v>
      </c>
      <c r="U1711" t="s">
        <v>109</v>
      </c>
      <c r="V1711" t="s">
        <v>110</v>
      </c>
      <c r="W1711" t="s">
        <v>678</v>
      </c>
      <c r="X1711" t="s">
        <v>679</v>
      </c>
      <c r="Y1711" t="s">
        <v>119</v>
      </c>
    </row>
    <row r="1712" spans="1:25">
      <c r="A1712">
        <v>10267</v>
      </c>
      <c r="B1712">
        <v>38</v>
      </c>
      <c r="C1712">
        <v>87.24</v>
      </c>
      <c r="D1712">
        <v>3</v>
      </c>
      <c r="E1712">
        <v>3315.12</v>
      </c>
      <c r="F1712" s="4">
        <v>38175</v>
      </c>
      <c r="G1712" t="s">
        <v>93</v>
      </c>
      <c r="H1712">
        <v>3</v>
      </c>
      <c r="I1712">
        <v>7</v>
      </c>
      <c r="J1712">
        <v>2004</v>
      </c>
      <c r="K1712" t="s">
        <v>265</v>
      </c>
      <c r="L1712">
        <v>90</v>
      </c>
      <c r="M1712" t="s">
        <v>819</v>
      </c>
      <c r="N1712" t="s">
        <v>603</v>
      </c>
      <c r="O1712">
        <v>2125557413</v>
      </c>
      <c r="P1712" t="s">
        <v>604</v>
      </c>
      <c r="Q1712" t="s">
        <v>605</v>
      </c>
      <c r="R1712" t="s">
        <v>98</v>
      </c>
      <c r="S1712" t="s">
        <v>99</v>
      </c>
      <c r="T1712">
        <v>10022</v>
      </c>
      <c r="U1712" t="s">
        <v>100</v>
      </c>
      <c r="V1712" t="s">
        <v>101</v>
      </c>
      <c r="W1712" t="s">
        <v>125</v>
      </c>
      <c r="X1712" t="s">
        <v>606</v>
      </c>
      <c r="Y1712" t="s">
        <v>119</v>
      </c>
    </row>
    <row r="1713" spans="1:25">
      <c r="A1713">
        <v>10279</v>
      </c>
      <c r="B1713">
        <v>49</v>
      </c>
      <c r="C1713">
        <v>79.97</v>
      </c>
      <c r="D1713">
        <v>3</v>
      </c>
      <c r="E1713">
        <v>3918.53</v>
      </c>
      <c r="F1713" s="4">
        <v>38238</v>
      </c>
      <c r="G1713" t="s">
        <v>93</v>
      </c>
      <c r="H1713">
        <v>3</v>
      </c>
      <c r="I1713">
        <v>8</v>
      </c>
      <c r="J1713">
        <v>2004</v>
      </c>
      <c r="K1713" t="s">
        <v>265</v>
      </c>
      <c r="L1713">
        <v>90</v>
      </c>
      <c r="M1713" t="s">
        <v>819</v>
      </c>
      <c r="N1713" t="s">
        <v>257</v>
      </c>
      <c r="O1713" t="s">
        <v>258</v>
      </c>
      <c r="P1713" t="s">
        <v>259</v>
      </c>
      <c r="R1713" t="s">
        <v>260</v>
      </c>
      <c r="T1713">
        <v>28034</v>
      </c>
      <c r="U1713" t="s">
        <v>261</v>
      </c>
      <c r="V1713" t="s">
        <v>110</v>
      </c>
      <c r="W1713" t="s">
        <v>262</v>
      </c>
      <c r="X1713" t="s">
        <v>263</v>
      </c>
      <c r="Y1713" t="s">
        <v>119</v>
      </c>
    </row>
    <row r="1714" spans="1:25">
      <c r="A1714">
        <v>10288</v>
      </c>
      <c r="B1714">
        <v>35</v>
      </c>
      <c r="C1714">
        <v>80.87</v>
      </c>
      <c r="D1714">
        <v>9</v>
      </c>
      <c r="E1714">
        <v>2830.45</v>
      </c>
      <c r="F1714" s="4">
        <v>37995</v>
      </c>
      <c r="G1714" t="s">
        <v>93</v>
      </c>
      <c r="H1714">
        <v>3</v>
      </c>
      <c r="I1714">
        <v>9</v>
      </c>
      <c r="J1714">
        <v>2004</v>
      </c>
      <c r="K1714" t="s">
        <v>265</v>
      </c>
      <c r="L1714">
        <v>90</v>
      </c>
      <c r="M1714" t="s">
        <v>819</v>
      </c>
      <c r="N1714" t="s">
        <v>536</v>
      </c>
      <c r="O1714" t="s">
        <v>537</v>
      </c>
      <c r="P1714" t="s">
        <v>538</v>
      </c>
      <c r="Q1714" t="s">
        <v>539</v>
      </c>
      <c r="R1714" t="s">
        <v>287</v>
      </c>
      <c r="T1714">
        <v>69045</v>
      </c>
      <c r="U1714" t="s">
        <v>287</v>
      </c>
      <c r="V1714" t="s">
        <v>169</v>
      </c>
      <c r="W1714" t="s">
        <v>540</v>
      </c>
      <c r="X1714" t="s">
        <v>541</v>
      </c>
      <c r="Y1714" t="s">
        <v>104</v>
      </c>
    </row>
    <row r="1715" spans="1:25">
      <c r="A1715">
        <v>10302</v>
      </c>
      <c r="B1715">
        <v>49</v>
      </c>
      <c r="C1715">
        <v>100</v>
      </c>
      <c r="D1715">
        <v>5</v>
      </c>
      <c r="E1715">
        <v>5298.86</v>
      </c>
      <c r="F1715" s="4">
        <v>37782</v>
      </c>
      <c r="G1715" t="s">
        <v>93</v>
      </c>
      <c r="H1715">
        <v>4</v>
      </c>
      <c r="I1715">
        <v>10</v>
      </c>
      <c r="J1715">
        <v>2003</v>
      </c>
      <c r="K1715" t="s">
        <v>265</v>
      </c>
      <c r="L1715">
        <v>90</v>
      </c>
      <c r="M1715" t="s">
        <v>819</v>
      </c>
      <c r="N1715" t="s">
        <v>247</v>
      </c>
      <c r="O1715" t="s">
        <v>248</v>
      </c>
      <c r="P1715" t="s">
        <v>249</v>
      </c>
      <c r="R1715" t="s">
        <v>250</v>
      </c>
      <c r="T1715" t="s">
        <v>251</v>
      </c>
      <c r="U1715" t="s">
        <v>252</v>
      </c>
      <c r="V1715" t="s">
        <v>110</v>
      </c>
      <c r="W1715" t="s">
        <v>253</v>
      </c>
      <c r="X1715" t="s">
        <v>254</v>
      </c>
      <c r="Y1715" t="s">
        <v>119</v>
      </c>
    </row>
    <row r="1716" spans="1:25">
      <c r="A1716">
        <v>10311</v>
      </c>
      <c r="B1716">
        <v>28</v>
      </c>
      <c r="C1716">
        <v>93.6</v>
      </c>
      <c r="D1716">
        <v>4</v>
      </c>
      <c r="E1716">
        <v>2620.8000000000002</v>
      </c>
      <c r="F1716" t="s">
        <v>592</v>
      </c>
      <c r="G1716" t="s">
        <v>93</v>
      </c>
      <c r="H1716">
        <v>4</v>
      </c>
      <c r="I1716">
        <v>10</v>
      </c>
      <c r="J1716">
        <v>2004</v>
      </c>
      <c r="K1716" t="s">
        <v>265</v>
      </c>
      <c r="L1716">
        <v>90</v>
      </c>
      <c r="M1716" t="s">
        <v>819</v>
      </c>
      <c r="N1716" t="s">
        <v>257</v>
      </c>
      <c r="O1716" t="s">
        <v>258</v>
      </c>
      <c r="P1716" t="s">
        <v>259</v>
      </c>
      <c r="R1716" t="s">
        <v>260</v>
      </c>
      <c r="T1716">
        <v>28034</v>
      </c>
      <c r="U1716" t="s">
        <v>261</v>
      </c>
      <c r="V1716" t="s">
        <v>110</v>
      </c>
      <c r="W1716" t="s">
        <v>262</v>
      </c>
      <c r="X1716" t="s">
        <v>263</v>
      </c>
      <c r="Y1716" t="s">
        <v>104</v>
      </c>
    </row>
    <row r="1717" spans="1:25">
      <c r="A1717">
        <v>10321</v>
      </c>
      <c r="B1717">
        <v>30</v>
      </c>
      <c r="C1717">
        <v>72.7</v>
      </c>
      <c r="D1717">
        <v>1</v>
      </c>
      <c r="E1717">
        <v>2181</v>
      </c>
      <c r="F1717" s="4">
        <v>38088</v>
      </c>
      <c r="G1717" t="s">
        <v>93</v>
      </c>
      <c r="H1717">
        <v>4</v>
      </c>
      <c r="I1717">
        <v>11</v>
      </c>
      <c r="J1717">
        <v>2004</v>
      </c>
      <c r="K1717" t="s">
        <v>265</v>
      </c>
      <c r="L1717">
        <v>90</v>
      </c>
      <c r="M1717" t="s">
        <v>819</v>
      </c>
      <c r="N1717" t="s">
        <v>242</v>
      </c>
      <c r="O1717">
        <v>5085552555</v>
      </c>
      <c r="P1717" t="s">
        <v>243</v>
      </c>
      <c r="R1717" t="s">
        <v>244</v>
      </c>
      <c r="S1717" t="s">
        <v>200</v>
      </c>
      <c r="T1717">
        <v>50553</v>
      </c>
      <c r="U1717" t="s">
        <v>100</v>
      </c>
      <c r="V1717" t="s">
        <v>101</v>
      </c>
      <c r="W1717" t="s">
        <v>245</v>
      </c>
      <c r="X1717" t="s">
        <v>246</v>
      </c>
      <c r="Y1717" t="s">
        <v>104</v>
      </c>
    </row>
    <row r="1718" spans="1:25">
      <c r="A1718">
        <v>10332</v>
      </c>
      <c r="B1718">
        <v>39</v>
      </c>
      <c r="C1718">
        <v>86.72</v>
      </c>
      <c r="D1718">
        <v>7</v>
      </c>
      <c r="E1718">
        <v>3382.08</v>
      </c>
      <c r="F1718" t="s">
        <v>695</v>
      </c>
      <c r="G1718" t="s">
        <v>93</v>
      </c>
      <c r="H1718">
        <v>4</v>
      </c>
      <c r="I1718">
        <v>11</v>
      </c>
      <c r="J1718">
        <v>2004</v>
      </c>
      <c r="K1718" t="s">
        <v>265</v>
      </c>
      <c r="L1718">
        <v>90</v>
      </c>
      <c r="M1718" t="s">
        <v>819</v>
      </c>
      <c r="N1718" t="s">
        <v>624</v>
      </c>
      <c r="O1718" t="s">
        <v>625</v>
      </c>
      <c r="P1718" t="s">
        <v>626</v>
      </c>
      <c r="R1718" t="s">
        <v>627</v>
      </c>
      <c r="T1718" t="s">
        <v>628</v>
      </c>
      <c r="U1718" t="s">
        <v>252</v>
      </c>
      <c r="V1718" t="s">
        <v>110</v>
      </c>
      <c r="W1718" t="s">
        <v>629</v>
      </c>
      <c r="X1718" t="s">
        <v>167</v>
      </c>
      <c r="Y1718" t="s">
        <v>119</v>
      </c>
    </row>
    <row r="1719" spans="1:25">
      <c r="A1719">
        <v>10346</v>
      </c>
      <c r="B1719">
        <v>25</v>
      </c>
      <c r="C1719">
        <v>100</v>
      </c>
      <c r="D1719">
        <v>1</v>
      </c>
      <c r="E1719">
        <v>2876.75</v>
      </c>
      <c r="F1719" t="s">
        <v>377</v>
      </c>
      <c r="G1719" t="s">
        <v>93</v>
      </c>
      <c r="H1719">
        <v>4</v>
      </c>
      <c r="I1719">
        <v>11</v>
      </c>
      <c r="J1719">
        <v>2004</v>
      </c>
      <c r="K1719" t="s">
        <v>265</v>
      </c>
      <c r="L1719">
        <v>90</v>
      </c>
      <c r="M1719" t="s">
        <v>819</v>
      </c>
      <c r="N1719" t="s">
        <v>684</v>
      </c>
      <c r="O1719">
        <v>7025551838</v>
      </c>
      <c r="P1719" t="s">
        <v>685</v>
      </c>
      <c r="R1719" t="s">
        <v>686</v>
      </c>
      <c r="S1719" t="s">
        <v>687</v>
      </c>
      <c r="T1719">
        <v>83030</v>
      </c>
      <c r="U1719" t="s">
        <v>100</v>
      </c>
      <c r="V1719" t="s">
        <v>101</v>
      </c>
      <c r="W1719" t="s">
        <v>188</v>
      </c>
      <c r="X1719" t="s">
        <v>517</v>
      </c>
      <c r="Y1719" t="s">
        <v>104</v>
      </c>
    </row>
    <row r="1720" spans="1:25">
      <c r="A1720">
        <v>10368</v>
      </c>
      <c r="B1720">
        <v>40</v>
      </c>
      <c r="C1720">
        <v>100</v>
      </c>
      <c r="D1720">
        <v>2</v>
      </c>
      <c r="E1720">
        <v>4107.2</v>
      </c>
      <c r="F1720" t="s">
        <v>820</v>
      </c>
      <c r="G1720" t="s">
        <v>93</v>
      </c>
      <c r="H1720">
        <v>1</v>
      </c>
      <c r="I1720">
        <v>1</v>
      </c>
      <c r="J1720">
        <v>2005</v>
      </c>
      <c r="K1720" t="s">
        <v>265</v>
      </c>
      <c r="L1720">
        <v>90</v>
      </c>
      <c r="M1720" t="s">
        <v>819</v>
      </c>
      <c r="N1720" t="s">
        <v>367</v>
      </c>
      <c r="O1720">
        <v>4155551450</v>
      </c>
      <c r="P1720" t="s">
        <v>368</v>
      </c>
      <c r="R1720" t="s">
        <v>369</v>
      </c>
      <c r="S1720" t="s">
        <v>124</v>
      </c>
      <c r="T1720">
        <v>97562</v>
      </c>
      <c r="U1720" t="s">
        <v>100</v>
      </c>
      <c r="V1720" t="s">
        <v>101</v>
      </c>
      <c r="W1720" t="s">
        <v>370</v>
      </c>
      <c r="X1720" t="s">
        <v>371</v>
      </c>
      <c r="Y1720" t="s">
        <v>119</v>
      </c>
    </row>
    <row r="1721" spans="1:25">
      <c r="A1721">
        <v>10380</v>
      </c>
      <c r="B1721">
        <v>36</v>
      </c>
      <c r="C1721">
        <v>37.5</v>
      </c>
      <c r="D1721">
        <v>6</v>
      </c>
      <c r="E1721">
        <v>1350</v>
      </c>
      <c r="F1721" t="s">
        <v>717</v>
      </c>
      <c r="G1721" t="s">
        <v>93</v>
      </c>
      <c r="H1721">
        <v>1</v>
      </c>
      <c r="I1721">
        <v>2</v>
      </c>
      <c r="J1721">
        <v>2005</v>
      </c>
      <c r="K1721" t="s">
        <v>265</v>
      </c>
      <c r="L1721">
        <v>90</v>
      </c>
      <c r="M1721" t="s">
        <v>819</v>
      </c>
      <c r="N1721" t="s">
        <v>257</v>
      </c>
      <c r="O1721" t="s">
        <v>258</v>
      </c>
      <c r="P1721" t="s">
        <v>259</v>
      </c>
      <c r="R1721" t="s">
        <v>260</v>
      </c>
      <c r="T1721">
        <v>28034</v>
      </c>
      <c r="U1721" t="s">
        <v>261</v>
      </c>
      <c r="V1721" t="s">
        <v>110</v>
      </c>
      <c r="W1721" t="s">
        <v>262</v>
      </c>
      <c r="X1721" t="s">
        <v>263</v>
      </c>
      <c r="Y1721" t="s">
        <v>104</v>
      </c>
    </row>
    <row r="1722" spans="1:25">
      <c r="A1722">
        <v>10407</v>
      </c>
      <c r="B1722">
        <v>76</v>
      </c>
      <c r="C1722">
        <v>94.5</v>
      </c>
      <c r="D1722">
        <v>6</v>
      </c>
      <c r="E1722">
        <v>7182</v>
      </c>
      <c r="F1722" t="s">
        <v>724</v>
      </c>
      <c r="G1722" t="s">
        <v>518</v>
      </c>
      <c r="H1722">
        <v>2</v>
      </c>
      <c r="I1722">
        <v>4</v>
      </c>
      <c r="J1722">
        <v>2005</v>
      </c>
      <c r="K1722" t="s">
        <v>265</v>
      </c>
      <c r="L1722">
        <v>90</v>
      </c>
      <c r="M1722" t="s">
        <v>819</v>
      </c>
      <c r="N1722" t="s">
        <v>514</v>
      </c>
      <c r="O1722">
        <v>4085553659</v>
      </c>
      <c r="P1722" t="s">
        <v>515</v>
      </c>
      <c r="R1722" t="s">
        <v>516</v>
      </c>
      <c r="S1722" t="s">
        <v>124</v>
      </c>
      <c r="T1722">
        <v>94217</v>
      </c>
      <c r="U1722" t="s">
        <v>100</v>
      </c>
      <c r="V1722" t="s">
        <v>101</v>
      </c>
      <c r="W1722" t="s">
        <v>175</v>
      </c>
      <c r="X1722" t="s">
        <v>517</v>
      </c>
      <c r="Y1722" t="s">
        <v>232</v>
      </c>
    </row>
    <row r="1723" spans="1:25">
      <c r="A1723">
        <v>10420</v>
      </c>
      <c r="B1723">
        <v>39</v>
      </c>
      <c r="C1723">
        <v>100</v>
      </c>
      <c r="D1723">
        <v>9</v>
      </c>
      <c r="E1723">
        <v>3933.93</v>
      </c>
      <c r="F1723" t="s">
        <v>754</v>
      </c>
      <c r="G1723" t="s">
        <v>400</v>
      </c>
      <c r="H1723">
        <v>2</v>
      </c>
      <c r="I1723">
        <v>5</v>
      </c>
      <c r="J1723">
        <v>2005</v>
      </c>
      <c r="K1723" t="s">
        <v>265</v>
      </c>
      <c r="L1723">
        <v>90</v>
      </c>
      <c r="M1723" t="s">
        <v>819</v>
      </c>
      <c r="N1723" t="s">
        <v>234</v>
      </c>
      <c r="O1723" t="s">
        <v>235</v>
      </c>
      <c r="P1723" t="s">
        <v>236</v>
      </c>
      <c r="Q1723" t="s">
        <v>237</v>
      </c>
      <c r="R1723" t="s">
        <v>238</v>
      </c>
      <c r="S1723" t="s">
        <v>239</v>
      </c>
      <c r="T1723">
        <v>2067</v>
      </c>
      <c r="U1723" t="s">
        <v>168</v>
      </c>
      <c r="V1723" t="s">
        <v>169</v>
      </c>
      <c r="W1723" t="s">
        <v>240</v>
      </c>
      <c r="X1723" t="s">
        <v>241</v>
      </c>
      <c r="Y1723" t="s">
        <v>119</v>
      </c>
    </row>
    <row r="1724" spans="1:25">
      <c r="A1724">
        <v>10104</v>
      </c>
      <c r="B1724">
        <v>44</v>
      </c>
      <c r="C1724">
        <v>39.6</v>
      </c>
      <c r="D1724">
        <v>10</v>
      </c>
      <c r="E1724">
        <v>1742.4</v>
      </c>
      <c r="F1724" t="s">
        <v>648</v>
      </c>
      <c r="G1724" t="s">
        <v>93</v>
      </c>
      <c r="H1724">
        <v>1</v>
      </c>
      <c r="I1724">
        <v>1</v>
      </c>
      <c r="J1724">
        <v>2003</v>
      </c>
      <c r="K1724" t="s">
        <v>265</v>
      </c>
      <c r="L1724">
        <v>35</v>
      </c>
      <c r="M1724" t="s">
        <v>821</v>
      </c>
      <c r="N1724" t="s">
        <v>257</v>
      </c>
      <c r="O1724" t="s">
        <v>258</v>
      </c>
      <c r="P1724" t="s">
        <v>259</v>
      </c>
      <c r="R1724" t="s">
        <v>260</v>
      </c>
      <c r="T1724">
        <v>28034</v>
      </c>
      <c r="U1724" t="s">
        <v>261</v>
      </c>
      <c r="V1724" t="s">
        <v>110</v>
      </c>
      <c r="W1724" t="s">
        <v>262</v>
      </c>
      <c r="X1724" t="s">
        <v>263</v>
      </c>
      <c r="Y1724" t="s">
        <v>104</v>
      </c>
    </row>
    <row r="1725" spans="1:25">
      <c r="A1725">
        <v>10114</v>
      </c>
      <c r="B1725">
        <v>24</v>
      </c>
      <c r="C1725">
        <v>30.06</v>
      </c>
      <c r="D1725">
        <v>1</v>
      </c>
      <c r="E1725">
        <v>721.44</v>
      </c>
      <c r="F1725" s="4">
        <v>37625</v>
      </c>
      <c r="G1725" t="s">
        <v>93</v>
      </c>
      <c r="H1725">
        <v>2</v>
      </c>
      <c r="I1725">
        <v>4</v>
      </c>
      <c r="J1725">
        <v>2003</v>
      </c>
      <c r="K1725" t="s">
        <v>265</v>
      </c>
      <c r="L1725">
        <v>35</v>
      </c>
      <c r="M1725" t="s">
        <v>821</v>
      </c>
      <c r="N1725" t="s">
        <v>520</v>
      </c>
      <c r="O1725" t="s">
        <v>521</v>
      </c>
      <c r="P1725" t="s">
        <v>522</v>
      </c>
      <c r="R1725" t="s">
        <v>116</v>
      </c>
      <c r="T1725">
        <v>75012</v>
      </c>
      <c r="U1725" t="s">
        <v>109</v>
      </c>
      <c r="V1725" t="s">
        <v>110</v>
      </c>
      <c r="W1725" t="s">
        <v>523</v>
      </c>
      <c r="X1725" t="s">
        <v>524</v>
      </c>
      <c r="Y1725" t="s">
        <v>104</v>
      </c>
    </row>
    <row r="1726" spans="1:25">
      <c r="A1726">
        <v>10127</v>
      </c>
      <c r="B1726">
        <v>39</v>
      </c>
      <c r="C1726">
        <v>38.19</v>
      </c>
      <c r="D1726">
        <v>12</v>
      </c>
      <c r="E1726">
        <v>1489.41</v>
      </c>
      <c r="F1726" s="4">
        <v>37686</v>
      </c>
      <c r="G1726" t="s">
        <v>93</v>
      </c>
      <c r="H1726">
        <v>2</v>
      </c>
      <c r="I1726">
        <v>6</v>
      </c>
      <c r="J1726">
        <v>2003</v>
      </c>
      <c r="K1726" t="s">
        <v>265</v>
      </c>
      <c r="L1726">
        <v>35</v>
      </c>
      <c r="M1726" t="s">
        <v>821</v>
      </c>
      <c r="N1726" t="s">
        <v>603</v>
      </c>
      <c r="O1726">
        <v>2125557413</v>
      </c>
      <c r="P1726" t="s">
        <v>604</v>
      </c>
      <c r="Q1726" t="s">
        <v>605</v>
      </c>
      <c r="R1726" t="s">
        <v>98</v>
      </c>
      <c r="S1726" t="s">
        <v>99</v>
      </c>
      <c r="T1726">
        <v>10022</v>
      </c>
      <c r="U1726" t="s">
        <v>100</v>
      </c>
      <c r="V1726" t="s">
        <v>101</v>
      </c>
      <c r="W1726" t="s">
        <v>125</v>
      </c>
      <c r="X1726" t="s">
        <v>606</v>
      </c>
      <c r="Y1726" t="s">
        <v>104</v>
      </c>
    </row>
    <row r="1727" spans="1:25">
      <c r="A1727">
        <v>10141</v>
      </c>
      <c r="B1727">
        <v>21</v>
      </c>
      <c r="C1727">
        <v>42.43</v>
      </c>
      <c r="D1727">
        <v>6</v>
      </c>
      <c r="E1727">
        <v>891.03</v>
      </c>
      <c r="F1727" s="4">
        <v>37629</v>
      </c>
      <c r="G1727" t="s">
        <v>93</v>
      </c>
      <c r="H1727">
        <v>3</v>
      </c>
      <c r="I1727">
        <v>8</v>
      </c>
      <c r="J1727">
        <v>2003</v>
      </c>
      <c r="K1727" t="s">
        <v>265</v>
      </c>
      <c r="L1727">
        <v>35</v>
      </c>
      <c r="M1727" t="s">
        <v>821</v>
      </c>
      <c r="N1727" t="s">
        <v>593</v>
      </c>
      <c r="O1727" t="s">
        <v>594</v>
      </c>
      <c r="P1727" t="s">
        <v>595</v>
      </c>
      <c r="R1727" t="s">
        <v>596</v>
      </c>
      <c r="T1727" t="s">
        <v>597</v>
      </c>
      <c r="U1727" t="s">
        <v>208</v>
      </c>
      <c r="V1727" t="s">
        <v>110</v>
      </c>
      <c r="W1727" t="s">
        <v>598</v>
      </c>
      <c r="X1727" t="s">
        <v>599</v>
      </c>
      <c r="Y1727" t="s">
        <v>104</v>
      </c>
    </row>
    <row r="1728" spans="1:25">
      <c r="A1728">
        <v>10151</v>
      </c>
      <c r="B1728">
        <v>30</v>
      </c>
      <c r="C1728">
        <v>40.31</v>
      </c>
      <c r="D1728">
        <v>4</v>
      </c>
      <c r="E1728">
        <v>1209.3</v>
      </c>
      <c r="F1728" t="s">
        <v>661</v>
      </c>
      <c r="G1728" t="s">
        <v>93</v>
      </c>
      <c r="H1728">
        <v>3</v>
      </c>
      <c r="I1728">
        <v>9</v>
      </c>
      <c r="J1728">
        <v>2003</v>
      </c>
      <c r="K1728" t="s">
        <v>265</v>
      </c>
      <c r="L1728">
        <v>35</v>
      </c>
      <c r="M1728" t="s">
        <v>821</v>
      </c>
      <c r="N1728" t="s">
        <v>506</v>
      </c>
      <c r="O1728" t="s">
        <v>507</v>
      </c>
      <c r="P1728" t="s">
        <v>508</v>
      </c>
      <c r="R1728" t="s">
        <v>509</v>
      </c>
      <c r="T1728">
        <v>90110</v>
      </c>
      <c r="U1728" t="s">
        <v>208</v>
      </c>
      <c r="V1728" t="s">
        <v>110</v>
      </c>
      <c r="W1728" t="s">
        <v>510</v>
      </c>
      <c r="X1728" t="s">
        <v>511</v>
      </c>
      <c r="Y1728" t="s">
        <v>104</v>
      </c>
    </row>
    <row r="1729" spans="1:25">
      <c r="A1729">
        <v>10165</v>
      </c>
      <c r="B1729">
        <v>27</v>
      </c>
      <c r="C1729">
        <v>31.82</v>
      </c>
      <c r="D1729">
        <v>13</v>
      </c>
      <c r="E1729">
        <v>859.14</v>
      </c>
      <c r="F1729" t="s">
        <v>608</v>
      </c>
      <c r="G1729" t="s">
        <v>93</v>
      </c>
      <c r="H1729">
        <v>4</v>
      </c>
      <c r="I1729">
        <v>10</v>
      </c>
      <c r="J1729">
        <v>2003</v>
      </c>
      <c r="K1729" t="s">
        <v>265</v>
      </c>
      <c r="L1729">
        <v>35</v>
      </c>
      <c r="M1729" t="s">
        <v>821</v>
      </c>
      <c r="N1729" t="s">
        <v>284</v>
      </c>
      <c r="O1729" t="s">
        <v>285</v>
      </c>
      <c r="P1729" t="s">
        <v>286</v>
      </c>
      <c r="R1729" t="s">
        <v>287</v>
      </c>
      <c r="T1729">
        <v>79903</v>
      </c>
      <c r="U1729" t="s">
        <v>287</v>
      </c>
      <c r="V1729" t="s">
        <v>288</v>
      </c>
      <c r="W1729" t="s">
        <v>289</v>
      </c>
      <c r="X1729" t="s">
        <v>290</v>
      </c>
      <c r="Y1729" t="s">
        <v>104</v>
      </c>
    </row>
    <row r="1730" spans="1:25">
      <c r="A1730">
        <v>10175</v>
      </c>
      <c r="B1730">
        <v>37</v>
      </c>
      <c r="C1730">
        <v>31.12</v>
      </c>
      <c r="D1730">
        <v>2</v>
      </c>
      <c r="E1730">
        <v>1151.44</v>
      </c>
      <c r="F1730" s="4">
        <v>37783</v>
      </c>
      <c r="G1730" t="s">
        <v>93</v>
      </c>
      <c r="H1730">
        <v>4</v>
      </c>
      <c r="I1730">
        <v>11</v>
      </c>
      <c r="J1730">
        <v>2003</v>
      </c>
      <c r="K1730" t="s">
        <v>265</v>
      </c>
      <c r="L1730">
        <v>35</v>
      </c>
      <c r="M1730" t="s">
        <v>821</v>
      </c>
      <c r="N1730" t="s">
        <v>433</v>
      </c>
      <c r="O1730" t="s">
        <v>434</v>
      </c>
      <c r="P1730" t="s">
        <v>435</v>
      </c>
      <c r="R1730" t="s">
        <v>436</v>
      </c>
      <c r="T1730" t="s">
        <v>437</v>
      </c>
      <c r="U1730" t="s">
        <v>252</v>
      </c>
      <c r="V1730" t="s">
        <v>110</v>
      </c>
      <c r="W1730" t="s">
        <v>130</v>
      </c>
      <c r="X1730" t="s">
        <v>438</v>
      </c>
      <c r="Y1730" t="s">
        <v>104</v>
      </c>
    </row>
    <row r="1731" spans="1:25">
      <c r="A1731">
        <v>10184</v>
      </c>
      <c r="B1731">
        <v>42</v>
      </c>
      <c r="C1731">
        <v>31.82</v>
      </c>
      <c r="D1731">
        <v>7</v>
      </c>
      <c r="E1731">
        <v>1336.44</v>
      </c>
      <c r="F1731" t="s">
        <v>451</v>
      </c>
      <c r="G1731" t="s">
        <v>93</v>
      </c>
      <c r="H1731">
        <v>4</v>
      </c>
      <c r="I1731">
        <v>11</v>
      </c>
      <c r="J1731">
        <v>2003</v>
      </c>
      <c r="K1731" t="s">
        <v>265</v>
      </c>
      <c r="L1731">
        <v>35</v>
      </c>
      <c r="M1731" t="s">
        <v>821</v>
      </c>
      <c r="N1731" t="s">
        <v>662</v>
      </c>
      <c r="O1731" t="s">
        <v>663</v>
      </c>
      <c r="P1731" t="s">
        <v>664</v>
      </c>
      <c r="R1731" t="s">
        <v>665</v>
      </c>
      <c r="T1731">
        <v>41101</v>
      </c>
      <c r="U1731" t="s">
        <v>261</v>
      </c>
      <c r="V1731" t="s">
        <v>110</v>
      </c>
      <c r="W1731" t="s">
        <v>666</v>
      </c>
      <c r="X1731" t="s">
        <v>667</v>
      </c>
      <c r="Y1731" t="s">
        <v>104</v>
      </c>
    </row>
    <row r="1732" spans="1:25">
      <c r="A1732">
        <v>10195</v>
      </c>
      <c r="B1732">
        <v>32</v>
      </c>
      <c r="C1732">
        <v>28.29</v>
      </c>
      <c r="D1732">
        <v>7</v>
      </c>
      <c r="E1732">
        <v>905.28</v>
      </c>
      <c r="F1732" t="s">
        <v>309</v>
      </c>
      <c r="G1732" t="s">
        <v>93</v>
      </c>
      <c r="H1732">
        <v>4</v>
      </c>
      <c r="I1732">
        <v>11</v>
      </c>
      <c r="J1732">
        <v>2003</v>
      </c>
      <c r="K1732" t="s">
        <v>265</v>
      </c>
      <c r="L1732">
        <v>35</v>
      </c>
      <c r="M1732" t="s">
        <v>821</v>
      </c>
      <c r="N1732" t="s">
        <v>419</v>
      </c>
      <c r="O1732">
        <v>9145554562</v>
      </c>
      <c r="P1732" t="s">
        <v>420</v>
      </c>
      <c r="R1732" t="s">
        <v>421</v>
      </c>
      <c r="S1732" t="s">
        <v>99</v>
      </c>
      <c r="T1732">
        <v>24067</v>
      </c>
      <c r="U1732" t="s">
        <v>100</v>
      </c>
      <c r="V1732" t="s">
        <v>101</v>
      </c>
      <c r="W1732" t="s">
        <v>175</v>
      </c>
      <c r="X1732" t="s">
        <v>329</v>
      </c>
      <c r="Y1732" t="s">
        <v>104</v>
      </c>
    </row>
    <row r="1733" spans="1:25">
      <c r="A1733">
        <v>10207</v>
      </c>
      <c r="B1733">
        <v>42</v>
      </c>
      <c r="C1733">
        <v>29.7</v>
      </c>
      <c r="D1733">
        <v>8</v>
      </c>
      <c r="E1733">
        <v>1247.4000000000001</v>
      </c>
      <c r="F1733" s="4">
        <v>37876</v>
      </c>
      <c r="G1733" t="s">
        <v>93</v>
      </c>
      <c r="H1733">
        <v>4</v>
      </c>
      <c r="I1733">
        <v>12</v>
      </c>
      <c r="J1733">
        <v>2003</v>
      </c>
      <c r="K1733" t="s">
        <v>265</v>
      </c>
      <c r="L1733">
        <v>35</v>
      </c>
      <c r="M1733" t="s">
        <v>821</v>
      </c>
      <c r="N1733" t="s">
        <v>533</v>
      </c>
      <c r="O1733">
        <v>6175552555</v>
      </c>
      <c r="P1733" t="s">
        <v>534</v>
      </c>
      <c r="R1733" t="s">
        <v>492</v>
      </c>
      <c r="S1733" t="s">
        <v>200</v>
      </c>
      <c r="T1733">
        <v>51003</v>
      </c>
      <c r="U1733" t="s">
        <v>100</v>
      </c>
      <c r="V1733" t="s">
        <v>101</v>
      </c>
      <c r="W1733" t="s">
        <v>535</v>
      </c>
      <c r="X1733" t="s">
        <v>371</v>
      </c>
      <c r="Y1733" t="s">
        <v>104</v>
      </c>
    </row>
    <row r="1734" spans="1:25">
      <c r="A1734">
        <v>10219</v>
      </c>
      <c r="B1734">
        <v>21</v>
      </c>
      <c r="C1734">
        <v>40.31</v>
      </c>
      <c r="D1734">
        <v>3</v>
      </c>
      <c r="E1734">
        <v>846.51</v>
      </c>
      <c r="F1734" s="4">
        <v>38262</v>
      </c>
      <c r="G1734" t="s">
        <v>93</v>
      </c>
      <c r="H1734">
        <v>1</v>
      </c>
      <c r="I1734">
        <v>2</v>
      </c>
      <c r="J1734">
        <v>2004</v>
      </c>
      <c r="K1734" t="s">
        <v>265</v>
      </c>
      <c r="L1734">
        <v>35</v>
      </c>
      <c r="M1734" t="s">
        <v>821</v>
      </c>
      <c r="N1734" t="s">
        <v>668</v>
      </c>
      <c r="O1734">
        <v>4155554312</v>
      </c>
      <c r="P1734" t="s">
        <v>669</v>
      </c>
      <c r="R1734" t="s">
        <v>670</v>
      </c>
      <c r="S1734" t="s">
        <v>124</v>
      </c>
      <c r="T1734">
        <v>94217</v>
      </c>
      <c r="U1734" t="s">
        <v>100</v>
      </c>
      <c r="V1734" t="s">
        <v>101</v>
      </c>
      <c r="W1734" t="s">
        <v>671</v>
      </c>
      <c r="X1734" t="s">
        <v>517</v>
      </c>
      <c r="Y1734" t="s">
        <v>104</v>
      </c>
    </row>
    <row r="1735" spans="1:25">
      <c r="A1735">
        <v>10229</v>
      </c>
      <c r="B1735">
        <v>33</v>
      </c>
      <c r="C1735">
        <v>32.880000000000003</v>
      </c>
      <c r="D1735">
        <v>2</v>
      </c>
      <c r="E1735">
        <v>1085.04</v>
      </c>
      <c r="F1735" s="4">
        <v>38294</v>
      </c>
      <c r="G1735" t="s">
        <v>93</v>
      </c>
      <c r="H1735">
        <v>1</v>
      </c>
      <c r="I1735">
        <v>3</v>
      </c>
      <c r="J1735">
        <v>2004</v>
      </c>
      <c r="K1735" t="s">
        <v>265</v>
      </c>
      <c r="L1735">
        <v>35</v>
      </c>
      <c r="M1735" t="s">
        <v>821</v>
      </c>
      <c r="N1735" t="s">
        <v>367</v>
      </c>
      <c r="O1735">
        <v>4155551450</v>
      </c>
      <c r="P1735" t="s">
        <v>368</v>
      </c>
      <c r="R1735" t="s">
        <v>369</v>
      </c>
      <c r="S1735" t="s">
        <v>124</v>
      </c>
      <c r="T1735">
        <v>97562</v>
      </c>
      <c r="U1735" t="s">
        <v>100</v>
      </c>
      <c r="V1735" t="s">
        <v>101</v>
      </c>
      <c r="W1735" t="s">
        <v>370</v>
      </c>
      <c r="X1735" t="s">
        <v>371</v>
      </c>
      <c r="Y1735" t="s">
        <v>104</v>
      </c>
    </row>
    <row r="1736" spans="1:25">
      <c r="A1736">
        <v>10246</v>
      </c>
      <c r="B1736">
        <v>49</v>
      </c>
      <c r="C1736">
        <v>36.07</v>
      </c>
      <c r="D1736">
        <v>6</v>
      </c>
      <c r="E1736">
        <v>1767.43</v>
      </c>
      <c r="F1736" s="4">
        <v>38112</v>
      </c>
      <c r="G1736" t="s">
        <v>93</v>
      </c>
      <c r="H1736">
        <v>2</v>
      </c>
      <c r="I1736">
        <v>5</v>
      </c>
      <c r="J1736">
        <v>2004</v>
      </c>
      <c r="K1736" t="s">
        <v>265</v>
      </c>
      <c r="L1736">
        <v>35</v>
      </c>
      <c r="M1736" t="s">
        <v>821</v>
      </c>
      <c r="N1736" t="s">
        <v>257</v>
      </c>
      <c r="O1736" t="s">
        <v>258</v>
      </c>
      <c r="P1736" t="s">
        <v>259</v>
      </c>
      <c r="R1736" t="s">
        <v>260</v>
      </c>
      <c r="T1736">
        <v>28034</v>
      </c>
      <c r="U1736" t="s">
        <v>261</v>
      </c>
      <c r="V1736" t="s">
        <v>110</v>
      </c>
      <c r="W1736" t="s">
        <v>262</v>
      </c>
      <c r="X1736" t="s">
        <v>263</v>
      </c>
      <c r="Y1736" t="s">
        <v>104</v>
      </c>
    </row>
    <row r="1737" spans="1:25">
      <c r="A1737">
        <v>10259</v>
      </c>
      <c r="B1737">
        <v>31</v>
      </c>
      <c r="C1737">
        <v>33.24</v>
      </c>
      <c r="D1737">
        <v>5</v>
      </c>
      <c r="E1737">
        <v>1030.44</v>
      </c>
      <c r="F1737" t="s">
        <v>337</v>
      </c>
      <c r="G1737" t="s">
        <v>93</v>
      </c>
      <c r="H1737">
        <v>2</v>
      </c>
      <c r="I1737">
        <v>6</v>
      </c>
      <c r="J1737">
        <v>2004</v>
      </c>
      <c r="K1737" t="s">
        <v>265</v>
      </c>
      <c r="L1737">
        <v>35</v>
      </c>
      <c r="M1737" t="s">
        <v>821</v>
      </c>
      <c r="N1737" t="s">
        <v>536</v>
      </c>
      <c r="O1737" t="s">
        <v>537</v>
      </c>
      <c r="P1737" t="s">
        <v>538</v>
      </c>
      <c r="Q1737" t="s">
        <v>539</v>
      </c>
      <c r="R1737" t="s">
        <v>287</v>
      </c>
      <c r="T1737">
        <v>69045</v>
      </c>
      <c r="U1737" t="s">
        <v>287</v>
      </c>
      <c r="V1737" t="s">
        <v>169</v>
      </c>
      <c r="W1737" t="s">
        <v>540</v>
      </c>
      <c r="X1737" t="s">
        <v>541</v>
      </c>
      <c r="Y1737" t="s">
        <v>104</v>
      </c>
    </row>
    <row r="1738" spans="1:25">
      <c r="A1738">
        <v>10271</v>
      </c>
      <c r="B1738">
        <v>38</v>
      </c>
      <c r="C1738">
        <v>41.72</v>
      </c>
      <c r="D1738">
        <v>6</v>
      </c>
      <c r="E1738">
        <v>1585.36</v>
      </c>
      <c r="F1738" t="s">
        <v>623</v>
      </c>
      <c r="G1738" t="s">
        <v>93</v>
      </c>
      <c r="H1738">
        <v>3</v>
      </c>
      <c r="I1738">
        <v>7</v>
      </c>
      <c r="J1738">
        <v>2004</v>
      </c>
      <c r="K1738" t="s">
        <v>265</v>
      </c>
      <c r="L1738">
        <v>35</v>
      </c>
      <c r="M1738" t="s">
        <v>821</v>
      </c>
      <c r="N1738" t="s">
        <v>367</v>
      </c>
      <c r="O1738">
        <v>4155551450</v>
      </c>
      <c r="P1738" t="s">
        <v>368</v>
      </c>
      <c r="R1738" t="s">
        <v>369</v>
      </c>
      <c r="S1738" t="s">
        <v>124</v>
      </c>
      <c r="T1738">
        <v>97562</v>
      </c>
      <c r="U1738" t="s">
        <v>100</v>
      </c>
      <c r="V1738" t="s">
        <v>101</v>
      </c>
      <c r="W1738" t="s">
        <v>370</v>
      </c>
      <c r="X1738" t="s">
        <v>371</v>
      </c>
      <c r="Y1738" t="s">
        <v>104</v>
      </c>
    </row>
    <row r="1739" spans="1:25">
      <c r="A1739">
        <v>10281</v>
      </c>
      <c r="B1739">
        <v>20</v>
      </c>
      <c r="C1739">
        <v>40.659999999999997</v>
      </c>
      <c r="D1739">
        <v>2</v>
      </c>
      <c r="E1739">
        <v>813.2</v>
      </c>
      <c r="F1739" t="s">
        <v>542</v>
      </c>
      <c r="G1739" t="s">
        <v>93</v>
      </c>
      <c r="H1739">
        <v>3</v>
      </c>
      <c r="I1739">
        <v>8</v>
      </c>
      <c r="J1739">
        <v>2004</v>
      </c>
      <c r="K1739" t="s">
        <v>265</v>
      </c>
      <c r="L1739">
        <v>35</v>
      </c>
      <c r="M1739" t="s">
        <v>821</v>
      </c>
      <c r="N1739" t="s">
        <v>218</v>
      </c>
      <c r="O1739">
        <v>2155551555</v>
      </c>
      <c r="P1739" t="s">
        <v>219</v>
      </c>
      <c r="R1739" t="s">
        <v>220</v>
      </c>
      <c r="S1739" t="s">
        <v>221</v>
      </c>
      <c r="T1739">
        <v>70267</v>
      </c>
      <c r="U1739" t="s">
        <v>100</v>
      </c>
      <c r="V1739" t="s">
        <v>101</v>
      </c>
      <c r="W1739" t="s">
        <v>102</v>
      </c>
      <c r="X1739" t="s">
        <v>222</v>
      </c>
      <c r="Y1739" t="s">
        <v>104</v>
      </c>
    </row>
    <row r="1740" spans="1:25">
      <c r="A1740">
        <v>10292</v>
      </c>
      <c r="B1740">
        <v>39</v>
      </c>
      <c r="C1740">
        <v>30.06</v>
      </c>
      <c r="D1740">
        <v>9</v>
      </c>
      <c r="E1740">
        <v>1172.3399999999999</v>
      </c>
      <c r="F1740" s="4">
        <v>38208</v>
      </c>
      <c r="G1740" t="s">
        <v>93</v>
      </c>
      <c r="H1740">
        <v>3</v>
      </c>
      <c r="I1740">
        <v>9</v>
      </c>
      <c r="J1740">
        <v>2004</v>
      </c>
      <c r="K1740" t="s">
        <v>265</v>
      </c>
      <c r="L1740">
        <v>35</v>
      </c>
      <c r="M1740" t="s">
        <v>821</v>
      </c>
      <c r="N1740" t="s">
        <v>96</v>
      </c>
      <c r="O1740">
        <v>2125557818</v>
      </c>
      <c r="P1740" t="s">
        <v>97</v>
      </c>
      <c r="R1740" t="s">
        <v>98</v>
      </c>
      <c r="S1740" t="s">
        <v>99</v>
      </c>
      <c r="T1740">
        <v>10022</v>
      </c>
      <c r="U1740" t="s">
        <v>100</v>
      </c>
      <c r="V1740" t="s">
        <v>101</v>
      </c>
      <c r="W1740" t="s">
        <v>102</v>
      </c>
      <c r="X1740" t="s">
        <v>103</v>
      </c>
      <c r="Y1740" t="s">
        <v>104</v>
      </c>
    </row>
    <row r="1741" spans="1:25">
      <c r="A1741">
        <v>10305</v>
      </c>
      <c r="B1741">
        <v>48</v>
      </c>
      <c r="C1741">
        <v>31.47</v>
      </c>
      <c r="D1741">
        <v>6</v>
      </c>
      <c r="E1741">
        <v>1510.56</v>
      </c>
      <c r="F1741" t="s">
        <v>543</v>
      </c>
      <c r="G1741" t="s">
        <v>93</v>
      </c>
      <c r="H1741">
        <v>4</v>
      </c>
      <c r="I1741">
        <v>10</v>
      </c>
      <c r="J1741">
        <v>2004</v>
      </c>
      <c r="K1741" t="s">
        <v>265</v>
      </c>
      <c r="L1741">
        <v>35</v>
      </c>
      <c r="M1741" t="s">
        <v>821</v>
      </c>
      <c r="N1741" t="s">
        <v>197</v>
      </c>
      <c r="O1741">
        <v>6175558555</v>
      </c>
      <c r="P1741" t="s">
        <v>198</v>
      </c>
      <c r="R1741" t="s">
        <v>199</v>
      </c>
      <c r="S1741" t="s">
        <v>200</v>
      </c>
      <c r="T1741">
        <v>51247</v>
      </c>
      <c r="U1741" t="s">
        <v>100</v>
      </c>
      <c r="V1741" t="s">
        <v>101</v>
      </c>
      <c r="W1741" t="s">
        <v>201</v>
      </c>
      <c r="X1741" t="s">
        <v>202</v>
      </c>
      <c r="Y1741" t="s">
        <v>104</v>
      </c>
    </row>
    <row r="1742" spans="1:25">
      <c r="A1742">
        <v>10314</v>
      </c>
      <c r="B1742">
        <v>39</v>
      </c>
      <c r="C1742">
        <v>37.130000000000003</v>
      </c>
      <c r="D1742">
        <v>15</v>
      </c>
      <c r="E1742">
        <v>1448.07</v>
      </c>
      <c r="F1742" t="s">
        <v>544</v>
      </c>
      <c r="G1742" t="s">
        <v>93</v>
      </c>
      <c r="H1742">
        <v>4</v>
      </c>
      <c r="I1742">
        <v>10</v>
      </c>
      <c r="J1742">
        <v>2004</v>
      </c>
      <c r="K1742" t="s">
        <v>265</v>
      </c>
      <c r="L1742">
        <v>35</v>
      </c>
      <c r="M1742" t="s">
        <v>821</v>
      </c>
      <c r="N1742" t="s">
        <v>630</v>
      </c>
      <c r="O1742" t="s">
        <v>631</v>
      </c>
      <c r="P1742" t="s">
        <v>632</v>
      </c>
      <c r="R1742" t="s">
        <v>633</v>
      </c>
      <c r="T1742">
        <v>8200</v>
      </c>
      <c r="U1742" t="s">
        <v>429</v>
      </c>
      <c r="V1742" t="s">
        <v>110</v>
      </c>
      <c r="W1742" t="s">
        <v>634</v>
      </c>
      <c r="X1742" t="s">
        <v>635</v>
      </c>
      <c r="Y1742" t="s">
        <v>104</v>
      </c>
    </row>
    <row r="1743" spans="1:25">
      <c r="A1743">
        <v>10324</v>
      </c>
      <c r="B1743">
        <v>30</v>
      </c>
      <c r="C1743">
        <v>100</v>
      </c>
      <c r="D1743">
        <v>9</v>
      </c>
      <c r="E1743">
        <v>3338.1</v>
      </c>
      <c r="F1743" s="4">
        <v>38118</v>
      </c>
      <c r="G1743" t="s">
        <v>93</v>
      </c>
      <c r="H1743">
        <v>4</v>
      </c>
      <c r="I1743">
        <v>11</v>
      </c>
      <c r="J1743">
        <v>2004</v>
      </c>
      <c r="K1743" t="s">
        <v>265</v>
      </c>
      <c r="L1743">
        <v>35</v>
      </c>
      <c r="M1743" t="s">
        <v>821</v>
      </c>
      <c r="N1743" t="s">
        <v>172</v>
      </c>
      <c r="O1743">
        <v>2125551500</v>
      </c>
      <c r="P1743" t="s">
        <v>173</v>
      </c>
      <c r="Q1743" t="s">
        <v>174</v>
      </c>
      <c r="R1743" t="s">
        <v>98</v>
      </c>
      <c r="S1743" t="s">
        <v>99</v>
      </c>
      <c r="T1743">
        <v>10022</v>
      </c>
      <c r="U1743" t="s">
        <v>100</v>
      </c>
      <c r="V1743" t="s">
        <v>101</v>
      </c>
      <c r="W1743" t="s">
        <v>175</v>
      </c>
      <c r="X1743" t="s">
        <v>176</v>
      </c>
      <c r="Y1743" t="s">
        <v>119</v>
      </c>
    </row>
    <row r="1744" spans="1:25">
      <c r="A1744">
        <v>10335</v>
      </c>
      <c r="B1744">
        <v>33</v>
      </c>
      <c r="C1744">
        <v>37.130000000000003</v>
      </c>
      <c r="D1744">
        <v>2</v>
      </c>
      <c r="E1744">
        <v>1225.29</v>
      </c>
      <c r="F1744" t="s">
        <v>545</v>
      </c>
      <c r="G1744" t="s">
        <v>93</v>
      </c>
      <c r="H1744">
        <v>4</v>
      </c>
      <c r="I1744">
        <v>11</v>
      </c>
      <c r="J1744">
        <v>2004</v>
      </c>
      <c r="K1744" t="s">
        <v>265</v>
      </c>
      <c r="L1744">
        <v>35</v>
      </c>
      <c r="M1744" t="s">
        <v>821</v>
      </c>
      <c r="N1744" t="s">
        <v>367</v>
      </c>
      <c r="O1744">
        <v>4155551450</v>
      </c>
      <c r="P1744" t="s">
        <v>368</v>
      </c>
      <c r="R1744" t="s">
        <v>369</v>
      </c>
      <c r="S1744" t="s">
        <v>124</v>
      </c>
      <c r="T1744">
        <v>97562</v>
      </c>
      <c r="U1744" t="s">
        <v>100</v>
      </c>
      <c r="V1744" t="s">
        <v>101</v>
      </c>
      <c r="W1744" t="s">
        <v>370</v>
      </c>
      <c r="X1744" t="s">
        <v>371</v>
      </c>
      <c r="Y1744" t="s">
        <v>104</v>
      </c>
    </row>
    <row r="1745" spans="1:25">
      <c r="A1745">
        <v>10349</v>
      </c>
      <c r="B1745">
        <v>36</v>
      </c>
      <c r="C1745">
        <v>37.130000000000003</v>
      </c>
      <c r="D1745">
        <v>3</v>
      </c>
      <c r="E1745">
        <v>1336.68</v>
      </c>
      <c r="F1745" s="4">
        <v>37998</v>
      </c>
      <c r="G1745" t="s">
        <v>93</v>
      </c>
      <c r="H1745">
        <v>4</v>
      </c>
      <c r="I1745">
        <v>12</v>
      </c>
      <c r="J1745">
        <v>2004</v>
      </c>
      <c r="K1745" t="s">
        <v>265</v>
      </c>
      <c r="L1745">
        <v>35</v>
      </c>
      <c r="M1745" t="s">
        <v>821</v>
      </c>
      <c r="N1745" t="s">
        <v>603</v>
      </c>
      <c r="O1745">
        <v>2125557413</v>
      </c>
      <c r="P1745" t="s">
        <v>604</v>
      </c>
      <c r="Q1745" t="s">
        <v>605</v>
      </c>
      <c r="R1745" t="s">
        <v>98</v>
      </c>
      <c r="S1745" t="s">
        <v>99</v>
      </c>
      <c r="T1745">
        <v>10022</v>
      </c>
      <c r="U1745" t="s">
        <v>100</v>
      </c>
      <c r="V1745" t="s">
        <v>101</v>
      </c>
      <c r="W1745" t="s">
        <v>125</v>
      </c>
      <c r="X1745" t="s">
        <v>606</v>
      </c>
      <c r="Y1745" t="s">
        <v>104</v>
      </c>
    </row>
    <row r="1746" spans="1:25">
      <c r="A1746">
        <v>10358</v>
      </c>
      <c r="B1746">
        <v>36</v>
      </c>
      <c r="C1746">
        <v>82.94</v>
      </c>
      <c r="D1746">
        <v>4</v>
      </c>
      <c r="E1746">
        <v>2985.84</v>
      </c>
      <c r="F1746" s="4">
        <v>38272</v>
      </c>
      <c r="G1746" t="s">
        <v>93</v>
      </c>
      <c r="H1746">
        <v>4</v>
      </c>
      <c r="I1746">
        <v>12</v>
      </c>
      <c r="J1746">
        <v>2004</v>
      </c>
      <c r="K1746" t="s">
        <v>265</v>
      </c>
      <c r="L1746">
        <v>35</v>
      </c>
      <c r="M1746" t="s">
        <v>821</v>
      </c>
      <c r="N1746" t="s">
        <v>257</v>
      </c>
      <c r="O1746" t="s">
        <v>258</v>
      </c>
      <c r="P1746" t="s">
        <v>259</v>
      </c>
      <c r="R1746" t="s">
        <v>260</v>
      </c>
      <c r="T1746">
        <v>28034</v>
      </c>
      <c r="U1746" t="s">
        <v>261</v>
      </c>
      <c r="V1746" t="s">
        <v>110</v>
      </c>
      <c r="W1746" t="s">
        <v>262</v>
      </c>
      <c r="X1746" t="s">
        <v>263</v>
      </c>
      <c r="Y1746" t="s">
        <v>104</v>
      </c>
    </row>
    <row r="1747" spans="1:25">
      <c r="A1747">
        <v>10371</v>
      </c>
      <c r="B1747">
        <v>45</v>
      </c>
      <c r="C1747">
        <v>100</v>
      </c>
      <c r="D1747">
        <v>8</v>
      </c>
      <c r="E1747">
        <v>5545.8</v>
      </c>
      <c r="F1747" t="s">
        <v>637</v>
      </c>
      <c r="G1747" t="s">
        <v>93</v>
      </c>
      <c r="H1747">
        <v>1</v>
      </c>
      <c r="I1747">
        <v>1</v>
      </c>
      <c r="J1747">
        <v>2005</v>
      </c>
      <c r="K1747" t="s">
        <v>265</v>
      </c>
      <c r="L1747">
        <v>35</v>
      </c>
      <c r="M1747" t="s">
        <v>821</v>
      </c>
      <c r="N1747" t="s">
        <v>367</v>
      </c>
      <c r="O1747">
        <v>4155551450</v>
      </c>
      <c r="P1747" t="s">
        <v>368</v>
      </c>
      <c r="R1747" t="s">
        <v>369</v>
      </c>
      <c r="S1747" t="s">
        <v>124</v>
      </c>
      <c r="T1747">
        <v>97562</v>
      </c>
      <c r="U1747" t="s">
        <v>100</v>
      </c>
      <c r="V1747" t="s">
        <v>101</v>
      </c>
      <c r="W1747" t="s">
        <v>370</v>
      </c>
      <c r="X1747" t="s">
        <v>371</v>
      </c>
      <c r="Y1747" t="s">
        <v>119</v>
      </c>
    </row>
    <row r="1748" spans="1:25">
      <c r="A1748">
        <v>10383</v>
      </c>
      <c r="B1748">
        <v>40</v>
      </c>
      <c r="C1748">
        <v>100</v>
      </c>
      <c r="D1748">
        <v>3</v>
      </c>
      <c r="E1748">
        <v>6089.6</v>
      </c>
      <c r="F1748" t="s">
        <v>760</v>
      </c>
      <c r="G1748" t="s">
        <v>93</v>
      </c>
      <c r="H1748">
        <v>1</v>
      </c>
      <c r="I1748">
        <v>2</v>
      </c>
      <c r="J1748">
        <v>2005</v>
      </c>
      <c r="K1748" t="s">
        <v>265</v>
      </c>
      <c r="L1748">
        <v>35</v>
      </c>
      <c r="M1748" t="s">
        <v>821</v>
      </c>
      <c r="N1748" t="s">
        <v>257</v>
      </c>
      <c r="O1748" t="s">
        <v>258</v>
      </c>
      <c r="P1748" t="s">
        <v>259</v>
      </c>
      <c r="R1748" t="s">
        <v>260</v>
      </c>
      <c r="T1748">
        <v>28034</v>
      </c>
      <c r="U1748" t="s">
        <v>261</v>
      </c>
      <c r="V1748" t="s">
        <v>110</v>
      </c>
      <c r="W1748" t="s">
        <v>262</v>
      </c>
      <c r="X1748" t="s">
        <v>263</v>
      </c>
      <c r="Y1748" t="s">
        <v>119</v>
      </c>
    </row>
    <row r="1749" spans="1:25">
      <c r="A1749">
        <v>10394</v>
      </c>
      <c r="B1749">
        <v>46</v>
      </c>
      <c r="C1749">
        <v>38.9</v>
      </c>
      <c r="D1749">
        <v>6</v>
      </c>
      <c r="E1749">
        <v>1789.4</v>
      </c>
      <c r="F1749" t="s">
        <v>784</v>
      </c>
      <c r="G1749" t="s">
        <v>93</v>
      </c>
      <c r="H1749">
        <v>1</v>
      </c>
      <c r="I1749">
        <v>3</v>
      </c>
      <c r="J1749">
        <v>2005</v>
      </c>
      <c r="K1749" t="s">
        <v>265</v>
      </c>
      <c r="L1749">
        <v>35</v>
      </c>
      <c r="M1749" t="s">
        <v>821</v>
      </c>
      <c r="N1749" t="s">
        <v>257</v>
      </c>
      <c r="O1749" t="s">
        <v>258</v>
      </c>
      <c r="P1749" t="s">
        <v>259</v>
      </c>
      <c r="R1749" t="s">
        <v>260</v>
      </c>
      <c r="T1749">
        <v>28034</v>
      </c>
      <c r="U1749" t="s">
        <v>261</v>
      </c>
      <c r="V1749" t="s">
        <v>110</v>
      </c>
      <c r="W1749" t="s">
        <v>262</v>
      </c>
      <c r="X1749" t="s">
        <v>263</v>
      </c>
      <c r="Y1749" t="s">
        <v>104</v>
      </c>
    </row>
    <row r="1750" spans="1:25">
      <c r="A1750">
        <v>10412</v>
      </c>
      <c r="B1750">
        <v>30</v>
      </c>
      <c r="C1750">
        <v>36.07</v>
      </c>
      <c r="D1750">
        <v>6</v>
      </c>
      <c r="E1750">
        <v>1082.0999999999999</v>
      </c>
      <c r="F1750" s="4">
        <v>38416</v>
      </c>
      <c r="G1750" t="s">
        <v>93</v>
      </c>
      <c r="H1750">
        <v>2</v>
      </c>
      <c r="I1750">
        <v>5</v>
      </c>
      <c r="J1750">
        <v>2005</v>
      </c>
      <c r="K1750" t="s">
        <v>265</v>
      </c>
      <c r="L1750">
        <v>35</v>
      </c>
      <c r="M1750" t="s">
        <v>821</v>
      </c>
      <c r="N1750" t="s">
        <v>257</v>
      </c>
      <c r="O1750" t="s">
        <v>258</v>
      </c>
      <c r="P1750" t="s">
        <v>259</v>
      </c>
      <c r="R1750" t="s">
        <v>260</v>
      </c>
      <c r="T1750">
        <v>28034</v>
      </c>
      <c r="U1750" t="s">
        <v>261</v>
      </c>
      <c r="V1750" t="s">
        <v>110</v>
      </c>
      <c r="W1750" t="s">
        <v>262</v>
      </c>
      <c r="X1750" t="s">
        <v>263</v>
      </c>
      <c r="Y1750" t="s">
        <v>104</v>
      </c>
    </row>
    <row r="1751" spans="1:25">
      <c r="A1751">
        <v>10425</v>
      </c>
      <c r="B1751">
        <v>31</v>
      </c>
      <c r="C1751">
        <v>33.24</v>
      </c>
      <c r="D1751">
        <v>5</v>
      </c>
      <c r="E1751">
        <v>1030.44</v>
      </c>
      <c r="F1751" t="s">
        <v>399</v>
      </c>
      <c r="G1751" t="s">
        <v>400</v>
      </c>
      <c r="H1751">
        <v>2</v>
      </c>
      <c r="I1751">
        <v>5</v>
      </c>
      <c r="J1751">
        <v>2005</v>
      </c>
      <c r="K1751" t="s">
        <v>265</v>
      </c>
      <c r="L1751">
        <v>35</v>
      </c>
      <c r="M1751" t="s">
        <v>821</v>
      </c>
      <c r="N1751" t="s">
        <v>190</v>
      </c>
      <c r="O1751" t="s">
        <v>191</v>
      </c>
      <c r="P1751" t="s">
        <v>192</v>
      </c>
      <c r="R1751" t="s">
        <v>193</v>
      </c>
      <c r="T1751">
        <v>44000</v>
      </c>
      <c r="U1751" t="s">
        <v>109</v>
      </c>
      <c r="V1751" t="s">
        <v>110</v>
      </c>
      <c r="W1751" t="s">
        <v>194</v>
      </c>
      <c r="X1751" t="s">
        <v>195</v>
      </c>
      <c r="Y1751" t="s">
        <v>104</v>
      </c>
    </row>
    <row r="1752" spans="1:25">
      <c r="A1752">
        <v>10106</v>
      </c>
      <c r="B1752">
        <v>49</v>
      </c>
      <c r="C1752">
        <v>74.680000000000007</v>
      </c>
      <c r="D1752">
        <v>13</v>
      </c>
      <c r="E1752">
        <v>3659.32</v>
      </c>
      <c r="F1752" t="s">
        <v>725</v>
      </c>
      <c r="G1752" t="s">
        <v>93</v>
      </c>
      <c r="H1752">
        <v>1</v>
      </c>
      <c r="I1752">
        <v>2</v>
      </c>
      <c r="J1752">
        <v>2003</v>
      </c>
      <c r="K1752" t="s">
        <v>726</v>
      </c>
      <c r="L1752">
        <v>68</v>
      </c>
      <c r="M1752" t="s">
        <v>822</v>
      </c>
      <c r="N1752" t="s">
        <v>703</v>
      </c>
      <c r="O1752" t="s">
        <v>704</v>
      </c>
      <c r="P1752" t="s">
        <v>705</v>
      </c>
      <c r="R1752" t="s">
        <v>706</v>
      </c>
      <c r="T1752">
        <v>24100</v>
      </c>
      <c r="U1752" t="s">
        <v>352</v>
      </c>
      <c r="V1752" t="s">
        <v>110</v>
      </c>
      <c r="W1752" t="s">
        <v>707</v>
      </c>
      <c r="X1752" t="s">
        <v>708</v>
      </c>
      <c r="Y1752" t="s">
        <v>119</v>
      </c>
    </row>
    <row r="1753" spans="1:25">
      <c r="A1753">
        <v>10119</v>
      </c>
      <c r="B1753">
        <v>41</v>
      </c>
      <c r="C1753">
        <v>59.6</v>
      </c>
      <c r="D1753">
        <v>4</v>
      </c>
      <c r="E1753">
        <v>2443.6</v>
      </c>
      <c r="F1753" t="s">
        <v>432</v>
      </c>
      <c r="G1753" t="s">
        <v>93</v>
      </c>
      <c r="H1753">
        <v>2</v>
      </c>
      <c r="I1753">
        <v>4</v>
      </c>
      <c r="J1753">
        <v>2003</v>
      </c>
      <c r="K1753" t="s">
        <v>726</v>
      </c>
      <c r="L1753">
        <v>68</v>
      </c>
      <c r="M1753" t="s">
        <v>822</v>
      </c>
      <c r="N1753" t="s">
        <v>225</v>
      </c>
      <c r="O1753" t="s">
        <v>226</v>
      </c>
      <c r="P1753" t="s">
        <v>227</v>
      </c>
      <c r="R1753" t="s">
        <v>228</v>
      </c>
      <c r="T1753">
        <v>5020</v>
      </c>
      <c r="U1753" t="s">
        <v>229</v>
      </c>
      <c r="V1753" t="s">
        <v>110</v>
      </c>
      <c r="W1753" t="s">
        <v>230</v>
      </c>
      <c r="X1753" t="s">
        <v>231</v>
      </c>
      <c r="Y1753" t="s">
        <v>104</v>
      </c>
    </row>
    <row r="1754" spans="1:25">
      <c r="A1754">
        <v>10131</v>
      </c>
      <c r="B1754">
        <v>35</v>
      </c>
      <c r="C1754">
        <v>67.14</v>
      </c>
      <c r="D1754">
        <v>5</v>
      </c>
      <c r="E1754">
        <v>2349.9</v>
      </c>
      <c r="F1754" t="s">
        <v>728</v>
      </c>
      <c r="G1754" t="s">
        <v>93</v>
      </c>
      <c r="H1754">
        <v>2</v>
      </c>
      <c r="I1754">
        <v>6</v>
      </c>
      <c r="J1754">
        <v>2003</v>
      </c>
      <c r="K1754" t="s">
        <v>726</v>
      </c>
      <c r="L1754">
        <v>68</v>
      </c>
      <c r="M1754" t="s">
        <v>822</v>
      </c>
      <c r="N1754" t="s">
        <v>729</v>
      </c>
      <c r="O1754">
        <v>2035554407</v>
      </c>
      <c r="P1754" t="s">
        <v>730</v>
      </c>
      <c r="R1754" t="s">
        <v>656</v>
      </c>
      <c r="S1754" t="s">
        <v>187</v>
      </c>
      <c r="T1754">
        <v>97561</v>
      </c>
      <c r="U1754" t="s">
        <v>100</v>
      </c>
      <c r="V1754" t="s">
        <v>101</v>
      </c>
      <c r="W1754" t="s">
        <v>731</v>
      </c>
      <c r="X1754" t="s">
        <v>732</v>
      </c>
      <c r="Y1754" t="s">
        <v>104</v>
      </c>
    </row>
    <row r="1755" spans="1:25">
      <c r="A1755">
        <v>10143</v>
      </c>
      <c r="B1755">
        <v>27</v>
      </c>
      <c r="C1755">
        <v>60.97</v>
      </c>
      <c r="D1755">
        <v>8</v>
      </c>
      <c r="E1755">
        <v>1646.19</v>
      </c>
      <c r="F1755" s="4">
        <v>37902</v>
      </c>
      <c r="G1755" t="s">
        <v>93</v>
      </c>
      <c r="H1755">
        <v>3</v>
      </c>
      <c r="I1755">
        <v>8</v>
      </c>
      <c r="J1755">
        <v>2003</v>
      </c>
      <c r="K1755" t="s">
        <v>726</v>
      </c>
      <c r="L1755">
        <v>68</v>
      </c>
      <c r="M1755" t="s">
        <v>822</v>
      </c>
      <c r="N1755" t="s">
        <v>439</v>
      </c>
      <c r="O1755">
        <v>5085559555</v>
      </c>
      <c r="P1755" t="s">
        <v>440</v>
      </c>
      <c r="R1755" t="s">
        <v>244</v>
      </c>
      <c r="S1755" t="s">
        <v>200</v>
      </c>
      <c r="T1755">
        <v>50553</v>
      </c>
      <c r="U1755" t="s">
        <v>100</v>
      </c>
      <c r="V1755" t="s">
        <v>101</v>
      </c>
      <c r="W1755" t="s">
        <v>441</v>
      </c>
      <c r="X1755" t="s">
        <v>442</v>
      </c>
      <c r="Y1755" t="s">
        <v>104</v>
      </c>
    </row>
    <row r="1756" spans="1:25">
      <c r="A1756">
        <v>10155</v>
      </c>
      <c r="B1756">
        <v>23</v>
      </c>
      <c r="C1756">
        <v>72.62</v>
      </c>
      <c r="D1756">
        <v>6</v>
      </c>
      <c r="E1756">
        <v>1670.26</v>
      </c>
      <c r="F1756" s="4">
        <v>37782</v>
      </c>
      <c r="G1756" t="s">
        <v>93</v>
      </c>
      <c r="H1756">
        <v>4</v>
      </c>
      <c r="I1756">
        <v>10</v>
      </c>
      <c r="J1756">
        <v>2003</v>
      </c>
      <c r="K1756" t="s">
        <v>726</v>
      </c>
      <c r="L1756">
        <v>68</v>
      </c>
      <c r="M1756" t="s">
        <v>822</v>
      </c>
      <c r="N1756" t="s">
        <v>204</v>
      </c>
      <c r="O1756" t="s">
        <v>205</v>
      </c>
      <c r="P1756" t="s">
        <v>206</v>
      </c>
      <c r="R1756" t="s">
        <v>207</v>
      </c>
      <c r="T1756">
        <v>21240</v>
      </c>
      <c r="U1756" t="s">
        <v>208</v>
      </c>
      <c r="V1756" t="s">
        <v>110</v>
      </c>
      <c r="W1756" t="s">
        <v>209</v>
      </c>
      <c r="X1756" t="s">
        <v>210</v>
      </c>
      <c r="Y1756" t="s">
        <v>104</v>
      </c>
    </row>
    <row r="1757" spans="1:25">
      <c r="A1757">
        <v>10167</v>
      </c>
      <c r="B1757">
        <v>21</v>
      </c>
      <c r="C1757">
        <v>69.88</v>
      </c>
      <c r="D1757">
        <v>2</v>
      </c>
      <c r="E1757">
        <v>1467.48</v>
      </c>
      <c r="F1757" t="s">
        <v>443</v>
      </c>
      <c r="G1757" t="s">
        <v>444</v>
      </c>
      <c r="H1757">
        <v>4</v>
      </c>
      <c r="I1757">
        <v>10</v>
      </c>
      <c r="J1757">
        <v>2003</v>
      </c>
      <c r="K1757" t="s">
        <v>726</v>
      </c>
      <c r="L1757">
        <v>68</v>
      </c>
      <c r="M1757" t="s">
        <v>822</v>
      </c>
      <c r="N1757" t="s">
        <v>355</v>
      </c>
      <c r="O1757" t="s">
        <v>356</v>
      </c>
      <c r="P1757" t="s">
        <v>357</v>
      </c>
      <c r="R1757" t="s">
        <v>358</v>
      </c>
      <c r="T1757" t="s">
        <v>359</v>
      </c>
      <c r="U1757" t="s">
        <v>273</v>
      </c>
      <c r="V1757" t="s">
        <v>110</v>
      </c>
      <c r="W1757" t="s">
        <v>360</v>
      </c>
      <c r="X1757" t="s">
        <v>295</v>
      </c>
      <c r="Y1757" t="s">
        <v>104</v>
      </c>
    </row>
    <row r="1758" spans="1:25">
      <c r="A1758">
        <v>10178</v>
      </c>
      <c r="B1758">
        <v>34</v>
      </c>
      <c r="C1758">
        <v>80.84</v>
      </c>
      <c r="D1758">
        <v>5</v>
      </c>
      <c r="E1758">
        <v>2748.56</v>
      </c>
      <c r="F1758" s="4">
        <v>37844</v>
      </c>
      <c r="G1758" t="s">
        <v>93</v>
      </c>
      <c r="H1758">
        <v>4</v>
      </c>
      <c r="I1758">
        <v>11</v>
      </c>
      <c r="J1758">
        <v>2003</v>
      </c>
      <c r="K1758" t="s">
        <v>726</v>
      </c>
      <c r="L1758">
        <v>68</v>
      </c>
      <c r="M1758" t="s">
        <v>822</v>
      </c>
      <c r="N1758" t="s">
        <v>445</v>
      </c>
      <c r="O1758" t="s">
        <v>446</v>
      </c>
      <c r="P1758" t="s">
        <v>447</v>
      </c>
      <c r="R1758" t="s">
        <v>448</v>
      </c>
      <c r="T1758">
        <v>31000</v>
      </c>
      <c r="U1758" t="s">
        <v>109</v>
      </c>
      <c r="V1758" t="s">
        <v>110</v>
      </c>
      <c r="W1758" t="s">
        <v>449</v>
      </c>
      <c r="X1758" t="s">
        <v>450</v>
      </c>
      <c r="Y1758" t="s">
        <v>104</v>
      </c>
    </row>
    <row r="1759" spans="1:25">
      <c r="A1759">
        <v>10186</v>
      </c>
      <c r="B1759">
        <v>22</v>
      </c>
      <c r="C1759">
        <v>69.2</v>
      </c>
      <c r="D1759">
        <v>2</v>
      </c>
      <c r="E1759">
        <v>1522.4</v>
      </c>
      <c r="F1759" t="s">
        <v>451</v>
      </c>
      <c r="G1759" t="s">
        <v>93</v>
      </c>
      <c r="H1759">
        <v>4</v>
      </c>
      <c r="I1759">
        <v>11</v>
      </c>
      <c r="J1759">
        <v>2003</v>
      </c>
      <c r="K1759" t="s">
        <v>726</v>
      </c>
      <c r="L1759">
        <v>68</v>
      </c>
      <c r="M1759" t="s">
        <v>822</v>
      </c>
      <c r="N1759" t="s">
        <v>452</v>
      </c>
      <c r="O1759" t="s">
        <v>453</v>
      </c>
      <c r="P1759" t="s">
        <v>454</v>
      </c>
      <c r="R1759" t="s">
        <v>436</v>
      </c>
      <c r="T1759" t="s">
        <v>455</v>
      </c>
      <c r="U1759" t="s">
        <v>252</v>
      </c>
      <c r="V1759" t="s">
        <v>110</v>
      </c>
      <c r="W1759" t="s">
        <v>456</v>
      </c>
      <c r="X1759" t="s">
        <v>457</v>
      </c>
      <c r="Y1759" t="s">
        <v>104</v>
      </c>
    </row>
    <row r="1760" spans="1:25">
      <c r="A1760">
        <v>10198</v>
      </c>
      <c r="B1760">
        <v>48</v>
      </c>
      <c r="C1760">
        <v>67.819999999999993</v>
      </c>
      <c r="D1760">
        <v>5</v>
      </c>
      <c r="E1760">
        <v>3255.36</v>
      </c>
      <c r="F1760" t="s">
        <v>733</v>
      </c>
      <c r="G1760" t="s">
        <v>93</v>
      </c>
      <c r="H1760">
        <v>4</v>
      </c>
      <c r="I1760">
        <v>11</v>
      </c>
      <c r="J1760">
        <v>2003</v>
      </c>
      <c r="K1760" t="s">
        <v>726</v>
      </c>
      <c r="L1760">
        <v>68</v>
      </c>
      <c r="M1760" t="s">
        <v>822</v>
      </c>
      <c r="N1760" t="s">
        <v>547</v>
      </c>
      <c r="O1760" t="s">
        <v>548</v>
      </c>
      <c r="P1760" t="s">
        <v>549</v>
      </c>
      <c r="R1760" t="s">
        <v>550</v>
      </c>
      <c r="T1760" t="s">
        <v>551</v>
      </c>
      <c r="U1760" t="s">
        <v>552</v>
      </c>
      <c r="V1760" t="s">
        <v>288</v>
      </c>
      <c r="W1760" t="s">
        <v>553</v>
      </c>
      <c r="X1760" t="s">
        <v>554</v>
      </c>
      <c r="Y1760" t="s">
        <v>119</v>
      </c>
    </row>
    <row r="1761" spans="1:25">
      <c r="A1761">
        <v>10209</v>
      </c>
      <c r="B1761">
        <v>43</v>
      </c>
      <c r="C1761">
        <v>82.21</v>
      </c>
      <c r="D1761">
        <v>1</v>
      </c>
      <c r="E1761">
        <v>3535.03</v>
      </c>
      <c r="F1761" s="4">
        <v>38231</v>
      </c>
      <c r="G1761" t="s">
        <v>93</v>
      </c>
      <c r="H1761">
        <v>1</v>
      </c>
      <c r="I1761">
        <v>1</v>
      </c>
      <c r="J1761">
        <v>2004</v>
      </c>
      <c r="K1761" t="s">
        <v>726</v>
      </c>
      <c r="L1761">
        <v>68</v>
      </c>
      <c r="M1761" t="s">
        <v>822</v>
      </c>
      <c r="N1761" t="s">
        <v>465</v>
      </c>
      <c r="O1761">
        <v>2155554369</v>
      </c>
      <c r="P1761" t="s">
        <v>466</v>
      </c>
      <c r="R1761" t="s">
        <v>467</v>
      </c>
      <c r="S1761" t="s">
        <v>124</v>
      </c>
      <c r="U1761" t="s">
        <v>100</v>
      </c>
      <c r="V1761" t="s">
        <v>101</v>
      </c>
      <c r="W1761" t="s">
        <v>468</v>
      </c>
      <c r="X1761" t="s">
        <v>176</v>
      </c>
      <c r="Y1761" t="s">
        <v>119</v>
      </c>
    </row>
    <row r="1762" spans="1:25">
      <c r="A1762">
        <v>10222</v>
      </c>
      <c r="B1762">
        <v>32</v>
      </c>
      <c r="C1762">
        <v>81.53</v>
      </c>
      <c r="D1762">
        <v>5</v>
      </c>
      <c r="E1762">
        <v>2608.96</v>
      </c>
      <c r="F1762" t="s">
        <v>469</v>
      </c>
      <c r="G1762" t="s">
        <v>93</v>
      </c>
      <c r="H1762">
        <v>1</v>
      </c>
      <c r="I1762">
        <v>2</v>
      </c>
      <c r="J1762">
        <v>2004</v>
      </c>
      <c r="K1762" t="s">
        <v>726</v>
      </c>
      <c r="L1762">
        <v>68</v>
      </c>
      <c r="M1762" t="s">
        <v>822</v>
      </c>
      <c r="N1762" t="s">
        <v>470</v>
      </c>
      <c r="O1762">
        <v>7605558146</v>
      </c>
      <c r="P1762" t="s">
        <v>471</v>
      </c>
      <c r="R1762" t="s">
        <v>472</v>
      </c>
      <c r="S1762" t="s">
        <v>124</v>
      </c>
      <c r="T1762">
        <v>91217</v>
      </c>
      <c r="U1762" t="s">
        <v>100</v>
      </c>
      <c r="V1762" t="s">
        <v>101</v>
      </c>
      <c r="W1762" t="s">
        <v>6</v>
      </c>
      <c r="X1762" t="s">
        <v>371</v>
      </c>
      <c r="Y1762" t="s">
        <v>104</v>
      </c>
    </row>
    <row r="1763" spans="1:25">
      <c r="A1763">
        <v>10249</v>
      </c>
      <c r="B1763">
        <v>20</v>
      </c>
      <c r="C1763">
        <v>67.819999999999993</v>
      </c>
      <c r="D1763">
        <v>1</v>
      </c>
      <c r="E1763">
        <v>1356.4</v>
      </c>
      <c r="F1763" s="4">
        <v>38204</v>
      </c>
      <c r="G1763" t="s">
        <v>93</v>
      </c>
      <c r="H1763">
        <v>2</v>
      </c>
      <c r="I1763">
        <v>5</v>
      </c>
      <c r="J1763">
        <v>2004</v>
      </c>
      <c r="K1763" t="s">
        <v>726</v>
      </c>
      <c r="L1763">
        <v>68</v>
      </c>
      <c r="M1763" t="s">
        <v>822</v>
      </c>
      <c r="N1763" t="s">
        <v>330</v>
      </c>
      <c r="O1763">
        <v>6175555555</v>
      </c>
      <c r="P1763" t="s">
        <v>331</v>
      </c>
      <c r="R1763" t="s">
        <v>199</v>
      </c>
      <c r="S1763" t="s">
        <v>200</v>
      </c>
      <c r="T1763">
        <v>51247</v>
      </c>
      <c r="U1763" t="s">
        <v>100</v>
      </c>
      <c r="V1763" t="s">
        <v>101</v>
      </c>
      <c r="W1763" t="s">
        <v>332</v>
      </c>
      <c r="X1763" t="s">
        <v>222</v>
      </c>
      <c r="Y1763" t="s">
        <v>104</v>
      </c>
    </row>
    <row r="1764" spans="1:25">
      <c r="A1764">
        <v>10262</v>
      </c>
      <c r="B1764">
        <v>24</v>
      </c>
      <c r="C1764">
        <v>67.14</v>
      </c>
      <c r="D1764">
        <v>10</v>
      </c>
      <c r="E1764">
        <v>1611.36</v>
      </c>
      <c r="F1764" t="s">
        <v>734</v>
      </c>
      <c r="G1764" t="s">
        <v>444</v>
      </c>
      <c r="H1764">
        <v>2</v>
      </c>
      <c r="I1764">
        <v>6</v>
      </c>
      <c r="J1764">
        <v>2004</v>
      </c>
      <c r="K1764" t="s">
        <v>726</v>
      </c>
      <c r="L1764">
        <v>68</v>
      </c>
      <c r="M1764" t="s">
        <v>822</v>
      </c>
      <c r="N1764" t="s">
        <v>257</v>
      </c>
      <c r="O1764" t="s">
        <v>258</v>
      </c>
      <c r="P1764" t="s">
        <v>259</v>
      </c>
      <c r="R1764" t="s">
        <v>260</v>
      </c>
      <c r="T1764">
        <v>28034</v>
      </c>
      <c r="U1764" t="s">
        <v>261</v>
      </c>
      <c r="V1764" t="s">
        <v>110</v>
      </c>
      <c r="W1764" t="s">
        <v>262</v>
      </c>
      <c r="X1764" t="s">
        <v>263</v>
      </c>
      <c r="Y1764" t="s">
        <v>104</v>
      </c>
    </row>
    <row r="1765" spans="1:25">
      <c r="A1765">
        <v>10274</v>
      </c>
      <c r="B1765">
        <v>40</v>
      </c>
      <c r="C1765">
        <v>65.08</v>
      </c>
      <c r="D1765">
        <v>2</v>
      </c>
      <c r="E1765">
        <v>2603.1999999999998</v>
      </c>
      <c r="F1765" t="s">
        <v>474</v>
      </c>
      <c r="G1765" t="s">
        <v>93</v>
      </c>
      <c r="H1765">
        <v>3</v>
      </c>
      <c r="I1765">
        <v>7</v>
      </c>
      <c r="J1765">
        <v>2004</v>
      </c>
      <c r="K1765" t="s">
        <v>726</v>
      </c>
      <c r="L1765">
        <v>68</v>
      </c>
      <c r="M1765" t="s">
        <v>822</v>
      </c>
      <c r="N1765" t="s">
        <v>379</v>
      </c>
      <c r="O1765">
        <v>6175558555</v>
      </c>
      <c r="P1765" t="s">
        <v>380</v>
      </c>
      <c r="R1765" t="s">
        <v>381</v>
      </c>
      <c r="S1765" t="s">
        <v>200</v>
      </c>
      <c r="T1765">
        <v>58339</v>
      </c>
      <c r="U1765" t="s">
        <v>100</v>
      </c>
      <c r="V1765" t="s">
        <v>101</v>
      </c>
      <c r="W1765" t="s">
        <v>370</v>
      </c>
      <c r="X1765" t="s">
        <v>382</v>
      </c>
      <c r="Y1765" t="s">
        <v>104</v>
      </c>
    </row>
    <row r="1766" spans="1:25">
      <c r="A1766">
        <v>10284</v>
      </c>
      <c r="B1766">
        <v>30</v>
      </c>
      <c r="C1766">
        <v>73.989999999999995</v>
      </c>
      <c r="D1766">
        <v>12</v>
      </c>
      <c r="E1766">
        <v>2219.6999999999998</v>
      </c>
      <c r="F1766" t="s">
        <v>735</v>
      </c>
      <c r="G1766" t="s">
        <v>93</v>
      </c>
      <c r="H1766">
        <v>3</v>
      </c>
      <c r="I1766">
        <v>8</v>
      </c>
      <c r="J1766">
        <v>2004</v>
      </c>
      <c r="K1766" t="s">
        <v>726</v>
      </c>
      <c r="L1766">
        <v>68</v>
      </c>
      <c r="M1766" t="s">
        <v>822</v>
      </c>
      <c r="N1766" t="s">
        <v>688</v>
      </c>
      <c r="O1766" t="s">
        <v>689</v>
      </c>
      <c r="P1766" t="s">
        <v>690</v>
      </c>
      <c r="R1766" t="s">
        <v>691</v>
      </c>
      <c r="T1766" t="s">
        <v>692</v>
      </c>
      <c r="U1766" t="s">
        <v>149</v>
      </c>
      <c r="V1766" t="s">
        <v>110</v>
      </c>
      <c r="W1766" t="s">
        <v>693</v>
      </c>
      <c r="X1766" t="s">
        <v>694</v>
      </c>
      <c r="Y1766" t="s">
        <v>104</v>
      </c>
    </row>
    <row r="1767" spans="1:25">
      <c r="A1767">
        <v>10296</v>
      </c>
      <c r="B1767">
        <v>21</v>
      </c>
      <c r="C1767">
        <v>71.25</v>
      </c>
      <c r="D1767">
        <v>8</v>
      </c>
      <c r="E1767">
        <v>1496.25</v>
      </c>
      <c r="F1767" t="s">
        <v>736</v>
      </c>
      <c r="G1767" t="s">
        <v>93</v>
      </c>
      <c r="H1767">
        <v>3</v>
      </c>
      <c r="I1767">
        <v>9</v>
      </c>
      <c r="J1767">
        <v>2004</v>
      </c>
      <c r="K1767" t="s">
        <v>726</v>
      </c>
      <c r="L1767">
        <v>68</v>
      </c>
      <c r="M1767" t="s">
        <v>822</v>
      </c>
      <c r="N1767" t="s">
        <v>737</v>
      </c>
      <c r="O1767" t="s">
        <v>738</v>
      </c>
      <c r="P1767" t="s">
        <v>739</v>
      </c>
      <c r="R1767" t="s">
        <v>740</v>
      </c>
      <c r="T1767">
        <v>80686</v>
      </c>
      <c r="U1767" t="s">
        <v>566</v>
      </c>
      <c r="V1767" t="s">
        <v>110</v>
      </c>
      <c r="W1767" t="s">
        <v>741</v>
      </c>
      <c r="X1767" t="s">
        <v>176</v>
      </c>
      <c r="Y1767" t="s">
        <v>104</v>
      </c>
    </row>
    <row r="1768" spans="1:25">
      <c r="A1768">
        <v>10307</v>
      </c>
      <c r="B1768">
        <v>25</v>
      </c>
      <c r="C1768">
        <v>75.36</v>
      </c>
      <c r="D1768">
        <v>2</v>
      </c>
      <c r="E1768">
        <v>1884</v>
      </c>
      <c r="F1768" t="s">
        <v>494</v>
      </c>
      <c r="G1768" t="s">
        <v>93</v>
      </c>
      <c r="H1768">
        <v>4</v>
      </c>
      <c r="I1768">
        <v>10</v>
      </c>
      <c r="J1768">
        <v>2004</v>
      </c>
      <c r="K1768" t="s">
        <v>726</v>
      </c>
      <c r="L1768">
        <v>68</v>
      </c>
      <c r="M1768" t="s">
        <v>822</v>
      </c>
      <c r="N1768" t="s">
        <v>304</v>
      </c>
      <c r="O1768">
        <v>2155554695</v>
      </c>
      <c r="P1768" t="s">
        <v>305</v>
      </c>
      <c r="R1768" t="s">
        <v>306</v>
      </c>
      <c r="S1768" t="s">
        <v>221</v>
      </c>
      <c r="T1768">
        <v>71270</v>
      </c>
      <c r="U1768" t="s">
        <v>100</v>
      </c>
      <c r="V1768" t="s">
        <v>101</v>
      </c>
      <c r="W1768" t="s">
        <v>307</v>
      </c>
      <c r="X1768" t="s">
        <v>308</v>
      </c>
      <c r="Y1768" t="s">
        <v>104</v>
      </c>
    </row>
    <row r="1769" spans="1:25">
      <c r="A1769">
        <v>10316</v>
      </c>
      <c r="B1769">
        <v>34</v>
      </c>
      <c r="C1769">
        <v>63.71</v>
      </c>
      <c r="D1769">
        <v>10</v>
      </c>
      <c r="E1769">
        <v>2166.14</v>
      </c>
      <c r="F1769" s="4">
        <v>37997</v>
      </c>
      <c r="G1769" t="s">
        <v>93</v>
      </c>
      <c r="H1769">
        <v>4</v>
      </c>
      <c r="I1769">
        <v>11</v>
      </c>
      <c r="J1769">
        <v>2004</v>
      </c>
      <c r="K1769" t="s">
        <v>726</v>
      </c>
      <c r="L1769">
        <v>68</v>
      </c>
      <c r="M1769" t="s">
        <v>822</v>
      </c>
      <c r="N1769" t="s">
        <v>495</v>
      </c>
      <c r="O1769" t="s">
        <v>496</v>
      </c>
      <c r="P1769" t="s">
        <v>497</v>
      </c>
      <c r="R1769" t="s">
        <v>498</v>
      </c>
      <c r="S1769" t="s">
        <v>499</v>
      </c>
      <c r="T1769" t="s">
        <v>500</v>
      </c>
      <c r="U1769" t="s">
        <v>252</v>
      </c>
      <c r="V1769" t="s">
        <v>110</v>
      </c>
      <c r="W1769" t="s">
        <v>501</v>
      </c>
      <c r="X1769" t="s">
        <v>502</v>
      </c>
      <c r="Y1769" t="s">
        <v>104</v>
      </c>
    </row>
    <row r="1770" spans="1:25">
      <c r="A1770">
        <v>10328</v>
      </c>
      <c r="B1770">
        <v>48</v>
      </c>
      <c r="C1770">
        <v>58.92</v>
      </c>
      <c r="D1770">
        <v>1</v>
      </c>
      <c r="E1770">
        <v>2828.16</v>
      </c>
      <c r="F1770" s="4">
        <v>38332</v>
      </c>
      <c r="G1770" t="s">
        <v>93</v>
      </c>
      <c r="H1770">
        <v>4</v>
      </c>
      <c r="I1770">
        <v>11</v>
      </c>
      <c r="J1770">
        <v>2004</v>
      </c>
      <c r="K1770" t="s">
        <v>726</v>
      </c>
      <c r="L1770">
        <v>68</v>
      </c>
      <c r="M1770" t="s">
        <v>822</v>
      </c>
      <c r="N1770" t="s">
        <v>703</v>
      </c>
      <c r="O1770" t="s">
        <v>704</v>
      </c>
      <c r="P1770" t="s">
        <v>705</v>
      </c>
      <c r="R1770" t="s">
        <v>706</v>
      </c>
      <c r="T1770">
        <v>24100</v>
      </c>
      <c r="U1770" t="s">
        <v>352</v>
      </c>
      <c r="V1770" t="s">
        <v>110</v>
      </c>
      <c r="W1770" t="s">
        <v>707</v>
      </c>
      <c r="X1770" t="s">
        <v>708</v>
      </c>
      <c r="Y1770" t="s">
        <v>104</v>
      </c>
    </row>
    <row r="1771" spans="1:25">
      <c r="A1771">
        <v>10339</v>
      </c>
      <c r="B1771">
        <v>55</v>
      </c>
      <c r="C1771">
        <v>100</v>
      </c>
      <c r="D1771">
        <v>12</v>
      </c>
      <c r="E1771">
        <v>6214.45</v>
      </c>
      <c r="F1771" t="s">
        <v>422</v>
      </c>
      <c r="G1771" t="s">
        <v>93</v>
      </c>
      <c r="H1771">
        <v>4</v>
      </c>
      <c r="I1771">
        <v>11</v>
      </c>
      <c r="J1771">
        <v>2004</v>
      </c>
      <c r="K1771" t="s">
        <v>726</v>
      </c>
      <c r="L1771">
        <v>68</v>
      </c>
      <c r="M1771" t="s">
        <v>822</v>
      </c>
      <c r="N1771" t="s">
        <v>338</v>
      </c>
      <c r="O1771" t="s">
        <v>339</v>
      </c>
      <c r="P1771" t="s">
        <v>340</v>
      </c>
      <c r="R1771" t="s">
        <v>341</v>
      </c>
      <c r="S1771" t="s">
        <v>342</v>
      </c>
      <c r="T1771" t="s">
        <v>343</v>
      </c>
      <c r="U1771" t="s">
        <v>288</v>
      </c>
      <c r="V1771" t="s">
        <v>288</v>
      </c>
      <c r="W1771" t="s">
        <v>344</v>
      </c>
      <c r="X1771" t="s">
        <v>345</v>
      </c>
      <c r="Y1771" t="s">
        <v>119</v>
      </c>
    </row>
    <row r="1772" spans="1:25">
      <c r="A1772">
        <v>10351</v>
      </c>
      <c r="B1772">
        <v>25</v>
      </c>
      <c r="C1772">
        <v>74.680000000000007</v>
      </c>
      <c r="D1772">
        <v>5</v>
      </c>
      <c r="E1772">
        <v>1867</v>
      </c>
      <c r="F1772" s="4">
        <v>38058</v>
      </c>
      <c r="G1772" t="s">
        <v>93</v>
      </c>
      <c r="H1772">
        <v>4</v>
      </c>
      <c r="I1772">
        <v>12</v>
      </c>
      <c r="J1772">
        <v>2004</v>
      </c>
      <c r="K1772" t="s">
        <v>726</v>
      </c>
      <c r="L1772">
        <v>68</v>
      </c>
      <c r="M1772" t="s">
        <v>822</v>
      </c>
      <c r="N1772" t="s">
        <v>433</v>
      </c>
      <c r="O1772" t="s">
        <v>434</v>
      </c>
      <c r="P1772" t="s">
        <v>435</v>
      </c>
      <c r="R1772" t="s">
        <v>436</v>
      </c>
      <c r="T1772" t="s">
        <v>437</v>
      </c>
      <c r="U1772" t="s">
        <v>252</v>
      </c>
      <c r="V1772" t="s">
        <v>110</v>
      </c>
      <c r="W1772" t="s">
        <v>130</v>
      </c>
      <c r="X1772" t="s">
        <v>438</v>
      </c>
      <c r="Y1772" t="s">
        <v>104</v>
      </c>
    </row>
    <row r="1773" spans="1:25">
      <c r="A1773">
        <v>10373</v>
      </c>
      <c r="B1773">
        <v>38</v>
      </c>
      <c r="C1773">
        <v>70.44</v>
      </c>
      <c r="D1773">
        <v>7</v>
      </c>
      <c r="E1773">
        <v>2676.72</v>
      </c>
      <c r="F1773" t="s">
        <v>505</v>
      </c>
      <c r="G1773" t="s">
        <v>93</v>
      </c>
      <c r="H1773">
        <v>1</v>
      </c>
      <c r="I1773">
        <v>1</v>
      </c>
      <c r="J1773">
        <v>2005</v>
      </c>
      <c r="K1773" t="s">
        <v>726</v>
      </c>
      <c r="L1773">
        <v>68</v>
      </c>
      <c r="M1773" t="s">
        <v>822</v>
      </c>
      <c r="N1773" t="s">
        <v>506</v>
      </c>
      <c r="O1773" t="s">
        <v>507</v>
      </c>
      <c r="P1773" t="s">
        <v>508</v>
      </c>
      <c r="R1773" t="s">
        <v>509</v>
      </c>
      <c r="T1773">
        <v>90110</v>
      </c>
      <c r="U1773" t="s">
        <v>208</v>
      </c>
      <c r="V1773" t="s">
        <v>110</v>
      </c>
      <c r="W1773" t="s">
        <v>510</v>
      </c>
      <c r="X1773" t="s">
        <v>511</v>
      </c>
      <c r="Y1773" t="s">
        <v>104</v>
      </c>
    </row>
    <row r="1774" spans="1:25">
      <c r="A1774">
        <v>10386</v>
      </c>
      <c r="B1774">
        <v>39</v>
      </c>
      <c r="C1774">
        <v>55.96</v>
      </c>
      <c r="D1774">
        <v>1</v>
      </c>
      <c r="E1774">
        <v>2182.44</v>
      </c>
      <c r="F1774" s="4">
        <v>38355</v>
      </c>
      <c r="G1774" t="s">
        <v>526</v>
      </c>
      <c r="H1774">
        <v>1</v>
      </c>
      <c r="I1774">
        <v>3</v>
      </c>
      <c r="J1774">
        <v>2005</v>
      </c>
      <c r="K1774" t="s">
        <v>726</v>
      </c>
      <c r="L1774">
        <v>68</v>
      </c>
      <c r="M1774" t="s">
        <v>822</v>
      </c>
      <c r="N1774" t="s">
        <v>257</v>
      </c>
      <c r="O1774" t="s">
        <v>258</v>
      </c>
      <c r="P1774" t="s">
        <v>259</v>
      </c>
      <c r="R1774" t="s">
        <v>260</v>
      </c>
      <c r="T1774">
        <v>28034</v>
      </c>
      <c r="U1774" t="s">
        <v>261</v>
      </c>
      <c r="V1774" t="s">
        <v>110</v>
      </c>
      <c r="W1774" t="s">
        <v>262</v>
      </c>
      <c r="X1774" t="s">
        <v>263</v>
      </c>
      <c r="Y1774" t="s">
        <v>104</v>
      </c>
    </row>
    <row r="1775" spans="1:25">
      <c r="A1775">
        <v>10398</v>
      </c>
      <c r="B1775">
        <v>28</v>
      </c>
      <c r="C1775">
        <v>57.55</v>
      </c>
      <c r="D1775">
        <v>3</v>
      </c>
      <c r="E1775">
        <v>1611.4</v>
      </c>
      <c r="F1775" t="s">
        <v>750</v>
      </c>
      <c r="G1775" t="s">
        <v>93</v>
      </c>
      <c r="H1775">
        <v>1</v>
      </c>
      <c r="I1775">
        <v>3</v>
      </c>
      <c r="J1775">
        <v>2005</v>
      </c>
      <c r="K1775" t="s">
        <v>726</v>
      </c>
      <c r="L1775">
        <v>68</v>
      </c>
      <c r="M1775" t="s">
        <v>822</v>
      </c>
      <c r="N1775" t="s">
        <v>105</v>
      </c>
      <c r="O1775" t="s">
        <v>106</v>
      </c>
      <c r="P1775" t="s">
        <v>107</v>
      </c>
      <c r="R1775" t="s">
        <v>108</v>
      </c>
      <c r="T1775">
        <v>51100</v>
      </c>
      <c r="U1775" t="s">
        <v>109</v>
      </c>
      <c r="V1775" t="s">
        <v>110</v>
      </c>
      <c r="W1775" t="s">
        <v>111</v>
      </c>
      <c r="X1775" t="s">
        <v>112</v>
      </c>
      <c r="Y1775" t="s">
        <v>104</v>
      </c>
    </row>
    <row r="1776" spans="1:25">
      <c r="A1776">
        <v>10400</v>
      </c>
      <c r="B1776">
        <v>24</v>
      </c>
      <c r="C1776">
        <v>61.66</v>
      </c>
      <c r="D1776">
        <v>2</v>
      </c>
      <c r="E1776">
        <v>1479.84</v>
      </c>
      <c r="F1776" s="4">
        <v>38356</v>
      </c>
      <c r="G1776" t="s">
        <v>93</v>
      </c>
      <c r="H1776">
        <v>2</v>
      </c>
      <c r="I1776">
        <v>4</v>
      </c>
      <c r="J1776">
        <v>2005</v>
      </c>
      <c r="K1776" t="s">
        <v>726</v>
      </c>
      <c r="L1776">
        <v>68</v>
      </c>
      <c r="M1776" t="s">
        <v>822</v>
      </c>
      <c r="N1776" t="s">
        <v>514</v>
      </c>
      <c r="O1776">
        <v>4085553659</v>
      </c>
      <c r="P1776" t="s">
        <v>515</v>
      </c>
      <c r="R1776" t="s">
        <v>516</v>
      </c>
      <c r="S1776" t="s">
        <v>124</v>
      </c>
      <c r="T1776">
        <v>94217</v>
      </c>
      <c r="U1776" t="s">
        <v>100</v>
      </c>
      <c r="V1776" t="s">
        <v>101</v>
      </c>
      <c r="W1776" t="s">
        <v>175</v>
      </c>
      <c r="X1776" t="s">
        <v>517</v>
      </c>
      <c r="Y1776" t="s">
        <v>104</v>
      </c>
    </row>
    <row r="1777" spans="1:25">
      <c r="A1777">
        <v>10415</v>
      </c>
      <c r="B1777">
        <v>21</v>
      </c>
      <c r="C1777">
        <v>67.819999999999993</v>
      </c>
      <c r="D1777">
        <v>1</v>
      </c>
      <c r="E1777">
        <v>1424.22</v>
      </c>
      <c r="F1777" s="4">
        <v>38600</v>
      </c>
      <c r="G1777" t="s">
        <v>256</v>
      </c>
      <c r="H1777">
        <v>2</v>
      </c>
      <c r="I1777">
        <v>5</v>
      </c>
      <c r="J1777">
        <v>2005</v>
      </c>
      <c r="K1777" t="s">
        <v>726</v>
      </c>
      <c r="L1777">
        <v>68</v>
      </c>
      <c r="M1777" t="s">
        <v>822</v>
      </c>
      <c r="N1777" t="s">
        <v>710</v>
      </c>
      <c r="O1777" t="s">
        <v>711</v>
      </c>
      <c r="P1777" t="s">
        <v>712</v>
      </c>
      <c r="R1777" t="s">
        <v>713</v>
      </c>
      <c r="S1777" t="s">
        <v>167</v>
      </c>
      <c r="T1777">
        <v>3150</v>
      </c>
      <c r="U1777" t="s">
        <v>168</v>
      </c>
      <c r="V1777" t="s">
        <v>169</v>
      </c>
      <c r="W1777" t="s">
        <v>714</v>
      </c>
      <c r="X1777" t="s">
        <v>715</v>
      </c>
      <c r="Y1777" t="s">
        <v>104</v>
      </c>
    </row>
    <row r="1778" spans="1:25">
      <c r="A1778">
        <v>10110</v>
      </c>
      <c r="B1778">
        <v>46</v>
      </c>
      <c r="C1778">
        <v>100</v>
      </c>
      <c r="D1778">
        <v>10</v>
      </c>
      <c r="E1778">
        <v>5942.28</v>
      </c>
      <c r="F1778" t="s">
        <v>720</v>
      </c>
      <c r="G1778" t="s">
        <v>93</v>
      </c>
      <c r="H1778">
        <v>1</v>
      </c>
      <c r="I1778">
        <v>3</v>
      </c>
      <c r="J1778">
        <v>2003</v>
      </c>
      <c r="K1778" t="s">
        <v>265</v>
      </c>
      <c r="L1778">
        <v>117</v>
      </c>
      <c r="M1778" t="s">
        <v>823</v>
      </c>
      <c r="N1778" t="s">
        <v>624</v>
      </c>
      <c r="O1778" t="s">
        <v>625</v>
      </c>
      <c r="P1778" t="s">
        <v>626</v>
      </c>
      <c r="R1778" t="s">
        <v>627</v>
      </c>
      <c r="T1778" t="s">
        <v>628</v>
      </c>
      <c r="U1778" t="s">
        <v>252</v>
      </c>
      <c r="V1778" t="s">
        <v>110</v>
      </c>
      <c r="W1778" t="s">
        <v>629</v>
      </c>
      <c r="X1778" t="s">
        <v>167</v>
      </c>
      <c r="Y1778" t="s">
        <v>119</v>
      </c>
    </row>
    <row r="1779" spans="1:25">
      <c r="A1779">
        <v>10124</v>
      </c>
      <c r="B1779">
        <v>25</v>
      </c>
      <c r="C1779">
        <v>93.95</v>
      </c>
      <c r="D1779">
        <v>9</v>
      </c>
      <c r="E1779">
        <v>2348.75</v>
      </c>
      <c r="F1779" t="s">
        <v>700</v>
      </c>
      <c r="G1779" t="s">
        <v>93</v>
      </c>
      <c r="H1779">
        <v>2</v>
      </c>
      <c r="I1779">
        <v>5</v>
      </c>
      <c r="J1779">
        <v>2003</v>
      </c>
      <c r="K1779" t="s">
        <v>265</v>
      </c>
      <c r="L1779">
        <v>117</v>
      </c>
      <c r="M1779" t="s">
        <v>823</v>
      </c>
      <c r="N1779" t="s">
        <v>684</v>
      </c>
      <c r="O1779">
        <v>7025551838</v>
      </c>
      <c r="P1779" t="s">
        <v>685</v>
      </c>
      <c r="R1779" t="s">
        <v>686</v>
      </c>
      <c r="S1779" t="s">
        <v>687</v>
      </c>
      <c r="T1779">
        <v>83030</v>
      </c>
      <c r="U1779" t="s">
        <v>100</v>
      </c>
      <c r="V1779" t="s">
        <v>101</v>
      </c>
      <c r="W1779" t="s">
        <v>188</v>
      </c>
      <c r="X1779" t="s">
        <v>517</v>
      </c>
      <c r="Y1779" t="s">
        <v>104</v>
      </c>
    </row>
    <row r="1780" spans="1:25">
      <c r="A1780">
        <v>10148</v>
      </c>
      <c r="B1780">
        <v>34</v>
      </c>
      <c r="C1780">
        <v>100</v>
      </c>
      <c r="D1780">
        <v>3</v>
      </c>
      <c r="E1780">
        <v>4392.12</v>
      </c>
      <c r="F1780" s="4">
        <v>37934</v>
      </c>
      <c r="G1780" t="s">
        <v>93</v>
      </c>
      <c r="H1780">
        <v>3</v>
      </c>
      <c r="I1780">
        <v>9</v>
      </c>
      <c r="J1780">
        <v>2003</v>
      </c>
      <c r="K1780" t="s">
        <v>265</v>
      </c>
      <c r="L1780">
        <v>117</v>
      </c>
      <c r="M1780" t="s">
        <v>823</v>
      </c>
      <c r="N1780" t="s">
        <v>384</v>
      </c>
      <c r="O1780" t="s">
        <v>385</v>
      </c>
      <c r="P1780" t="s">
        <v>386</v>
      </c>
      <c r="Q1780" t="s">
        <v>387</v>
      </c>
      <c r="R1780" t="s">
        <v>388</v>
      </c>
      <c r="S1780" t="s">
        <v>239</v>
      </c>
      <c r="T1780">
        <v>2060</v>
      </c>
      <c r="U1780" t="s">
        <v>168</v>
      </c>
      <c r="V1780" t="s">
        <v>169</v>
      </c>
      <c r="W1780" t="s">
        <v>389</v>
      </c>
      <c r="X1780" t="s">
        <v>390</v>
      </c>
      <c r="Y1780" t="s">
        <v>119</v>
      </c>
    </row>
    <row r="1781" spans="1:25">
      <c r="A1781">
        <v>10161</v>
      </c>
      <c r="B1781">
        <v>25</v>
      </c>
      <c r="C1781">
        <v>100</v>
      </c>
      <c r="D1781">
        <v>2</v>
      </c>
      <c r="E1781">
        <v>2759.75</v>
      </c>
      <c r="F1781" t="s">
        <v>682</v>
      </c>
      <c r="G1781" t="s">
        <v>93</v>
      </c>
      <c r="H1781">
        <v>4</v>
      </c>
      <c r="I1781">
        <v>10</v>
      </c>
      <c r="J1781">
        <v>2003</v>
      </c>
      <c r="K1781" t="s">
        <v>265</v>
      </c>
      <c r="L1781">
        <v>117</v>
      </c>
      <c r="M1781" t="s">
        <v>823</v>
      </c>
      <c r="N1781" t="s">
        <v>630</v>
      </c>
      <c r="O1781" t="s">
        <v>631</v>
      </c>
      <c r="P1781" t="s">
        <v>632</v>
      </c>
      <c r="R1781" t="s">
        <v>633</v>
      </c>
      <c r="T1781">
        <v>8200</v>
      </c>
      <c r="U1781" t="s">
        <v>429</v>
      </c>
      <c r="V1781" t="s">
        <v>110</v>
      </c>
      <c r="W1781" t="s">
        <v>634</v>
      </c>
      <c r="X1781" t="s">
        <v>635</v>
      </c>
      <c r="Y1781" t="s">
        <v>104</v>
      </c>
    </row>
    <row r="1782" spans="1:25">
      <c r="A1782">
        <v>10173</v>
      </c>
      <c r="B1782">
        <v>23</v>
      </c>
      <c r="C1782">
        <v>100</v>
      </c>
      <c r="D1782">
        <v>16</v>
      </c>
      <c r="E1782">
        <v>2728.03</v>
      </c>
      <c r="F1782" s="4">
        <v>37752</v>
      </c>
      <c r="G1782" t="s">
        <v>93</v>
      </c>
      <c r="H1782">
        <v>4</v>
      </c>
      <c r="I1782">
        <v>11</v>
      </c>
      <c r="J1782">
        <v>2003</v>
      </c>
      <c r="K1782" t="s">
        <v>265</v>
      </c>
      <c r="L1782">
        <v>117</v>
      </c>
      <c r="M1782" t="s">
        <v>823</v>
      </c>
      <c r="N1782" t="s">
        <v>703</v>
      </c>
      <c r="O1782" t="s">
        <v>704</v>
      </c>
      <c r="P1782" t="s">
        <v>705</v>
      </c>
      <c r="R1782" t="s">
        <v>706</v>
      </c>
      <c r="T1782">
        <v>24100</v>
      </c>
      <c r="U1782" t="s">
        <v>352</v>
      </c>
      <c r="V1782" t="s">
        <v>110</v>
      </c>
      <c r="W1782" t="s">
        <v>707</v>
      </c>
      <c r="X1782" t="s">
        <v>708</v>
      </c>
      <c r="Y1782" t="s">
        <v>104</v>
      </c>
    </row>
    <row r="1783" spans="1:25">
      <c r="A1783">
        <v>10182</v>
      </c>
      <c r="B1783">
        <v>20</v>
      </c>
      <c r="C1783">
        <v>100</v>
      </c>
      <c r="D1783">
        <v>13</v>
      </c>
      <c r="E1783">
        <v>2395.8000000000002</v>
      </c>
      <c r="F1783" s="4">
        <v>37966</v>
      </c>
      <c r="G1783" t="s">
        <v>93</v>
      </c>
      <c r="H1783">
        <v>4</v>
      </c>
      <c r="I1783">
        <v>11</v>
      </c>
      <c r="J1783">
        <v>2003</v>
      </c>
      <c r="K1783" t="s">
        <v>265</v>
      </c>
      <c r="L1783">
        <v>117</v>
      </c>
      <c r="M1783" t="s">
        <v>823</v>
      </c>
      <c r="N1783" t="s">
        <v>367</v>
      </c>
      <c r="O1783">
        <v>4155551450</v>
      </c>
      <c r="P1783" t="s">
        <v>368</v>
      </c>
      <c r="R1783" t="s">
        <v>369</v>
      </c>
      <c r="S1783" t="s">
        <v>124</v>
      </c>
      <c r="T1783">
        <v>97562</v>
      </c>
      <c r="U1783" t="s">
        <v>100</v>
      </c>
      <c r="V1783" t="s">
        <v>101</v>
      </c>
      <c r="W1783" t="s">
        <v>370</v>
      </c>
      <c r="X1783" t="s">
        <v>371</v>
      </c>
      <c r="Y1783" t="s">
        <v>104</v>
      </c>
    </row>
    <row r="1784" spans="1:25">
      <c r="A1784">
        <v>10192</v>
      </c>
      <c r="B1784">
        <v>23</v>
      </c>
      <c r="C1784">
        <v>100</v>
      </c>
      <c r="D1784">
        <v>1</v>
      </c>
      <c r="E1784">
        <v>3052.33</v>
      </c>
      <c r="F1784" t="s">
        <v>561</v>
      </c>
      <c r="G1784" t="s">
        <v>93</v>
      </c>
      <c r="H1784">
        <v>4</v>
      </c>
      <c r="I1784">
        <v>11</v>
      </c>
      <c r="J1784">
        <v>2003</v>
      </c>
      <c r="K1784" t="s">
        <v>265</v>
      </c>
      <c r="L1784">
        <v>117</v>
      </c>
      <c r="M1784" t="s">
        <v>823</v>
      </c>
      <c r="N1784" t="s">
        <v>372</v>
      </c>
      <c r="O1784">
        <v>6035558647</v>
      </c>
      <c r="P1784" t="s">
        <v>373</v>
      </c>
      <c r="R1784" t="s">
        <v>374</v>
      </c>
      <c r="S1784" t="s">
        <v>375</v>
      </c>
      <c r="T1784">
        <v>62005</v>
      </c>
      <c r="U1784" t="s">
        <v>100</v>
      </c>
      <c r="V1784" t="s">
        <v>101</v>
      </c>
      <c r="W1784" t="s">
        <v>125</v>
      </c>
      <c r="X1784" t="s">
        <v>371</v>
      </c>
      <c r="Y1784" t="s">
        <v>119</v>
      </c>
    </row>
    <row r="1785" spans="1:25">
      <c r="A1785">
        <v>10204</v>
      </c>
      <c r="B1785">
        <v>42</v>
      </c>
      <c r="C1785">
        <v>100</v>
      </c>
      <c r="D1785">
        <v>7</v>
      </c>
      <c r="E1785">
        <v>4242</v>
      </c>
      <c r="F1785" s="4">
        <v>37664</v>
      </c>
      <c r="G1785" t="s">
        <v>93</v>
      </c>
      <c r="H1785">
        <v>4</v>
      </c>
      <c r="I1785">
        <v>12</v>
      </c>
      <c r="J1785">
        <v>2003</v>
      </c>
      <c r="K1785" t="s">
        <v>265</v>
      </c>
      <c r="L1785">
        <v>117</v>
      </c>
      <c r="M1785" t="s">
        <v>823</v>
      </c>
      <c r="N1785" t="s">
        <v>603</v>
      </c>
      <c r="O1785">
        <v>2125557413</v>
      </c>
      <c r="P1785" t="s">
        <v>604</v>
      </c>
      <c r="Q1785" t="s">
        <v>605</v>
      </c>
      <c r="R1785" t="s">
        <v>98</v>
      </c>
      <c r="S1785" t="s">
        <v>99</v>
      </c>
      <c r="T1785">
        <v>10022</v>
      </c>
      <c r="U1785" t="s">
        <v>100</v>
      </c>
      <c r="V1785" t="s">
        <v>101</v>
      </c>
      <c r="W1785" t="s">
        <v>125</v>
      </c>
      <c r="X1785" t="s">
        <v>606</v>
      </c>
      <c r="Y1785" t="s">
        <v>119</v>
      </c>
    </row>
    <row r="1786" spans="1:25">
      <c r="A1786">
        <v>10213</v>
      </c>
      <c r="B1786">
        <v>27</v>
      </c>
      <c r="C1786">
        <v>100</v>
      </c>
      <c r="D1786">
        <v>3</v>
      </c>
      <c r="E1786">
        <v>2790.45</v>
      </c>
      <c r="F1786" t="s">
        <v>800</v>
      </c>
      <c r="G1786" t="s">
        <v>93</v>
      </c>
      <c r="H1786">
        <v>1</v>
      </c>
      <c r="I1786">
        <v>1</v>
      </c>
      <c r="J1786">
        <v>2004</v>
      </c>
      <c r="K1786" t="s">
        <v>265</v>
      </c>
      <c r="L1786">
        <v>117</v>
      </c>
      <c r="M1786" t="s">
        <v>823</v>
      </c>
      <c r="N1786" t="s">
        <v>452</v>
      </c>
      <c r="O1786" t="s">
        <v>453</v>
      </c>
      <c r="P1786" t="s">
        <v>454</v>
      </c>
      <c r="R1786" t="s">
        <v>436</v>
      </c>
      <c r="T1786" t="s">
        <v>455</v>
      </c>
      <c r="U1786" t="s">
        <v>252</v>
      </c>
      <c r="V1786" t="s">
        <v>110</v>
      </c>
      <c r="W1786" t="s">
        <v>456</v>
      </c>
      <c r="X1786" t="s">
        <v>457</v>
      </c>
      <c r="Y1786" t="s">
        <v>104</v>
      </c>
    </row>
    <row r="1787" spans="1:25">
      <c r="A1787">
        <v>10227</v>
      </c>
      <c r="B1787">
        <v>33</v>
      </c>
      <c r="C1787">
        <v>100</v>
      </c>
      <c r="D1787">
        <v>13</v>
      </c>
      <c r="E1787">
        <v>4340.49</v>
      </c>
      <c r="F1787" s="4">
        <v>38020</v>
      </c>
      <c r="G1787" t="s">
        <v>93</v>
      </c>
      <c r="H1787">
        <v>1</v>
      </c>
      <c r="I1787">
        <v>3</v>
      </c>
      <c r="J1787">
        <v>2004</v>
      </c>
      <c r="K1787" t="s">
        <v>265</v>
      </c>
      <c r="L1787">
        <v>117</v>
      </c>
      <c r="M1787" t="s">
        <v>823</v>
      </c>
      <c r="N1787" t="s">
        <v>310</v>
      </c>
      <c r="O1787" t="s">
        <v>311</v>
      </c>
      <c r="P1787" t="s">
        <v>312</v>
      </c>
      <c r="R1787" t="s">
        <v>313</v>
      </c>
      <c r="T1787">
        <v>69004</v>
      </c>
      <c r="U1787" t="s">
        <v>109</v>
      </c>
      <c r="V1787" t="s">
        <v>110</v>
      </c>
      <c r="W1787" t="s">
        <v>314</v>
      </c>
      <c r="X1787" t="s">
        <v>315</v>
      </c>
      <c r="Y1787" t="s">
        <v>119</v>
      </c>
    </row>
    <row r="1788" spans="1:25">
      <c r="A1788">
        <v>10241</v>
      </c>
      <c r="B1788">
        <v>28</v>
      </c>
      <c r="C1788">
        <v>98.65</v>
      </c>
      <c r="D1788">
        <v>5</v>
      </c>
      <c r="E1788">
        <v>2762.2</v>
      </c>
      <c r="F1788" t="s">
        <v>683</v>
      </c>
      <c r="G1788" t="s">
        <v>93</v>
      </c>
      <c r="H1788">
        <v>2</v>
      </c>
      <c r="I1788">
        <v>4</v>
      </c>
      <c r="J1788">
        <v>2004</v>
      </c>
      <c r="K1788" t="s">
        <v>265</v>
      </c>
      <c r="L1788">
        <v>117</v>
      </c>
      <c r="M1788" t="s">
        <v>823</v>
      </c>
      <c r="N1788" t="s">
        <v>674</v>
      </c>
      <c r="O1788" t="s">
        <v>675</v>
      </c>
      <c r="P1788" t="s">
        <v>676</v>
      </c>
      <c r="R1788" t="s">
        <v>677</v>
      </c>
      <c r="T1788">
        <v>67000</v>
      </c>
      <c r="U1788" t="s">
        <v>109</v>
      </c>
      <c r="V1788" t="s">
        <v>110</v>
      </c>
      <c r="W1788" t="s">
        <v>678</v>
      </c>
      <c r="X1788" t="s">
        <v>679</v>
      </c>
      <c r="Y1788" t="s">
        <v>104</v>
      </c>
    </row>
    <row r="1789" spans="1:25">
      <c r="A1789">
        <v>10267</v>
      </c>
      <c r="B1789">
        <v>43</v>
      </c>
      <c r="C1789">
        <v>100</v>
      </c>
      <c r="D1789">
        <v>2</v>
      </c>
      <c r="E1789">
        <v>4645.72</v>
      </c>
      <c r="F1789" s="4">
        <v>38175</v>
      </c>
      <c r="G1789" t="s">
        <v>93</v>
      </c>
      <c r="H1789">
        <v>3</v>
      </c>
      <c r="I1789">
        <v>7</v>
      </c>
      <c r="J1789">
        <v>2004</v>
      </c>
      <c r="K1789" t="s">
        <v>265</v>
      </c>
      <c r="L1789">
        <v>117</v>
      </c>
      <c r="M1789" t="s">
        <v>823</v>
      </c>
      <c r="N1789" t="s">
        <v>603</v>
      </c>
      <c r="O1789">
        <v>2125557413</v>
      </c>
      <c r="P1789" t="s">
        <v>604</v>
      </c>
      <c r="Q1789" t="s">
        <v>605</v>
      </c>
      <c r="R1789" t="s">
        <v>98</v>
      </c>
      <c r="S1789" t="s">
        <v>99</v>
      </c>
      <c r="T1789">
        <v>10022</v>
      </c>
      <c r="U1789" t="s">
        <v>100</v>
      </c>
      <c r="V1789" t="s">
        <v>101</v>
      </c>
      <c r="W1789" t="s">
        <v>125</v>
      </c>
      <c r="X1789" t="s">
        <v>606</v>
      </c>
      <c r="Y1789" t="s">
        <v>119</v>
      </c>
    </row>
    <row r="1790" spans="1:25">
      <c r="A1790">
        <v>10279</v>
      </c>
      <c r="B1790">
        <v>48</v>
      </c>
      <c r="C1790">
        <v>100</v>
      </c>
      <c r="D1790">
        <v>2</v>
      </c>
      <c r="E1790">
        <v>5580.96</v>
      </c>
      <c r="F1790" s="4">
        <v>38238</v>
      </c>
      <c r="G1790" t="s">
        <v>93</v>
      </c>
      <c r="H1790">
        <v>3</v>
      </c>
      <c r="I1790">
        <v>8</v>
      </c>
      <c r="J1790">
        <v>2004</v>
      </c>
      <c r="K1790" t="s">
        <v>265</v>
      </c>
      <c r="L1790">
        <v>117</v>
      </c>
      <c r="M1790" t="s">
        <v>823</v>
      </c>
      <c r="N1790" t="s">
        <v>257</v>
      </c>
      <c r="O1790" t="s">
        <v>258</v>
      </c>
      <c r="P1790" t="s">
        <v>259</v>
      </c>
      <c r="R1790" t="s">
        <v>260</v>
      </c>
      <c r="T1790">
        <v>28034</v>
      </c>
      <c r="U1790" t="s">
        <v>261</v>
      </c>
      <c r="V1790" t="s">
        <v>110</v>
      </c>
      <c r="W1790" t="s">
        <v>262</v>
      </c>
      <c r="X1790" t="s">
        <v>263</v>
      </c>
      <c r="Y1790" t="s">
        <v>119</v>
      </c>
    </row>
    <row r="1791" spans="1:25">
      <c r="A1791">
        <v>10288</v>
      </c>
      <c r="B1791">
        <v>48</v>
      </c>
      <c r="C1791">
        <v>100</v>
      </c>
      <c r="D1791">
        <v>8</v>
      </c>
      <c r="E1791">
        <v>6539.04</v>
      </c>
      <c r="F1791" s="4">
        <v>37995</v>
      </c>
      <c r="G1791" t="s">
        <v>93</v>
      </c>
      <c r="H1791">
        <v>3</v>
      </c>
      <c r="I1791">
        <v>9</v>
      </c>
      <c r="J1791">
        <v>2004</v>
      </c>
      <c r="K1791" t="s">
        <v>265</v>
      </c>
      <c r="L1791">
        <v>117</v>
      </c>
      <c r="M1791" t="s">
        <v>823</v>
      </c>
      <c r="N1791" t="s">
        <v>536</v>
      </c>
      <c r="O1791" t="s">
        <v>537</v>
      </c>
      <c r="P1791" t="s">
        <v>538</v>
      </c>
      <c r="Q1791" t="s">
        <v>539</v>
      </c>
      <c r="R1791" t="s">
        <v>287</v>
      </c>
      <c r="T1791">
        <v>69045</v>
      </c>
      <c r="U1791" t="s">
        <v>287</v>
      </c>
      <c r="V1791" t="s">
        <v>169</v>
      </c>
      <c r="W1791" t="s">
        <v>540</v>
      </c>
      <c r="X1791" t="s">
        <v>541</v>
      </c>
      <c r="Y1791" t="s">
        <v>119</v>
      </c>
    </row>
    <row r="1792" spans="1:25">
      <c r="A1792">
        <v>10302</v>
      </c>
      <c r="B1792">
        <v>45</v>
      </c>
      <c r="C1792">
        <v>100</v>
      </c>
      <c r="D1792">
        <v>4</v>
      </c>
      <c r="E1792">
        <v>5548.95</v>
      </c>
      <c r="F1792" s="4">
        <v>37782</v>
      </c>
      <c r="G1792" t="s">
        <v>93</v>
      </c>
      <c r="H1792">
        <v>4</v>
      </c>
      <c r="I1792">
        <v>10</v>
      </c>
      <c r="J1792">
        <v>2003</v>
      </c>
      <c r="K1792" t="s">
        <v>265</v>
      </c>
      <c r="L1792">
        <v>117</v>
      </c>
      <c r="M1792" t="s">
        <v>823</v>
      </c>
      <c r="N1792" t="s">
        <v>247</v>
      </c>
      <c r="O1792" t="s">
        <v>248</v>
      </c>
      <c r="P1792" t="s">
        <v>249</v>
      </c>
      <c r="R1792" t="s">
        <v>250</v>
      </c>
      <c r="T1792" t="s">
        <v>251</v>
      </c>
      <c r="U1792" t="s">
        <v>252</v>
      </c>
      <c r="V1792" t="s">
        <v>110</v>
      </c>
      <c r="W1792" t="s">
        <v>253</v>
      </c>
      <c r="X1792" t="s">
        <v>254</v>
      </c>
      <c r="Y1792" t="s">
        <v>119</v>
      </c>
    </row>
    <row r="1793" spans="1:25">
      <c r="A1793">
        <v>10311</v>
      </c>
      <c r="B1793">
        <v>43</v>
      </c>
      <c r="C1793">
        <v>100</v>
      </c>
      <c r="D1793">
        <v>3</v>
      </c>
      <c r="E1793">
        <v>4595.41</v>
      </c>
      <c r="F1793" t="s">
        <v>592</v>
      </c>
      <c r="G1793" t="s">
        <v>93</v>
      </c>
      <c r="H1793">
        <v>4</v>
      </c>
      <c r="I1793">
        <v>10</v>
      </c>
      <c r="J1793">
        <v>2004</v>
      </c>
      <c r="K1793" t="s">
        <v>265</v>
      </c>
      <c r="L1793">
        <v>117</v>
      </c>
      <c r="M1793" t="s">
        <v>823</v>
      </c>
      <c r="N1793" t="s">
        <v>257</v>
      </c>
      <c r="O1793" t="s">
        <v>258</v>
      </c>
      <c r="P1793" t="s">
        <v>259</v>
      </c>
      <c r="R1793" t="s">
        <v>260</v>
      </c>
      <c r="T1793">
        <v>28034</v>
      </c>
      <c r="U1793" t="s">
        <v>261</v>
      </c>
      <c r="V1793" t="s">
        <v>110</v>
      </c>
      <c r="W1793" t="s">
        <v>262</v>
      </c>
      <c r="X1793" t="s">
        <v>263</v>
      </c>
      <c r="Y1793" t="s">
        <v>119</v>
      </c>
    </row>
    <row r="1794" spans="1:25">
      <c r="A1794">
        <v>10332</v>
      </c>
      <c r="B1794">
        <v>44</v>
      </c>
      <c r="C1794">
        <v>42.26</v>
      </c>
      <c r="D1794">
        <v>11</v>
      </c>
      <c r="E1794">
        <v>1859.44</v>
      </c>
      <c r="F1794" t="s">
        <v>695</v>
      </c>
      <c r="G1794" t="s">
        <v>93</v>
      </c>
      <c r="H1794">
        <v>4</v>
      </c>
      <c r="I1794">
        <v>11</v>
      </c>
      <c r="J1794">
        <v>2004</v>
      </c>
      <c r="K1794" t="s">
        <v>265</v>
      </c>
      <c r="L1794">
        <v>117</v>
      </c>
      <c r="M1794" t="s">
        <v>823</v>
      </c>
      <c r="N1794" t="s">
        <v>624</v>
      </c>
      <c r="O1794" t="s">
        <v>625</v>
      </c>
      <c r="P1794" t="s">
        <v>626</v>
      </c>
      <c r="R1794" t="s">
        <v>627</v>
      </c>
      <c r="T1794" t="s">
        <v>628</v>
      </c>
      <c r="U1794" t="s">
        <v>252</v>
      </c>
      <c r="V1794" t="s">
        <v>110</v>
      </c>
      <c r="W1794" t="s">
        <v>629</v>
      </c>
      <c r="X1794" t="s">
        <v>167</v>
      </c>
      <c r="Y1794" t="s">
        <v>104</v>
      </c>
    </row>
    <row r="1795" spans="1:25">
      <c r="A1795">
        <v>10346</v>
      </c>
      <c r="B1795">
        <v>24</v>
      </c>
      <c r="C1795">
        <v>87.24</v>
      </c>
      <c r="D1795">
        <v>5</v>
      </c>
      <c r="E1795">
        <v>2093.7600000000002</v>
      </c>
      <c r="F1795" t="s">
        <v>377</v>
      </c>
      <c r="G1795" t="s">
        <v>93</v>
      </c>
      <c r="H1795">
        <v>4</v>
      </c>
      <c r="I1795">
        <v>11</v>
      </c>
      <c r="J1795">
        <v>2004</v>
      </c>
      <c r="K1795" t="s">
        <v>265</v>
      </c>
      <c r="L1795">
        <v>117</v>
      </c>
      <c r="M1795" t="s">
        <v>823</v>
      </c>
      <c r="N1795" t="s">
        <v>684</v>
      </c>
      <c r="O1795">
        <v>7025551838</v>
      </c>
      <c r="P1795" t="s">
        <v>685</v>
      </c>
      <c r="R1795" t="s">
        <v>686</v>
      </c>
      <c r="S1795" t="s">
        <v>687</v>
      </c>
      <c r="T1795">
        <v>83030</v>
      </c>
      <c r="U1795" t="s">
        <v>100</v>
      </c>
      <c r="V1795" t="s">
        <v>101</v>
      </c>
      <c r="W1795" t="s">
        <v>188</v>
      </c>
      <c r="X1795" t="s">
        <v>517</v>
      </c>
      <c r="Y1795" t="s">
        <v>104</v>
      </c>
    </row>
    <row r="1796" spans="1:25">
      <c r="A1796">
        <v>10368</v>
      </c>
      <c r="B1796">
        <v>31</v>
      </c>
      <c r="C1796">
        <v>100</v>
      </c>
      <c r="D1796">
        <v>5</v>
      </c>
      <c r="E1796">
        <v>4223.13</v>
      </c>
      <c r="F1796" t="s">
        <v>820</v>
      </c>
      <c r="G1796" t="s">
        <v>93</v>
      </c>
      <c r="H1796">
        <v>1</v>
      </c>
      <c r="I1796">
        <v>1</v>
      </c>
      <c r="J1796">
        <v>2005</v>
      </c>
      <c r="K1796" t="s">
        <v>265</v>
      </c>
      <c r="L1796">
        <v>117</v>
      </c>
      <c r="M1796" t="s">
        <v>823</v>
      </c>
      <c r="N1796" t="s">
        <v>367</v>
      </c>
      <c r="O1796">
        <v>4155551450</v>
      </c>
      <c r="P1796" t="s">
        <v>368</v>
      </c>
      <c r="R1796" t="s">
        <v>369</v>
      </c>
      <c r="S1796" t="s">
        <v>124</v>
      </c>
      <c r="T1796">
        <v>97562</v>
      </c>
      <c r="U1796" t="s">
        <v>100</v>
      </c>
      <c r="V1796" t="s">
        <v>101</v>
      </c>
      <c r="W1796" t="s">
        <v>370</v>
      </c>
      <c r="X1796" t="s">
        <v>371</v>
      </c>
      <c r="Y1796" t="s">
        <v>119</v>
      </c>
    </row>
    <row r="1797" spans="1:25">
      <c r="A1797">
        <v>10380</v>
      </c>
      <c r="B1797">
        <v>44</v>
      </c>
      <c r="C1797">
        <v>36.29</v>
      </c>
      <c r="D1797">
        <v>7</v>
      </c>
      <c r="E1797">
        <v>1596.76</v>
      </c>
      <c r="F1797" t="s">
        <v>717</v>
      </c>
      <c r="G1797" t="s">
        <v>93</v>
      </c>
      <c r="H1797">
        <v>1</v>
      </c>
      <c r="I1797">
        <v>2</v>
      </c>
      <c r="J1797">
        <v>2005</v>
      </c>
      <c r="K1797" t="s">
        <v>265</v>
      </c>
      <c r="L1797">
        <v>117</v>
      </c>
      <c r="M1797" t="s">
        <v>823</v>
      </c>
      <c r="N1797" t="s">
        <v>257</v>
      </c>
      <c r="O1797" t="s">
        <v>258</v>
      </c>
      <c r="P1797" t="s">
        <v>259</v>
      </c>
      <c r="R1797" t="s">
        <v>260</v>
      </c>
      <c r="T1797">
        <v>28034</v>
      </c>
      <c r="U1797" t="s">
        <v>261</v>
      </c>
      <c r="V1797" t="s">
        <v>110</v>
      </c>
      <c r="W1797" t="s">
        <v>262</v>
      </c>
      <c r="X1797" t="s">
        <v>263</v>
      </c>
      <c r="Y1797" t="s">
        <v>104</v>
      </c>
    </row>
    <row r="1798" spans="1:25">
      <c r="A1798">
        <v>10407</v>
      </c>
      <c r="B1798">
        <v>59</v>
      </c>
      <c r="C1798">
        <v>98.65</v>
      </c>
      <c r="D1798">
        <v>5</v>
      </c>
      <c r="E1798">
        <v>5820.35</v>
      </c>
      <c r="F1798" t="s">
        <v>724</v>
      </c>
      <c r="G1798" t="s">
        <v>518</v>
      </c>
      <c r="H1798">
        <v>2</v>
      </c>
      <c r="I1798">
        <v>4</v>
      </c>
      <c r="J1798">
        <v>2005</v>
      </c>
      <c r="K1798" t="s">
        <v>265</v>
      </c>
      <c r="L1798">
        <v>117</v>
      </c>
      <c r="M1798" t="s">
        <v>823</v>
      </c>
      <c r="N1798" t="s">
        <v>514</v>
      </c>
      <c r="O1798">
        <v>4085553659</v>
      </c>
      <c r="P1798" t="s">
        <v>515</v>
      </c>
      <c r="R1798" t="s">
        <v>516</v>
      </c>
      <c r="S1798" t="s">
        <v>124</v>
      </c>
      <c r="T1798">
        <v>94217</v>
      </c>
      <c r="U1798" t="s">
        <v>100</v>
      </c>
      <c r="V1798" t="s">
        <v>101</v>
      </c>
      <c r="W1798" t="s">
        <v>175</v>
      </c>
      <c r="X1798" t="s">
        <v>517</v>
      </c>
      <c r="Y1798" t="s">
        <v>119</v>
      </c>
    </row>
    <row r="1799" spans="1:25">
      <c r="A1799">
        <v>10420</v>
      </c>
      <c r="B1799">
        <v>55</v>
      </c>
      <c r="C1799">
        <v>96.3</v>
      </c>
      <c r="D1799">
        <v>8</v>
      </c>
      <c r="E1799">
        <v>5296.5</v>
      </c>
      <c r="F1799" t="s">
        <v>754</v>
      </c>
      <c r="G1799" t="s">
        <v>400</v>
      </c>
      <c r="H1799">
        <v>2</v>
      </c>
      <c r="I1799">
        <v>5</v>
      </c>
      <c r="J1799">
        <v>2005</v>
      </c>
      <c r="K1799" t="s">
        <v>265</v>
      </c>
      <c r="L1799">
        <v>117</v>
      </c>
      <c r="M1799" t="s">
        <v>823</v>
      </c>
      <c r="N1799" t="s">
        <v>234</v>
      </c>
      <c r="O1799" t="s">
        <v>235</v>
      </c>
      <c r="P1799" t="s">
        <v>236</v>
      </c>
      <c r="Q1799" t="s">
        <v>237</v>
      </c>
      <c r="R1799" t="s">
        <v>238</v>
      </c>
      <c r="S1799" t="s">
        <v>239</v>
      </c>
      <c r="T1799">
        <v>2067</v>
      </c>
      <c r="U1799" t="s">
        <v>168</v>
      </c>
      <c r="V1799" t="s">
        <v>169</v>
      </c>
      <c r="W1799" t="s">
        <v>240</v>
      </c>
      <c r="X1799" t="s">
        <v>241</v>
      </c>
      <c r="Y1799" t="s">
        <v>119</v>
      </c>
    </row>
    <row r="1800" spans="1:25">
      <c r="A1800">
        <v>10109</v>
      </c>
      <c r="B1800">
        <v>29</v>
      </c>
      <c r="C1800">
        <v>32.1</v>
      </c>
      <c r="D1800">
        <v>6</v>
      </c>
      <c r="E1800">
        <v>930.9</v>
      </c>
      <c r="F1800" s="4">
        <v>37897</v>
      </c>
      <c r="G1800" t="s">
        <v>93</v>
      </c>
      <c r="H1800">
        <v>1</v>
      </c>
      <c r="I1800">
        <v>3</v>
      </c>
      <c r="J1800">
        <v>2003</v>
      </c>
      <c r="K1800" t="s">
        <v>265</v>
      </c>
      <c r="L1800">
        <v>37</v>
      </c>
      <c r="M1800" t="s">
        <v>824</v>
      </c>
      <c r="N1800" t="s">
        <v>410</v>
      </c>
      <c r="O1800">
        <v>2155559857</v>
      </c>
      <c r="P1800" t="s">
        <v>411</v>
      </c>
      <c r="R1800" t="s">
        <v>306</v>
      </c>
      <c r="S1800" t="s">
        <v>221</v>
      </c>
      <c r="T1800">
        <v>71270</v>
      </c>
      <c r="U1800" t="s">
        <v>100</v>
      </c>
      <c r="V1800" t="s">
        <v>101</v>
      </c>
      <c r="W1800" t="s">
        <v>201</v>
      </c>
      <c r="X1800" t="s">
        <v>412</v>
      </c>
      <c r="Y1800" t="s">
        <v>104</v>
      </c>
    </row>
    <row r="1801" spans="1:25">
      <c r="A1801">
        <v>10122</v>
      </c>
      <c r="B1801">
        <v>39</v>
      </c>
      <c r="C1801">
        <v>30.96</v>
      </c>
      <c r="D1801">
        <v>4</v>
      </c>
      <c r="E1801">
        <v>1207.44</v>
      </c>
      <c r="F1801" s="4">
        <v>37838</v>
      </c>
      <c r="G1801" t="s">
        <v>93</v>
      </c>
      <c r="H1801">
        <v>2</v>
      </c>
      <c r="I1801">
        <v>5</v>
      </c>
      <c r="J1801">
        <v>2003</v>
      </c>
      <c r="K1801" t="s">
        <v>265</v>
      </c>
      <c r="L1801">
        <v>37</v>
      </c>
      <c r="M1801" t="s">
        <v>824</v>
      </c>
      <c r="N1801" t="s">
        <v>555</v>
      </c>
      <c r="O1801" t="s">
        <v>556</v>
      </c>
      <c r="P1801" t="s">
        <v>557</v>
      </c>
      <c r="R1801" t="s">
        <v>558</v>
      </c>
      <c r="T1801">
        <v>13008</v>
      </c>
      <c r="U1801" t="s">
        <v>109</v>
      </c>
      <c r="V1801" t="s">
        <v>110</v>
      </c>
      <c r="W1801" t="s">
        <v>559</v>
      </c>
      <c r="X1801" t="s">
        <v>560</v>
      </c>
      <c r="Y1801" t="s">
        <v>104</v>
      </c>
    </row>
    <row r="1802" spans="1:25">
      <c r="A1802">
        <v>10135</v>
      </c>
      <c r="B1802">
        <v>20</v>
      </c>
      <c r="C1802">
        <v>35.869999999999997</v>
      </c>
      <c r="D1802">
        <v>1</v>
      </c>
      <c r="E1802">
        <v>717.4</v>
      </c>
      <c r="F1802" s="4">
        <v>37659</v>
      </c>
      <c r="G1802" t="s">
        <v>93</v>
      </c>
      <c r="H1802">
        <v>3</v>
      </c>
      <c r="I1802">
        <v>7</v>
      </c>
      <c r="J1802">
        <v>2003</v>
      </c>
      <c r="K1802" t="s">
        <v>265</v>
      </c>
      <c r="L1802">
        <v>37</v>
      </c>
      <c r="M1802" t="s">
        <v>824</v>
      </c>
      <c r="N1802" t="s">
        <v>367</v>
      </c>
      <c r="O1802">
        <v>4155551450</v>
      </c>
      <c r="P1802" t="s">
        <v>368</v>
      </c>
      <c r="R1802" t="s">
        <v>369</v>
      </c>
      <c r="S1802" t="s">
        <v>124</v>
      </c>
      <c r="T1802">
        <v>97562</v>
      </c>
      <c r="U1802" t="s">
        <v>100</v>
      </c>
      <c r="V1802" t="s">
        <v>101</v>
      </c>
      <c r="W1802" t="s">
        <v>370</v>
      </c>
      <c r="X1802" t="s">
        <v>371</v>
      </c>
      <c r="Y1802" t="s">
        <v>104</v>
      </c>
    </row>
    <row r="1803" spans="1:25">
      <c r="A1803">
        <v>10147</v>
      </c>
      <c r="B1803">
        <v>25</v>
      </c>
      <c r="C1803">
        <v>42.67</v>
      </c>
      <c r="D1803">
        <v>1</v>
      </c>
      <c r="E1803">
        <v>1066.75</v>
      </c>
      <c r="F1803" s="4">
        <v>37750</v>
      </c>
      <c r="G1803" t="s">
        <v>93</v>
      </c>
      <c r="H1803">
        <v>3</v>
      </c>
      <c r="I1803">
        <v>9</v>
      </c>
      <c r="J1803">
        <v>2003</v>
      </c>
      <c r="K1803" t="s">
        <v>265</v>
      </c>
      <c r="L1803">
        <v>37</v>
      </c>
      <c r="M1803" t="s">
        <v>824</v>
      </c>
      <c r="N1803" t="s">
        <v>379</v>
      </c>
      <c r="O1803">
        <v>6175558555</v>
      </c>
      <c r="P1803" t="s">
        <v>380</v>
      </c>
      <c r="R1803" t="s">
        <v>381</v>
      </c>
      <c r="S1803" t="s">
        <v>200</v>
      </c>
      <c r="T1803">
        <v>58339</v>
      </c>
      <c r="U1803" t="s">
        <v>100</v>
      </c>
      <c r="V1803" t="s">
        <v>101</v>
      </c>
      <c r="W1803" t="s">
        <v>370</v>
      </c>
      <c r="X1803" t="s">
        <v>382</v>
      </c>
      <c r="Y1803" t="s">
        <v>104</v>
      </c>
    </row>
    <row r="1804" spans="1:25">
      <c r="A1804">
        <v>10160</v>
      </c>
      <c r="B1804">
        <v>42</v>
      </c>
      <c r="C1804">
        <v>37</v>
      </c>
      <c r="D1804">
        <v>2</v>
      </c>
      <c r="E1804">
        <v>1554</v>
      </c>
      <c r="F1804" s="4">
        <v>37935</v>
      </c>
      <c r="G1804" t="s">
        <v>93</v>
      </c>
      <c r="H1804">
        <v>4</v>
      </c>
      <c r="I1804">
        <v>10</v>
      </c>
      <c r="J1804">
        <v>2003</v>
      </c>
      <c r="K1804" t="s">
        <v>265</v>
      </c>
      <c r="L1804">
        <v>37</v>
      </c>
      <c r="M1804" t="s">
        <v>824</v>
      </c>
      <c r="N1804" t="s">
        <v>465</v>
      </c>
      <c r="O1804">
        <v>2155554369</v>
      </c>
      <c r="P1804" t="s">
        <v>466</v>
      </c>
      <c r="R1804" t="s">
        <v>467</v>
      </c>
      <c r="S1804" t="s">
        <v>124</v>
      </c>
      <c r="U1804" t="s">
        <v>100</v>
      </c>
      <c r="V1804" t="s">
        <v>101</v>
      </c>
      <c r="W1804" t="s">
        <v>468</v>
      </c>
      <c r="X1804" t="s">
        <v>176</v>
      </c>
      <c r="Y1804" t="s">
        <v>104</v>
      </c>
    </row>
    <row r="1805" spans="1:25">
      <c r="A1805">
        <v>10171</v>
      </c>
      <c r="B1805">
        <v>36</v>
      </c>
      <c r="C1805">
        <v>35.49</v>
      </c>
      <c r="D1805">
        <v>4</v>
      </c>
      <c r="E1805">
        <v>1277.6400000000001</v>
      </c>
      <c r="F1805" s="4">
        <v>37752</v>
      </c>
      <c r="G1805" t="s">
        <v>93</v>
      </c>
      <c r="H1805">
        <v>4</v>
      </c>
      <c r="I1805">
        <v>11</v>
      </c>
      <c r="J1805">
        <v>2003</v>
      </c>
      <c r="K1805" t="s">
        <v>265</v>
      </c>
      <c r="L1805">
        <v>37</v>
      </c>
      <c r="M1805" t="s">
        <v>824</v>
      </c>
      <c r="N1805" t="s">
        <v>391</v>
      </c>
      <c r="O1805" t="s">
        <v>392</v>
      </c>
      <c r="P1805" t="s">
        <v>393</v>
      </c>
      <c r="R1805" t="s">
        <v>394</v>
      </c>
      <c r="S1805" t="s">
        <v>395</v>
      </c>
      <c r="T1805" t="s">
        <v>396</v>
      </c>
      <c r="U1805" t="s">
        <v>322</v>
      </c>
      <c r="V1805" t="s">
        <v>101</v>
      </c>
      <c r="W1805" t="s">
        <v>397</v>
      </c>
      <c r="X1805" t="s">
        <v>398</v>
      </c>
      <c r="Y1805" t="s">
        <v>104</v>
      </c>
    </row>
    <row r="1806" spans="1:25">
      <c r="A1806">
        <v>10181</v>
      </c>
      <c r="B1806">
        <v>37</v>
      </c>
      <c r="C1806">
        <v>42.67</v>
      </c>
      <c r="D1806">
        <v>8</v>
      </c>
      <c r="E1806">
        <v>1578.79</v>
      </c>
      <c r="F1806" s="4">
        <v>37966</v>
      </c>
      <c r="G1806" t="s">
        <v>93</v>
      </c>
      <c r="H1806">
        <v>4</v>
      </c>
      <c r="I1806">
        <v>11</v>
      </c>
      <c r="J1806">
        <v>2003</v>
      </c>
      <c r="K1806" t="s">
        <v>265</v>
      </c>
      <c r="L1806">
        <v>37</v>
      </c>
      <c r="M1806" t="s">
        <v>824</v>
      </c>
      <c r="N1806" t="s">
        <v>144</v>
      </c>
      <c r="O1806" t="s">
        <v>145</v>
      </c>
      <c r="P1806" t="s">
        <v>146</v>
      </c>
      <c r="R1806" t="s">
        <v>147</v>
      </c>
      <c r="T1806" t="s">
        <v>148</v>
      </c>
      <c r="U1806" t="s">
        <v>149</v>
      </c>
      <c r="V1806" t="s">
        <v>110</v>
      </c>
      <c r="W1806" t="s">
        <v>150</v>
      </c>
      <c r="X1806" t="s">
        <v>151</v>
      </c>
      <c r="Y1806" t="s">
        <v>104</v>
      </c>
    </row>
    <row r="1807" spans="1:25">
      <c r="A1807">
        <v>10192</v>
      </c>
      <c r="B1807">
        <v>30</v>
      </c>
      <c r="C1807">
        <v>30.59</v>
      </c>
      <c r="D1807">
        <v>13</v>
      </c>
      <c r="E1807">
        <v>917.7</v>
      </c>
      <c r="F1807" t="s">
        <v>561</v>
      </c>
      <c r="G1807" t="s">
        <v>93</v>
      </c>
      <c r="H1807">
        <v>4</v>
      </c>
      <c r="I1807">
        <v>11</v>
      </c>
      <c r="J1807">
        <v>2003</v>
      </c>
      <c r="K1807" t="s">
        <v>265</v>
      </c>
      <c r="L1807">
        <v>37</v>
      </c>
      <c r="M1807" t="s">
        <v>824</v>
      </c>
      <c r="N1807" t="s">
        <v>372</v>
      </c>
      <c r="O1807">
        <v>6035558647</v>
      </c>
      <c r="P1807" t="s">
        <v>373</v>
      </c>
      <c r="R1807" t="s">
        <v>374</v>
      </c>
      <c r="S1807" t="s">
        <v>375</v>
      </c>
      <c r="T1807">
        <v>62005</v>
      </c>
      <c r="U1807" t="s">
        <v>100</v>
      </c>
      <c r="V1807" t="s">
        <v>101</v>
      </c>
      <c r="W1807" t="s">
        <v>125</v>
      </c>
      <c r="X1807" t="s">
        <v>371</v>
      </c>
      <c r="Y1807" t="s">
        <v>104</v>
      </c>
    </row>
    <row r="1808" spans="1:25">
      <c r="A1808">
        <v>10203</v>
      </c>
      <c r="B1808">
        <v>21</v>
      </c>
      <c r="C1808">
        <v>37</v>
      </c>
      <c r="D1808">
        <v>2</v>
      </c>
      <c r="E1808">
        <v>777</v>
      </c>
      <c r="F1808" s="4">
        <v>37664</v>
      </c>
      <c r="G1808" t="s">
        <v>93</v>
      </c>
      <c r="H1808">
        <v>4</v>
      </c>
      <c r="I1808">
        <v>12</v>
      </c>
      <c r="J1808">
        <v>2003</v>
      </c>
      <c r="K1808" t="s">
        <v>265</v>
      </c>
      <c r="L1808">
        <v>37</v>
      </c>
      <c r="M1808" t="s">
        <v>824</v>
      </c>
      <c r="N1808" t="s">
        <v>257</v>
      </c>
      <c r="O1808" t="s">
        <v>258</v>
      </c>
      <c r="P1808" t="s">
        <v>259</v>
      </c>
      <c r="R1808" t="s">
        <v>260</v>
      </c>
      <c r="T1808">
        <v>28034</v>
      </c>
      <c r="U1808" t="s">
        <v>261</v>
      </c>
      <c r="V1808" t="s">
        <v>110</v>
      </c>
      <c r="W1808" t="s">
        <v>262</v>
      </c>
      <c r="X1808" t="s">
        <v>263</v>
      </c>
      <c r="Y1808" t="s">
        <v>104</v>
      </c>
    </row>
    <row r="1809" spans="1:25">
      <c r="A1809">
        <v>10212</v>
      </c>
      <c r="B1809">
        <v>34</v>
      </c>
      <c r="C1809">
        <v>43.42</v>
      </c>
      <c r="D1809">
        <v>12</v>
      </c>
      <c r="E1809">
        <v>1476.28</v>
      </c>
      <c r="F1809" t="s">
        <v>653</v>
      </c>
      <c r="G1809" t="s">
        <v>93</v>
      </c>
      <c r="H1809">
        <v>1</v>
      </c>
      <c r="I1809">
        <v>1</v>
      </c>
      <c r="J1809">
        <v>2004</v>
      </c>
      <c r="K1809" t="s">
        <v>265</v>
      </c>
      <c r="L1809">
        <v>37</v>
      </c>
      <c r="M1809" t="s">
        <v>824</v>
      </c>
      <c r="N1809" t="s">
        <v>257</v>
      </c>
      <c r="O1809" t="s">
        <v>258</v>
      </c>
      <c r="P1809" t="s">
        <v>259</v>
      </c>
      <c r="R1809" t="s">
        <v>260</v>
      </c>
      <c r="T1809">
        <v>28034</v>
      </c>
      <c r="U1809" t="s">
        <v>261</v>
      </c>
      <c r="V1809" t="s">
        <v>110</v>
      </c>
      <c r="W1809" t="s">
        <v>262</v>
      </c>
      <c r="X1809" t="s">
        <v>263</v>
      </c>
      <c r="Y1809" t="s">
        <v>104</v>
      </c>
    </row>
    <row r="1810" spans="1:25">
      <c r="A1810">
        <v>10225</v>
      </c>
      <c r="B1810">
        <v>42</v>
      </c>
      <c r="C1810">
        <v>36.630000000000003</v>
      </c>
      <c r="D1810">
        <v>3</v>
      </c>
      <c r="E1810">
        <v>1538.46</v>
      </c>
      <c r="F1810" t="s">
        <v>569</v>
      </c>
      <c r="G1810" t="s">
        <v>93</v>
      </c>
      <c r="H1810">
        <v>1</v>
      </c>
      <c r="I1810">
        <v>2</v>
      </c>
      <c r="J1810">
        <v>2004</v>
      </c>
      <c r="K1810" t="s">
        <v>265</v>
      </c>
      <c r="L1810">
        <v>37</v>
      </c>
      <c r="M1810" t="s">
        <v>824</v>
      </c>
      <c r="N1810" t="s">
        <v>570</v>
      </c>
      <c r="O1810" t="s">
        <v>571</v>
      </c>
      <c r="P1810" t="s">
        <v>572</v>
      </c>
      <c r="R1810" t="s">
        <v>573</v>
      </c>
      <c r="T1810">
        <v>1203</v>
      </c>
      <c r="U1810" t="s">
        <v>574</v>
      </c>
      <c r="V1810" t="s">
        <v>110</v>
      </c>
      <c r="W1810" t="s">
        <v>575</v>
      </c>
      <c r="X1810" t="s">
        <v>176</v>
      </c>
      <c r="Y1810" t="s">
        <v>104</v>
      </c>
    </row>
    <row r="1811" spans="1:25">
      <c r="A1811">
        <v>10239</v>
      </c>
      <c r="B1811">
        <v>20</v>
      </c>
      <c r="C1811">
        <v>44.56</v>
      </c>
      <c r="D1811">
        <v>2</v>
      </c>
      <c r="E1811">
        <v>891.2</v>
      </c>
      <c r="F1811" s="4">
        <v>38325</v>
      </c>
      <c r="G1811" t="s">
        <v>93</v>
      </c>
      <c r="H1811">
        <v>2</v>
      </c>
      <c r="I1811">
        <v>4</v>
      </c>
      <c r="J1811">
        <v>2004</v>
      </c>
      <c r="K1811" t="s">
        <v>265</v>
      </c>
      <c r="L1811">
        <v>37</v>
      </c>
      <c r="M1811" t="s">
        <v>824</v>
      </c>
      <c r="N1811" t="s">
        <v>506</v>
      </c>
      <c r="O1811" t="s">
        <v>507</v>
      </c>
      <c r="P1811" t="s">
        <v>508</v>
      </c>
      <c r="R1811" t="s">
        <v>509</v>
      </c>
      <c r="T1811">
        <v>90110</v>
      </c>
      <c r="U1811" t="s">
        <v>208</v>
      </c>
      <c r="V1811" t="s">
        <v>110</v>
      </c>
      <c r="W1811" t="s">
        <v>510</v>
      </c>
      <c r="X1811" t="s">
        <v>511</v>
      </c>
      <c r="Y1811" t="s">
        <v>104</v>
      </c>
    </row>
    <row r="1812" spans="1:25">
      <c r="A1812">
        <v>10253</v>
      </c>
      <c r="B1812">
        <v>40</v>
      </c>
      <c r="C1812">
        <v>42.67</v>
      </c>
      <c r="D1812">
        <v>7</v>
      </c>
      <c r="E1812">
        <v>1706.8</v>
      </c>
      <c r="F1812" s="4">
        <v>37992</v>
      </c>
      <c r="G1812" t="s">
        <v>444</v>
      </c>
      <c r="H1812">
        <v>2</v>
      </c>
      <c r="I1812">
        <v>6</v>
      </c>
      <c r="J1812">
        <v>2004</v>
      </c>
      <c r="K1812" t="s">
        <v>265</v>
      </c>
      <c r="L1812">
        <v>37</v>
      </c>
      <c r="M1812" t="s">
        <v>824</v>
      </c>
      <c r="N1812" t="s">
        <v>247</v>
      </c>
      <c r="O1812" t="s">
        <v>248</v>
      </c>
      <c r="P1812" t="s">
        <v>249</v>
      </c>
      <c r="R1812" t="s">
        <v>250</v>
      </c>
      <c r="T1812" t="s">
        <v>251</v>
      </c>
      <c r="U1812" t="s">
        <v>252</v>
      </c>
      <c r="V1812" t="s">
        <v>110</v>
      </c>
      <c r="W1812" t="s">
        <v>253</v>
      </c>
      <c r="X1812" t="s">
        <v>254</v>
      </c>
      <c r="Y1812" t="s">
        <v>104</v>
      </c>
    </row>
    <row r="1813" spans="1:25">
      <c r="A1813">
        <v>10266</v>
      </c>
      <c r="B1813">
        <v>34</v>
      </c>
      <c r="C1813">
        <v>40.4</v>
      </c>
      <c r="D1813">
        <v>8</v>
      </c>
      <c r="E1813">
        <v>1373.6</v>
      </c>
      <c r="F1813" s="4">
        <v>38145</v>
      </c>
      <c r="G1813" t="s">
        <v>93</v>
      </c>
      <c r="H1813">
        <v>3</v>
      </c>
      <c r="I1813">
        <v>7</v>
      </c>
      <c r="J1813">
        <v>2004</v>
      </c>
      <c r="K1813" t="s">
        <v>265</v>
      </c>
      <c r="L1813">
        <v>37</v>
      </c>
      <c r="M1813" t="s">
        <v>824</v>
      </c>
      <c r="N1813" t="s">
        <v>576</v>
      </c>
      <c r="O1813" t="s">
        <v>577</v>
      </c>
      <c r="P1813" t="s">
        <v>578</v>
      </c>
      <c r="R1813" t="s">
        <v>579</v>
      </c>
      <c r="T1813">
        <v>42100</v>
      </c>
      <c r="U1813" t="s">
        <v>352</v>
      </c>
      <c r="V1813" t="s">
        <v>110</v>
      </c>
      <c r="W1813" t="s">
        <v>580</v>
      </c>
      <c r="X1813" t="s">
        <v>581</v>
      </c>
      <c r="Y1813" t="s">
        <v>104</v>
      </c>
    </row>
    <row r="1814" spans="1:25">
      <c r="A1814">
        <v>10278</v>
      </c>
      <c r="B1814">
        <v>31</v>
      </c>
      <c r="C1814">
        <v>38.89</v>
      </c>
      <c r="D1814">
        <v>8</v>
      </c>
      <c r="E1814">
        <v>1205.5899999999999</v>
      </c>
      <c r="F1814" s="4">
        <v>38146</v>
      </c>
      <c r="G1814" t="s">
        <v>93</v>
      </c>
      <c r="H1814">
        <v>3</v>
      </c>
      <c r="I1814">
        <v>8</v>
      </c>
      <c r="J1814">
        <v>2004</v>
      </c>
      <c r="K1814" t="s">
        <v>265</v>
      </c>
      <c r="L1814">
        <v>37</v>
      </c>
      <c r="M1814" t="s">
        <v>824</v>
      </c>
      <c r="N1814" t="s">
        <v>684</v>
      </c>
      <c r="O1814">
        <v>7025551838</v>
      </c>
      <c r="P1814" t="s">
        <v>685</v>
      </c>
      <c r="R1814" t="s">
        <v>686</v>
      </c>
      <c r="S1814" t="s">
        <v>687</v>
      </c>
      <c r="T1814">
        <v>83030</v>
      </c>
      <c r="U1814" t="s">
        <v>100</v>
      </c>
      <c r="V1814" t="s">
        <v>101</v>
      </c>
      <c r="W1814" t="s">
        <v>188</v>
      </c>
      <c r="X1814" t="s">
        <v>517</v>
      </c>
      <c r="Y1814" t="s">
        <v>104</v>
      </c>
    </row>
    <row r="1815" spans="1:25">
      <c r="A1815">
        <v>10287</v>
      </c>
      <c r="B1815">
        <v>36</v>
      </c>
      <c r="C1815">
        <v>39.65</v>
      </c>
      <c r="D1815">
        <v>6</v>
      </c>
      <c r="E1815">
        <v>1427.4</v>
      </c>
      <c r="F1815" t="s">
        <v>586</v>
      </c>
      <c r="G1815" t="s">
        <v>93</v>
      </c>
      <c r="H1815">
        <v>3</v>
      </c>
      <c r="I1815">
        <v>8</v>
      </c>
      <c r="J1815">
        <v>2004</v>
      </c>
      <c r="K1815" t="s">
        <v>265</v>
      </c>
      <c r="L1815">
        <v>37</v>
      </c>
      <c r="M1815" t="s">
        <v>824</v>
      </c>
      <c r="N1815" t="s">
        <v>570</v>
      </c>
      <c r="O1815" t="s">
        <v>571</v>
      </c>
      <c r="P1815" t="s">
        <v>572</v>
      </c>
      <c r="R1815" t="s">
        <v>573</v>
      </c>
      <c r="T1815">
        <v>1203</v>
      </c>
      <c r="U1815" t="s">
        <v>574</v>
      </c>
      <c r="V1815" t="s">
        <v>110</v>
      </c>
      <c r="W1815" t="s">
        <v>575</v>
      </c>
      <c r="X1815" t="s">
        <v>176</v>
      </c>
      <c r="Y1815" t="s">
        <v>104</v>
      </c>
    </row>
    <row r="1816" spans="1:25">
      <c r="A1816">
        <v>10301</v>
      </c>
      <c r="B1816">
        <v>48</v>
      </c>
      <c r="C1816">
        <v>34.36</v>
      </c>
      <c r="D1816">
        <v>10</v>
      </c>
      <c r="E1816">
        <v>1649.28</v>
      </c>
      <c r="F1816" s="4">
        <v>37751</v>
      </c>
      <c r="G1816" t="s">
        <v>93</v>
      </c>
      <c r="H1816">
        <v>4</v>
      </c>
      <c r="I1816">
        <v>10</v>
      </c>
      <c r="J1816">
        <v>2003</v>
      </c>
      <c r="K1816" t="s">
        <v>265</v>
      </c>
      <c r="L1816">
        <v>37</v>
      </c>
      <c r="M1816" t="s">
        <v>824</v>
      </c>
      <c r="N1816" t="s">
        <v>688</v>
      </c>
      <c r="O1816" t="s">
        <v>689</v>
      </c>
      <c r="P1816" t="s">
        <v>690</v>
      </c>
      <c r="R1816" t="s">
        <v>691</v>
      </c>
      <c r="T1816" t="s">
        <v>692</v>
      </c>
      <c r="U1816" t="s">
        <v>149</v>
      </c>
      <c r="V1816" t="s">
        <v>110</v>
      </c>
      <c r="W1816" t="s">
        <v>693</v>
      </c>
      <c r="X1816" t="s">
        <v>694</v>
      </c>
      <c r="Y1816" t="s">
        <v>104</v>
      </c>
    </row>
    <row r="1817" spans="1:25">
      <c r="A1817">
        <v>10310</v>
      </c>
      <c r="B1817">
        <v>33</v>
      </c>
      <c r="C1817">
        <v>41.91</v>
      </c>
      <c r="D1817">
        <v>4</v>
      </c>
      <c r="E1817">
        <v>1383.03</v>
      </c>
      <c r="F1817" t="s">
        <v>592</v>
      </c>
      <c r="G1817" t="s">
        <v>93</v>
      </c>
      <c r="H1817">
        <v>4</v>
      </c>
      <c r="I1817">
        <v>10</v>
      </c>
      <c r="J1817">
        <v>2004</v>
      </c>
      <c r="K1817" t="s">
        <v>265</v>
      </c>
      <c r="L1817">
        <v>37</v>
      </c>
      <c r="M1817" t="s">
        <v>824</v>
      </c>
      <c r="N1817" t="s">
        <v>562</v>
      </c>
      <c r="O1817" t="s">
        <v>563</v>
      </c>
      <c r="P1817" t="s">
        <v>564</v>
      </c>
      <c r="R1817" t="s">
        <v>565</v>
      </c>
      <c r="T1817">
        <v>50739</v>
      </c>
      <c r="U1817" t="s">
        <v>566</v>
      </c>
      <c r="V1817" t="s">
        <v>110</v>
      </c>
      <c r="W1817" t="s">
        <v>567</v>
      </c>
      <c r="X1817" t="s">
        <v>568</v>
      </c>
      <c r="Y1817" t="s">
        <v>104</v>
      </c>
    </row>
    <row r="1818" spans="1:25">
      <c r="A1818">
        <v>10321</v>
      </c>
      <c r="B1818">
        <v>37</v>
      </c>
      <c r="C1818">
        <v>33.229999999999997</v>
      </c>
      <c r="D1818">
        <v>12</v>
      </c>
      <c r="E1818">
        <v>1229.51</v>
      </c>
      <c r="F1818" s="4">
        <v>38088</v>
      </c>
      <c r="G1818" t="s">
        <v>93</v>
      </c>
      <c r="H1818">
        <v>4</v>
      </c>
      <c r="I1818">
        <v>11</v>
      </c>
      <c r="J1818">
        <v>2004</v>
      </c>
      <c r="K1818" t="s">
        <v>265</v>
      </c>
      <c r="L1818">
        <v>37</v>
      </c>
      <c r="M1818" t="s">
        <v>824</v>
      </c>
      <c r="N1818" t="s">
        <v>242</v>
      </c>
      <c r="O1818">
        <v>5085552555</v>
      </c>
      <c r="P1818" t="s">
        <v>243</v>
      </c>
      <c r="R1818" t="s">
        <v>244</v>
      </c>
      <c r="S1818" t="s">
        <v>200</v>
      </c>
      <c r="T1818">
        <v>50553</v>
      </c>
      <c r="U1818" t="s">
        <v>100</v>
      </c>
      <c r="V1818" t="s">
        <v>101</v>
      </c>
      <c r="W1818" t="s">
        <v>245</v>
      </c>
      <c r="X1818" t="s">
        <v>246</v>
      </c>
      <c r="Y1818" t="s">
        <v>104</v>
      </c>
    </row>
    <row r="1819" spans="1:25">
      <c r="A1819">
        <v>10331</v>
      </c>
      <c r="B1819">
        <v>27</v>
      </c>
      <c r="C1819">
        <v>42.24</v>
      </c>
      <c r="D1819">
        <v>13</v>
      </c>
      <c r="E1819">
        <v>1140.48</v>
      </c>
      <c r="F1819" t="s">
        <v>695</v>
      </c>
      <c r="G1819" t="s">
        <v>93</v>
      </c>
      <c r="H1819">
        <v>4</v>
      </c>
      <c r="I1819">
        <v>11</v>
      </c>
      <c r="J1819">
        <v>2004</v>
      </c>
      <c r="K1819" t="s">
        <v>265</v>
      </c>
      <c r="L1819">
        <v>37</v>
      </c>
      <c r="M1819" t="s">
        <v>824</v>
      </c>
      <c r="N1819" t="s">
        <v>410</v>
      </c>
      <c r="O1819">
        <v>2155559857</v>
      </c>
      <c r="P1819" t="s">
        <v>411</v>
      </c>
      <c r="R1819" t="s">
        <v>306</v>
      </c>
      <c r="S1819" t="s">
        <v>221</v>
      </c>
      <c r="T1819">
        <v>71270</v>
      </c>
      <c r="U1819" t="s">
        <v>100</v>
      </c>
      <c r="V1819" t="s">
        <v>101</v>
      </c>
      <c r="W1819" t="s">
        <v>201</v>
      </c>
      <c r="X1819" t="s">
        <v>412</v>
      </c>
      <c r="Y1819" t="s">
        <v>104</v>
      </c>
    </row>
    <row r="1820" spans="1:25">
      <c r="A1820">
        <v>10342</v>
      </c>
      <c r="B1820">
        <v>39</v>
      </c>
      <c r="C1820">
        <v>40.4</v>
      </c>
      <c r="D1820">
        <v>9</v>
      </c>
      <c r="E1820">
        <v>1575.6</v>
      </c>
      <c r="F1820" t="s">
        <v>224</v>
      </c>
      <c r="G1820" t="s">
        <v>93</v>
      </c>
      <c r="H1820">
        <v>4</v>
      </c>
      <c r="I1820">
        <v>11</v>
      </c>
      <c r="J1820">
        <v>2004</v>
      </c>
      <c r="K1820" t="s">
        <v>265</v>
      </c>
      <c r="L1820">
        <v>37</v>
      </c>
      <c r="M1820" t="s">
        <v>824</v>
      </c>
      <c r="N1820" t="s">
        <v>162</v>
      </c>
      <c r="O1820" t="s">
        <v>163</v>
      </c>
      <c r="P1820" t="s">
        <v>164</v>
      </c>
      <c r="Q1820" t="s">
        <v>165</v>
      </c>
      <c r="R1820" t="s">
        <v>166</v>
      </c>
      <c r="S1820" t="s">
        <v>167</v>
      </c>
      <c r="T1820">
        <v>3004</v>
      </c>
      <c r="U1820" t="s">
        <v>168</v>
      </c>
      <c r="V1820" t="s">
        <v>169</v>
      </c>
      <c r="W1820" t="s">
        <v>170</v>
      </c>
      <c r="X1820" t="s">
        <v>171</v>
      </c>
      <c r="Y1820" t="s">
        <v>104</v>
      </c>
    </row>
    <row r="1821" spans="1:25">
      <c r="A1821">
        <v>10355</v>
      </c>
      <c r="B1821">
        <v>36</v>
      </c>
      <c r="C1821">
        <v>38.520000000000003</v>
      </c>
      <c r="D1821">
        <v>4</v>
      </c>
      <c r="E1821">
        <v>1386.72</v>
      </c>
      <c r="F1821" s="4">
        <v>38180</v>
      </c>
      <c r="G1821" t="s">
        <v>93</v>
      </c>
      <c r="H1821">
        <v>4</v>
      </c>
      <c r="I1821">
        <v>12</v>
      </c>
      <c r="J1821">
        <v>2004</v>
      </c>
      <c r="K1821" t="s">
        <v>265</v>
      </c>
      <c r="L1821">
        <v>37</v>
      </c>
      <c r="M1821" t="s">
        <v>824</v>
      </c>
      <c r="N1821" t="s">
        <v>257</v>
      </c>
      <c r="O1821" t="s">
        <v>258</v>
      </c>
      <c r="P1821" t="s">
        <v>259</v>
      </c>
      <c r="R1821" t="s">
        <v>260</v>
      </c>
      <c r="T1821">
        <v>28034</v>
      </c>
      <c r="U1821" t="s">
        <v>261</v>
      </c>
      <c r="V1821" t="s">
        <v>110</v>
      </c>
      <c r="W1821" t="s">
        <v>262</v>
      </c>
      <c r="X1821" t="s">
        <v>263</v>
      </c>
      <c r="Y1821" t="s">
        <v>104</v>
      </c>
    </row>
    <row r="1822" spans="1:25">
      <c r="A1822">
        <v>10367</v>
      </c>
      <c r="B1822">
        <v>36</v>
      </c>
      <c r="C1822">
        <v>100</v>
      </c>
      <c r="D1822">
        <v>2</v>
      </c>
      <c r="E1822">
        <v>5018.3999999999996</v>
      </c>
      <c r="F1822" s="4">
        <v>38687</v>
      </c>
      <c r="G1822" t="s">
        <v>526</v>
      </c>
      <c r="H1822">
        <v>1</v>
      </c>
      <c r="I1822">
        <v>1</v>
      </c>
      <c r="J1822">
        <v>2005</v>
      </c>
      <c r="K1822" t="s">
        <v>265</v>
      </c>
      <c r="L1822">
        <v>37</v>
      </c>
      <c r="M1822" t="s">
        <v>824</v>
      </c>
      <c r="N1822" t="s">
        <v>121</v>
      </c>
      <c r="O1822">
        <v>6265557265</v>
      </c>
      <c r="P1822" t="s">
        <v>122</v>
      </c>
      <c r="R1822" t="s">
        <v>123</v>
      </c>
      <c r="S1822" t="s">
        <v>124</v>
      </c>
      <c r="T1822">
        <v>90003</v>
      </c>
      <c r="U1822" t="s">
        <v>100</v>
      </c>
      <c r="V1822" t="s">
        <v>101</v>
      </c>
      <c r="W1822" t="s">
        <v>125</v>
      </c>
      <c r="X1822" t="s">
        <v>126</v>
      </c>
      <c r="Y1822" t="s">
        <v>119</v>
      </c>
    </row>
    <row r="1823" spans="1:25">
      <c r="A1823">
        <v>10378</v>
      </c>
      <c r="B1823">
        <v>41</v>
      </c>
      <c r="C1823">
        <v>100</v>
      </c>
      <c r="D1823">
        <v>7</v>
      </c>
      <c r="E1823">
        <v>5856.85</v>
      </c>
      <c r="F1823" s="4">
        <v>38627</v>
      </c>
      <c r="G1823" t="s">
        <v>93</v>
      </c>
      <c r="H1823">
        <v>1</v>
      </c>
      <c r="I1823">
        <v>2</v>
      </c>
      <c r="J1823">
        <v>2005</v>
      </c>
      <c r="K1823" t="s">
        <v>265</v>
      </c>
      <c r="L1823">
        <v>37</v>
      </c>
      <c r="M1823" t="s">
        <v>824</v>
      </c>
      <c r="N1823" t="s">
        <v>257</v>
      </c>
      <c r="O1823" t="s">
        <v>258</v>
      </c>
      <c r="P1823" t="s">
        <v>259</v>
      </c>
      <c r="R1823" t="s">
        <v>260</v>
      </c>
      <c r="T1823">
        <v>28034</v>
      </c>
      <c r="U1823" t="s">
        <v>261</v>
      </c>
      <c r="V1823" t="s">
        <v>110</v>
      </c>
      <c r="W1823" t="s">
        <v>262</v>
      </c>
      <c r="X1823" t="s">
        <v>263</v>
      </c>
      <c r="Y1823" t="s">
        <v>119</v>
      </c>
    </row>
    <row r="1824" spans="1:25">
      <c r="A1824">
        <v>10390</v>
      </c>
      <c r="B1824">
        <v>37</v>
      </c>
      <c r="C1824">
        <v>100</v>
      </c>
      <c r="D1824">
        <v>5</v>
      </c>
      <c r="E1824">
        <v>4894.7299999999996</v>
      </c>
      <c r="F1824" s="4">
        <v>38445</v>
      </c>
      <c r="G1824" t="s">
        <v>93</v>
      </c>
      <c r="H1824">
        <v>1</v>
      </c>
      <c r="I1824">
        <v>3</v>
      </c>
      <c r="J1824">
        <v>2005</v>
      </c>
      <c r="K1824" t="s">
        <v>265</v>
      </c>
      <c r="L1824">
        <v>37</v>
      </c>
      <c r="M1824" t="s">
        <v>824</v>
      </c>
      <c r="N1824" t="s">
        <v>367</v>
      </c>
      <c r="O1824">
        <v>4155551450</v>
      </c>
      <c r="P1824" t="s">
        <v>368</v>
      </c>
      <c r="R1824" t="s">
        <v>369</v>
      </c>
      <c r="S1824" t="s">
        <v>124</v>
      </c>
      <c r="T1824">
        <v>97562</v>
      </c>
      <c r="U1824" t="s">
        <v>100</v>
      </c>
      <c r="V1824" t="s">
        <v>101</v>
      </c>
      <c r="W1824" t="s">
        <v>370</v>
      </c>
      <c r="X1824" t="s">
        <v>371</v>
      </c>
      <c r="Y1824" t="s">
        <v>119</v>
      </c>
    </row>
    <row r="1825" spans="1:25">
      <c r="A1825">
        <v>10405</v>
      </c>
      <c r="B1825">
        <v>47</v>
      </c>
      <c r="C1825">
        <v>44.56</v>
      </c>
      <c r="D1825">
        <v>2</v>
      </c>
      <c r="E1825">
        <v>2094.3200000000002</v>
      </c>
      <c r="F1825" t="s">
        <v>673</v>
      </c>
      <c r="G1825" t="s">
        <v>93</v>
      </c>
      <c r="H1825">
        <v>2</v>
      </c>
      <c r="I1825">
        <v>4</v>
      </c>
      <c r="J1825">
        <v>2005</v>
      </c>
      <c r="K1825" t="s">
        <v>265</v>
      </c>
      <c r="L1825">
        <v>37</v>
      </c>
      <c r="M1825" t="s">
        <v>824</v>
      </c>
      <c r="N1825" t="s">
        <v>674</v>
      </c>
      <c r="O1825" t="s">
        <v>675</v>
      </c>
      <c r="P1825" t="s">
        <v>676</v>
      </c>
      <c r="R1825" t="s">
        <v>677</v>
      </c>
      <c r="T1825">
        <v>67000</v>
      </c>
      <c r="U1825" t="s">
        <v>109</v>
      </c>
      <c r="V1825" t="s">
        <v>110</v>
      </c>
      <c r="W1825" t="s">
        <v>678</v>
      </c>
      <c r="X1825" t="s">
        <v>679</v>
      </c>
      <c r="Y1825" t="s">
        <v>104</v>
      </c>
    </row>
    <row r="1826" spans="1:25">
      <c r="A1826">
        <v>10419</v>
      </c>
      <c r="B1826">
        <v>15</v>
      </c>
      <c r="C1826">
        <v>42.67</v>
      </c>
      <c r="D1826">
        <v>7</v>
      </c>
      <c r="E1826">
        <v>640.04999999999995</v>
      </c>
      <c r="F1826" t="s">
        <v>600</v>
      </c>
      <c r="G1826" t="s">
        <v>93</v>
      </c>
      <c r="H1826">
        <v>2</v>
      </c>
      <c r="I1826">
        <v>5</v>
      </c>
      <c r="J1826">
        <v>2005</v>
      </c>
      <c r="K1826" t="s">
        <v>265</v>
      </c>
      <c r="L1826">
        <v>37</v>
      </c>
      <c r="M1826" t="s">
        <v>824</v>
      </c>
      <c r="N1826" t="s">
        <v>225</v>
      </c>
      <c r="O1826" t="s">
        <v>226</v>
      </c>
      <c r="P1826" t="s">
        <v>227</v>
      </c>
      <c r="R1826" t="s">
        <v>228</v>
      </c>
      <c r="T1826">
        <v>5020</v>
      </c>
      <c r="U1826" t="s">
        <v>229</v>
      </c>
      <c r="V1826" t="s">
        <v>110</v>
      </c>
      <c r="W1826" t="s">
        <v>230</v>
      </c>
      <c r="X1826" t="s">
        <v>231</v>
      </c>
      <c r="Y1826" t="s">
        <v>104</v>
      </c>
    </row>
    <row r="1827" spans="1:25">
      <c r="A1827">
        <v>10105</v>
      </c>
      <c r="B1827">
        <v>44</v>
      </c>
      <c r="C1827">
        <v>72.58</v>
      </c>
      <c r="D1827">
        <v>4</v>
      </c>
      <c r="E1827">
        <v>3193.52</v>
      </c>
      <c r="F1827" s="4">
        <v>37927</v>
      </c>
      <c r="G1827" t="s">
        <v>93</v>
      </c>
      <c r="H1827">
        <v>1</v>
      </c>
      <c r="I1827">
        <v>2</v>
      </c>
      <c r="J1827">
        <v>2003</v>
      </c>
      <c r="K1827" t="s">
        <v>697</v>
      </c>
      <c r="L1827">
        <v>88</v>
      </c>
      <c r="M1827" t="s">
        <v>825</v>
      </c>
      <c r="N1827" t="s">
        <v>425</v>
      </c>
      <c r="O1827" t="s">
        <v>426</v>
      </c>
      <c r="P1827" t="s">
        <v>427</v>
      </c>
      <c r="R1827" t="s">
        <v>428</v>
      </c>
      <c r="T1827">
        <v>1734</v>
      </c>
      <c r="U1827" t="s">
        <v>429</v>
      </c>
      <c r="V1827" t="s">
        <v>110</v>
      </c>
      <c r="W1827" t="s">
        <v>430</v>
      </c>
      <c r="X1827" t="s">
        <v>431</v>
      </c>
      <c r="Y1827" t="s">
        <v>119</v>
      </c>
    </row>
    <row r="1828" spans="1:25">
      <c r="A1828">
        <v>10119</v>
      </c>
      <c r="B1828">
        <v>35</v>
      </c>
      <c r="C1828">
        <v>87.62</v>
      </c>
      <c r="D1828">
        <v>13</v>
      </c>
      <c r="E1828">
        <v>3066.7</v>
      </c>
      <c r="F1828" t="s">
        <v>432</v>
      </c>
      <c r="G1828" t="s">
        <v>93</v>
      </c>
      <c r="H1828">
        <v>2</v>
      </c>
      <c r="I1828">
        <v>4</v>
      </c>
      <c r="J1828">
        <v>2003</v>
      </c>
      <c r="K1828" t="s">
        <v>697</v>
      </c>
      <c r="L1828">
        <v>88</v>
      </c>
      <c r="M1828" t="s">
        <v>825</v>
      </c>
      <c r="N1828" t="s">
        <v>225</v>
      </c>
      <c r="O1828" t="s">
        <v>226</v>
      </c>
      <c r="P1828" t="s">
        <v>227</v>
      </c>
      <c r="R1828" t="s">
        <v>228</v>
      </c>
      <c r="T1828">
        <v>5020</v>
      </c>
      <c r="U1828" t="s">
        <v>229</v>
      </c>
      <c r="V1828" t="s">
        <v>110</v>
      </c>
      <c r="W1828" t="s">
        <v>230</v>
      </c>
      <c r="X1828" t="s">
        <v>231</v>
      </c>
      <c r="Y1828" t="s">
        <v>119</v>
      </c>
    </row>
    <row r="1829" spans="1:25">
      <c r="A1829">
        <v>10129</v>
      </c>
      <c r="B1829">
        <v>41</v>
      </c>
      <c r="C1829">
        <v>94.71</v>
      </c>
      <c r="D1829">
        <v>4</v>
      </c>
      <c r="E1829">
        <v>3883.11</v>
      </c>
      <c r="F1829" s="4">
        <v>37961</v>
      </c>
      <c r="G1829" t="s">
        <v>93</v>
      </c>
      <c r="H1829">
        <v>2</v>
      </c>
      <c r="I1829">
        <v>6</v>
      </c>
      <c r="J1829">
        <v>2003</v>
      </c>
      <c r="K1829" t="s">
        <v>697</v>
      </c>
      <c r="L1829">
        <v>88</v>
      </c>
      <c r="M1829" t="s">
        <v>825</v>
      </c>
      <c r="N1829" t="s">
        <v>433</v>
      </c>
      <c r="O1829" t="s">
        <v>434</v>
      </c>
      <c r="P1829" t="s">
        <v>435</v>
      </c>
      <c r="R1829" t="s">
        <v>436</v>
      </c>
      <c r="T1829" t="s">
        <v>437</v>
      </c>
      <c r="U1829" t="s">
        <v>252</v>
      </c>
      <c r="V1829" t="s">
        <v>110</v>
      </c>
      <c r="W1829" t="s">
        <v>130</v>
      </c>
      <c r="X1829" t="s">
        <v>438</v>
      </c>
      <c r="Y1829" t="s">
        <v>119</v>
      </c>
    </row>
    <row r="1830" spans="1:25">
      <c r="A1830">
        <v>10142</v>
      </c>
      <c r="B1830">
        <v>49</v>
      </c>
      <c r="C1830">
        <v>98.25</v>
      </c>
      <c r="D1830">
        <v>1</v>
      </c>
      <c r="E1830">
        <v>4814.25</v>
      </c>
      <c r="F1830" s="4">
        <v>37841</v>
      </c>
      <c r="G1830" t="s">
        <v>93</v>
      </c>
      <c r="H1830">
        <v>3</v>
      </c>
      <c r="I1830">
        <v>8</v>
      </c>
      <c r="J1830">
        <v>2003</v>
      </c>
      <c r="K1830" t="s">
        <v>697</v>
      </c>
      <c r="L1830">
        <v>88</v>
      </c>
      <c r="M1830" t="s">
        <v>825</v>
      </c>
      <c r="N1830" t="s">
        <v>367</v>
      </c>
      <c r="O1830">
        <v>4155551450</v>
      </c>
      <c r="P1830" t="s">
        <v>368</v>
      </c>
      <c r="R1830" t="s">
        <v>369</v>
      </c>
      <c r="S1830" t="s">
        <v>124</v>
      </c>
      <c r="T1830">
        <v>97562</v>
      </c>
      <c r="U1830" t="s">
        <v>100</v>
      </c>
      <c r="V1830" t="s">
        <v>101</v>
      </c>
      <c r="W1830" t="s">
        <v>370</v>
      </c>
      <c r="X1830" t="s">
        <v>371</v>
      </c>
      <c r="Y1830" t="s">
        <v>119</v>
      </c>
    </row>
    <row r="1831" spans="1:25">
      <c r="A1831">
        <v>10154</v>
      </c>
      <c r="B1831">
        <v>31</v>
      </c>
      <c r="C1831">
        <v>91.17</v>
      </c>
      <c r="D1831">
        <v>2</v>
      </c>
      <c r="E1831">
        <v>2826.27</v>
      </c>
      <c r="F1831" s="4">
        <v>37662</v>
      </c>
      <c r="G1831" t="s">
        <v>93</v>
      </c>
      <c r="H1831">
        <v>4</v>
      </c>
      <c r="I1831">
        <v>10</v>
      </c>
      <c r="J1831">
        <v>2003</v>
      </c>
      <c r="K1831" t="s">
        <v>697</v>
      </c>
      <c r="L1831">
        <v>88</v>
      </c>
      <c r="M1831" t="s">
        <v>825</v>
      </c>
      <c r="N1831" t="s">
        <v>654</v>
      </c>
      <c r="O1831">
        <v>3105552373</v>
      </c>
      <c r="P1831" t="s">
        <v>655</v>
      </c>
      <c r="R1831" t="s">
        <v>656</v>
      </c>
      <c r="S1831" t="s">
        <v>124</v>
      </c>
      <c r="T1831">
        <v>92561</v>
      </c>
      <c r="U1831" t="s">
        <v>100</v>
      </c>
      <c r="V1831" t="s">
        <v>101</v>
      </c>
      <c r="W1831" t="s">
        <v>125</v>
      </c>
      <c r="X1831" t="s">
        <v>336</v>
      </c>
      <c r="Y1831" t="s">
        <v>104</v>
      </c>
    </row>
    <row r="1832" spans="1:25">
      <c r="A1832">
        <v>10167</v>
      </c>
      <c r="B1832">
        <v>20</v>
      </c>
      <c r="C1832">
        <v>79.66</v>
      </c>
      <c r="D1832">
        <v>11</v>
      </c>
      <c r="E1832">
        <v>1593.2</v>
      </c>
      <c r="F1832" t="s">
        <v>443</v>
      </c>
      <c r="G1832" t="s">
        <v>444</v>
      </c>
      <c r="H1832">
        <v>4</v>
      </c>
      <c r="I1832">
        <v>10</v>
      </c>
      <c r="J1832">
        <v>2003</v>
      </c>
      <c r="K1832" t="s">
        <v>697</v>
      </c>
      <c r="L1832">
        <v>88</v>
      </c>
      <c r="M1832" t="s">
        <v>825</v>
      </c>
      <c r="N1832" t="s">
        <v>355</v>
      </c>
      <c r="O1832" t="s">
        <v>356</v>
      </c>
      <c r="P1832" t="s">
        <v>357</v>
      </c>
      <c r="R1832" t="s">
        <v>358</v>
      </c>
      <c r="T1832" t="s">
        <v>359</v>
      </c>
      <c r="U1832" t="s">
        <v>273</v>
      </c>
      <c r="V1832" t="s">
        <v>110</v>
      </c>
      <c r="W1832" t="s">
        <v>360</v>
      </c>
      <c r="X1832" t="s">
        <v>295</v>
      </c>
      <c r="Y1832" t="s">
        <v>104</v>
      </c>
    </row>
    <row r="1833" spans="1:25">
      <c r="A1833">
        <v>10177</v>
      </c>
      <c r="B1833">
        <v>45</v>
      </c>
      <c r="C1833">
        <v>72.58</v>
      </c>
      <c r="D1833">
        <v>2</v>
      </c>
      <c r="E1833">
        <v>3266.1</v>
      </c>
      <c r="F1833" s="4">
        <v>37813</v>
      </c>
      <c r="G1833" t="s">
        <v>93</v>
      </c>
      <c r="H1833">
        <v>4</v>
      </c>
      <c r="I1833">
        <v>11</v>
      </c>
      <c r="J1833">
        <v>2003</v>
      </c>
      <c r="K1833" t="s">
        <v>697</v>
      </c>
      <c r="L1833">
        <v>88</v>
      </c>
      <c r="M1833" t="s">
        <v>825</v>
      </c>
      <c r="N1833" t="s">
        <v>618</v>
      </c>
      <c r="O1833" t="s">
        <v>619</v>
      </c>
      <c r="P1833" t="s">
        <v>620</v>
      </c>
      <c r="R1833" t="s">
        <v>260</v>
      </c>
      <c r="T1833">
        <v>28023</v>
      </c>
      <c r="U1833" t="s">
        <v>261</v>
      </c>
      <c r="V1833" t="s">
        <v>110</v>
      </c>
      <c r="W1833" t="s">
        <v>621</v>
      </c>
      <c r="X1833" t="s">
        <v>622</v>
      </c>
      <c r="Y1833" t="s">
        <v>119</v>
      </c>
    </row>
    <row r="1834" spans="1:25">
      <c r="A1834">
        <v>10185</v>
      </c>
      <c r="B1834">
        <v>33</v>
      </c>
      <c r="C1834">
        <v>74.349999999999994</v>
      </c>
      <c r="D1834">
        <v>2</v>
      </c>
      <c r="E1834">
        <v>2453.5500000000002</v>
      </c>
      <c r="F1834" t="s">
        <v>451</v>
      </c>
      <c r="G1834" t="s">
        <v>93</v>
      </c>
      <c r="H1834">
        <v>4</v>
      </c>
      <c r="I1834">
        <v>11</v>
      </c>
      <c r="J1834">
        <v>2003</v>
      </c>
      <c r="K1834" t="s">
        <v>697</v>
      </c>
      <c r="L1834">
        <v>88</v>
      </c>
      <c r="M1834" t="s">
        <v>825</v>
      </c>
      <c r="N1834" t="s">
        <v>439</v>
      </c>
      <c r="O1834">
        <v>5085559555</v>
      </c>
      <c r="P1834" t="s">
        <v>440</v>
      </c>
      <c r="R1834" t="s">
        <v>244</v>
      </c>
      <c r="S1834" t="s">
        <v>200</v>
      </c>
      <c r="T1834">
        <v>50553</v>
      </c>
      <c r="U1834" t="s">
        <v>100</v>
      </c>
      <c r="V1834" t="s">
        <v>101</v>
      </c>
      <c r="W1834" t="s">
        <v>441</v>
      </c>
      <c r="X1834" t="s">
        <v>442</v>
      </c>
      <c r="Y1834" t="s">
        <v>104</v>
      </c>
    </row>
    <row r="1835" spans="1:25">
      <c r="A1835">
        <v>10197</v>
      </c>
      <c r="B1835">
        <v>47</v>
      </c>
      <c r="C1835">
        <v>83.2</v>
      </c>
      <c r="D1835">
        <v>8</v>
      </c>
      <c r="E1835">
        <v>3910.4</v>
      </c>
      <c r="F1835" t="s">
        <v>458</v>
      </c>
      <c r="G1835" t="s">
        <v>93</v>
      </c>
      <c r="H1835">
        <v>4</v>
      </c>
      <c r="I1835">
        <v>11</v>
      </c>
      <c r="J1835">
        <v>2003</v>
      </c>
      <c r="K1835" t="s">
        <v>697</v>
      </c>
      <c r="L1835">
        <v>88</v>
      </c>
      <c r="M1835" t="s">
        <v>825</v>
      </c>
      <c r="N1835" t="s">
        <v>459</v>
      </c>
      <c r="O1835" t="s">
        <v>460</v>
      </c>
      <c r="P1835" t="s">
        <v>461</v>
      </c>
      <c r="R1835" t="s">
        <v>462</v>
      </c>
      <c r="T1835">
        <v>8022</v>
      </c>
      <c r="U1835" t="s">
        <v>261</v>
      </c>
      <c r="V1835" t="s">
        <v>110</v>
      </c>
      <c r="W1835" t="s">
        <v>463</v>
      </c>
      <c r="X1835" t="s">
        <v>464</v>
      </c>
      <c r="Y1835" t="s">
        <v>119</v>
      </c>
    </row>
    <row r="1836" spans="1:25">
      <c r="A1836">
        <v>10208</v>
      </c>
      <c r="B1836">
        <v>20</v>
      </c>
      <c r="C1836">
        <v>89.4</v>
      </c>
      <c r="D1836">
        <v>2</v>
      </c>
      <c r="E1836">
        <v>1788</v>
      </c>
      <c r="F1836" s="4">
        <v>38018</v>
      </c>
      <c r="G1836" t="s">
        <v>93</v>
      </c>
      <c r="H1836">
        <v>1</v>
      </c>
      <c r="I1836">
        <v>1</v>
      </c>
      <c r="J1836">
        <v>2004</v>
      </c>
      <c r="K1836" t="s">
        <v>697</v>
      </c>
      <c r="L1836">
        <v>88</v>
      </c>
      <c r="M1836" t="s">
        <v>825</v>
      </c>
      <c r="N1836" t="s">
        <v>310</v>
      </c>
      <c r="O1836" t="s">
        <v>311</v>
      </c>
      <c r="P1836" t="s">
        <v>312</v>
      </c>
      <c r="R1836" t="s">
        <v>313</v>
      </c>
      <c r="T1836">
        <v>69004</v>
      </c>
      <c r="U1836" t="s">
        <v>109</v>
      </c>
      <c r="V1836" t="s">
        <v>110</v>
      </c>
      <c r="W1836" t="s">
        <v>314</v>
      </c>
      <c r="X1836" t="s">
        <v>315</v>
      </c>
      <c r="Y1836" t="s">
        <v>104</v>
      </c>
    </row>
    <row r="1837" spans="1:25">
      <c r="A1837">
        <v>10222</v>
      </c>
      <c r="B1837">
        <v>47</v>
      </c>
      <c r="C1837">
        <v>70.81</v>
      </c>
      <c r="D1837">
        <v>14</v>
      </c>
      <c r="E1837">
        <v>3328.07</v>
      </c>
      <c r="F1837" t="s">
        <v>469</v>
      </c>
      <c r="G1837" t="s">
        <v>93</v>
      </c>
      <c r="H1837">
        <v>1</v>
      </c>
      <c r="I1837">
        <v>2</v>
      </c>
      <c r="J1837">
        <v>2004</v>
      </c>
      <c r="K1837" t="s">
        <v>697</v>
      </c>
      <c r="L1837">
        <v>88</v>
      </c>
      <c r="M1837" t="s">
        <v>825</v>
      </c>
      <c r="N1837" t="s">
        <v>470</v>
      </c>
      <c r="O1837">
        <v>7605558146</v>
      </c>
      <c r="P1837" t="s">
        <v>471</v>
      </c>
      <c r="R1837" t="s">
        <v>472</v>
      </c>
      <c r="S1837" t="s">
        <v>124</v>
      </c>
      <c r="T1837">
        <v>91217</v>
      </c>
      <c r="U1837" t="s">
        <v>100</v>
      </c>
      <c r="V1837" t="s">
        <v>101</v>
      </c>
      <c r="W1837" t="s">
        <v>6</v>
      </c>
      <c r="X1837" t="s">
        <v>371</v>
      </c>
      <c r="Y1837" t="s">
        <v>119</v>
      </c>
    </row>
    <row r="1838" spans="1:25">
      <c r="A1838">
        <v>10233</v>
      </c>
      <c r="B1838">
        <v>40</v>
      </c>
      <c r="C1838">
        <v>94.71</v>
      </c>
      <c r="D1838">
        <v>2</v>
      </c>
      <c r="E1838">
        <v>3788.4</v>
      </c>
      <c r="F1838" t="s">
        <v>826</v>
      </c>
      <c r="G1838" t="s">
        <v>93</v>
      </c>
      <c r="H1838">
        <v>1</v>
      </c>
      <c r="I1838">
        <v>3</v>
      </c>
      <c r="J1838">
        <v>2004</v>
      </c>
      <c r="K1838" t="s">
        <v>697</v>
      </c>
      <c r="L1838">
        <v>88</v>
      </c>
      <c r="M1838" t="s">
        <v>825</v>
      </c>
      <c r="N1838" t="s">
        <v>178</v>
      </c>
      <c r="O1838">
        <v>2015559350</v>
      </c>
      <c r="P1838" t="s">
        <v>179</v>
      </c>
      <c r="R1838" t="s">
        <v>180</v>
      </c>
      <c r="S1838" t="s">
        <v>181</v>
      </c>
      <c r="T1838">
        <v>94019</v>
      </c>
      <c r="U1838" t="s">
        <v>100</v>
      </c>
      <c r="V1838" t="s">
        <v>101</v>
      </c>
      <c r="W1838" t="s">
        <v>130</v>
      </c>
      <c r="X1838" t="s">
        <v>182</v>
      </c>
      <c r="Y1838" t="s">
        <v>119</v>
      </c>
    </row>
    <row r="1839" spans="1:25">
      <c r="A1839">
        <v>10248</v>
      </c>
      <c r="B1839">
        <v>30</v>
      </c>
      <c r="C1839">
        <v>100</v>
      </c>
      <c r="D1839">
        <v>5</v>
      </c>
      <c r="E1839">
        <v>3053.7</v>
      </c>
      <c r="F1839" s="4">
        <v>38173</v>
      </c>
      <c r="G1839" t="s">
        <v>444</v>
      </c>
      <c r="H1839">
        <v>2</v>
      </c>
      <c r="I1839">
        <v>5</v>
      </c>
      <c r="J1839">
        <v>2004</v>
      </c>
      <c r="K1839" t="s">
        <v>697</v>
      </c>
      <c r="L1839">
        <v>88</v>
      </c>
      <c r="M1839" t="s">
        <v>825</v>
      </c>
      <c r="N1839" t="s">
        <v>96</v>
      </c>
      <c r="O1839">
        <v>2125557818</v>
      </c>
      <c r="P1839" t="s">
        <v>97</v>
      </c>
      <c r="R1839" t="s">
        <v>98</v>
      </c>
      <c r="S1839" t="s">
        <v>99</v>
      </c>
      <c r="T1839">
        <v>10022</v>
      </c>
      <c r="U1839" t="s">
        <v>100</v>
      </c>
      <c r="V1839" t="s">
        <v>101</v>
      </c>
      <c r="W1839" t="s">
        <v>102</v>
      </c>
      <c r="X1839" t="s">
        <v>103</v>
      </c>
      <c r="Y1839" t="s">
        <v>119</v>
      </c>
    </row>
    <row r="1840" spans="1:25">
      <c r="A1840">
        <v>10261</v>
      </c>
      <c r="B1840">
        <v>22</v>
      </c>
      <c r="C1840">
        <v>91.17</v>
      </c>
      <c r="D1840">
        <v>3</v>
      </c>
      <c r="E1840">
        <v>2005.74</v>
      </c>
      <c r="F1840" t="s">
        <v>473</v>
      </c>
      <c r="G1840" t="s">
        <v>93</v>
      </c>
      <c r="H1840">
        <v>2</v>
      </c>
      <c r="I1840">
        <v>6</v>
      </c>
      <c r="J1840">
        <v>2004</v>
      </c>
      <c r="K1840" t="s">
        <v>697</v>
      </c>
      <c r="L1840">
        <v>88</v>
      </c>
      <c r="M1840" t="s">
        <v>825</v>
      </c>
      <c r="N1840" t="s">
        <v>391</v>
      </c>
      <c r="O1840" t="s">
        <v>392</v>
      </c>
      <c r="P1840" t="s">
        <v>393</v>
      </c>
      <c r="R1840" t="s">
        <v>394</v>
      </c>
      <c r="S1840" t="s">
        <v>395</v>
      </c>
      <c r="T1840" t="s">
        <v>396</v>
      </c>
      <c r="U1840" t="s">
        <v>322</v>
      </c>
      <c r="V1840" t="s">
        <v>101</v>
      </c>
      <c r="W1840" t="s">
        <v>397</v>
      </c>
      <c r="X1840" t="s">
        <v>398</v>
      </c>
      <c r="Y1840" t="s">
        <v>104</v>
      </c>
    </row>
    <row r="1841" spans="1:25">
      <c r="A1841">
        <v>10273</v>
      </c>
      <c r="B1841">
        <v>27</v>
      </c>
      <c r="C1841">
        <v>100</v>
      </c>
      <c r="D1841">
        <v>6</v>
      </c>
      <c r="E1841">
        <v>2796.12</v>
      </c>
      <c r="F1841" t="s">
        <v>474</v>
      </c>
      <c r="G1841" t="s">
        <v>93</v>
      </c>
      <c r="H1841">
        <v>3</v>
      </c>
      <c r="I1841">
        <v>7</v>
      </c>
      <c r="J1841">
        <v>2004</v>
      </c>
      <c r="K1841" t="s">
        <v>697</v>
      </c>
      <c r="L1841">
        <v>88</v>
      </c>
      <c r="M1841" t="s">
        <v>825</v>
      </c>
      <c r="N1841" t="s">
        <v>475</v>
      </c>
      <c r="O1841" t="s">
        <v>476</v>
      </c>
      <c r="P1841" t="s">
        <v>477</v>
      </c>
      <c r="R1841" t="s">
        <v>478</v>
      </c>
      <c r="T1841" t="s">
        <v>479</v>
      </c>
      <c r="U1841" t="s">
        <v>480</v>
      </c>
      <c r="V1841" t="s">
        <v>110</v>
      </c>
      <c r="W1841" t="s">
        <v>481</v>
      </c>
      <c r="X1841" t="s">
        <v>482</v>
      </c>
      <c r="Y1841" t="s">
        <v>104</v>
      </c>
    </row>
    <row r="1842" spans="1:25">
      <c r="A1842">
        <v>10283</v>
      </c>
      <c r="B1842">
        <v>34</v>
      </c>
      <c r="C1842">
        <v>92.94</v>
      </c>
      <c r="D1842">
        <v>8</v>
      </c>
      <c r="E1842">
        <v>3159.96</v>
      </c>
      <c r="F1842" t="s">
        <v>483</v>
      </c>
      <c r="G1842" t="s">
        <v>93</v>
      </c>
      <c r="H1842">
        <v>3</v>
      </c>
      <c r="I1842">
        <v>8</v>
      </c>
      <c r="J1842">
        <v>2004</v>
      </c>
      <c r="K1842" t="s">
        <v>697</v>
      </c>
      <c r="L1842">
        <v>88</v>
      </c>
      <c r="M1842" t="s">
        <v>825</v>
      </c>
      <c r="N1842" t="s">
        <v>484</v>
      </c>
      <c r="O1842" t="s">
        <v>485</v>
      </c>
      <c r="P1842" t="s">
        <v>486</v>
      </c>
      <c r="R1842" t="s">
        <v>487</v>
      </c>
      <c r="S1842" t="s">
        <v>320</v>
      </c>
      <c r="T1842" t="s">
        <v>488</v>
      </c>
      <c r="U1842" t="s">
        <v>322</v>
      </c>
      <c r="V1842" t="s">
        <v>101</v>
      </c>
      <c r="W1842" t="s">
        <v>489</v>
      </c>
      <c r="X1842" t="s">
        <v>254</v>
      </c>
      <c r="Y1842" t="s">
        <v>119</v>
      </c>
    </row>
    <row r="1843" spans="1:25">
      <c r="A1843">
        <v>10295</v>
      </c>
      <c r="B1843">
        <v>46</v>
      </c>
      <c r="C1843">
        <v>84.97</v>
      </c>
      <c r="D1843">
        <v>3</v>
      </c>
      <c r="E1843">
        <v>3908.62</v>
      </c>
      <c r="F1843" s="4">
        <v>38269</v>
      </c>
      <c r="G1843" t="s">
        <v>93</v>
      </c>
      <c r="H1843">
        <v>3</v>
      </c>
      <c r="I1843">
        <v>9</v>
      </c>
      <c r="J1843">
        <v>2004</v>
      </c>
      <c r="K1843" t="s">
        <v>697</v>
      </c>
      <c r="L1843">
        <v>88</v>
      </c>
      <c r="M1843" t="s">
        <v>825</v>
      </c>
      <c r="N1843" t="s">
        <v>490</v>
      </c>
      <c r="O1843">
        <v>6175559555</v>
      </c>
      <c r="P1843" t="s">
        <v>491</v>
      </c>
      <c r="R1843" t="s">
        <v>492</v>
      </c>
      <c r="S1843" t="s">
        <v>200</v>
      </c>
      <c r="T1843">
        <v>51003</v>
      </c>
      <c r="U1843" t="s">
        <v>100</v>
      </c>
      <c r="V1843" t="s">
        <v>101</v>
      </c>
      <c r="W1843" t="s">
        <v>493</v>
      </c>
      <c r="X1843" t="s">
        <v>136</v>
      </c>
      <c r="Y1843" t="s">
        <v>119</v>
      </c>
    </row>
    <row r="1844" spans="1:25">
      <c r="A1844">
        <v>10306</v>
      </c>
      <c r="B1844">
        <v>31</v>
      </c>
      <c r="C1844">
        <v>84.08</v>
      </c>
      <c r="D1844">
        <v>2</v>
      </c>
      <c r="E1844">
        <v>2606.48</v>
      </c>
      <c r="F1844" t="s">
        <v>494</v>
      </c>
      <c r="G1844" t="s">
        <v>93</v>
      </c>
      <c r="H1844">
        <v>4</v>
      </c>
      <c r="I1844">
        <v>10</v>
      </c>
      <c r="J1844">
        <v>2004</v>
      </c>
      <c r="K1844" t="s">
        <v>697</v>
      </c>
      <c r="L1844">
        <v>88</v>
      </c>
      <c r="M1844" t="s">
        <v>825</v>
      </c>
      <c r="N1844" t="s">
        <v>624</v>
      </c>
      <c r="O1844" t="s">
        <v>625</v>
      </c>
      <c r="P1844" t="s">
        <v>626</v>
      </c>
      <c r="R1844" t="s">
        <v>627</v>
      </c>
      <c r="T1844" t="s">
        <v>628</v>
      </c>
      <c r="U1844" t="s">
        <v>252</v>
      </c>
      <c r="V1844" t="s">
        <v>110</v>
      </c>
      <c r="W1844" t="s">
        <v>629</v>
      </c>
      <c r="X1844" t="s">
        <v>167</v>
      </c>
      <c r="Y1844" t="s">
        <v>104</v>
      </c>
    </row>
    <row r="1845" spans="1:25">
      <c r="A1845">
        <v>10315</v>
      </c>
      <c r="B1845">
        <v>24</v>
      </c>
      <c r="C1845">
        <v>86.74</v>
      </c>
      <c r="D1845">
        <v>1</v>
      </c>
      <c r="E1845">
        <v>2081.7600000000002</v>
      </c>
      <c r="F1845" t="s">
        <v>802</v>
      </c>
      <c r="G1845" t="s">
        <v>93</v>
      </c>
      <c r="H1845">
        <v>4</v>
      </c>
      <c r="I1845">
        <v>10</v>
      </c>
      <c r="J1845">
        <v>2004</v>
      </c>
      <c r="K1845" t="s">
        <v>697</v>
      </c>
      <c r="L1845">
        <v>88</v>
      </c>
      <c r="M1845" t="s">
        <v>825</v>
      </c>
      <c r="N1845" t="s">
        <v>190</v>
      </c>
      <c r="O1845" t="s">
        <v>191</v>
      </c>
      <c r="P1845" t="s">
        <v>192</v>
      </c>
      <c r="R1845" t="s">
        <v>193</v>
      </c>
      <c r="T1845">
        <v>44000</v>
      </c>
      <c r="U1845" t="s">
        <v>109</v>
      </c>
      <c r="V1845" t="s">
        <v>110</v>
      </c>
      <c r="W1845" t="s">
        <v>194</v>
      </c>
      <c r="X1845" t="s">
        <v>195</v>
      </c>
      <c r="Y1845" t="s">
        <v>104</v>
      </c>
    </row>
    <row r="1846" spans="1:25">
      <c r="A1846">
        <v>10326</v>
      </c>
      <c r="B1846">
        <v>41</v>
      </c>
      <c r="C1846">
        <v>85.85</v>
      </c>
      <c r="D1846">
        <v>3</v>
      </c>
      <c r="E1846">
        <v>3519.85</v>
      </c>
      <c r="F1846" s="4">
        <v>38241</v>
      </c>
      <c r="G1846" t="s">
        <v>93</v>
      </c>
      <c r="H1846">
        <v>4</v>
      </c>
      <c r="I1846">
        <v>11</v>
      </c>
      <c r="J1846">
        <v>2004</v>
      </c>
      <c r="K1846" t="s">
        <v>697</v>
      </c>
      <c r="L1846">
        <v>88</v>
      </c>
      <c r="M1846" t="s">
        <v>825</v>
      </c>
      <c r="N1846" t="s">
        <v>268</v>
      </c>
      <c r="O1846" t="s">
        <v>269</v>
      </c>
      <c r="P1846" t="s">
        <v>270</v>
      </c>
      <c r="R1846" t="s">
        <v>271</v>
      </c>
      <c r="T1846" t="s">
        <v>272</v>
      </c>
      <c r="U1846" t="s">
        <v>273</v>
      </c>
      <c r="V1846" t="s">
        <v>110</v>
      </c>
      <c r="W1846" t="s">
        <v>274</v>
      </c>
      <c r="X1846" t="s">
        <v>275</v>
      </c>
      <c r="Y1846" t="s">
        <v>119</v>
      </c>
    </row>
    <row r="1847" spans="1:25">
      <c r="A1847">
        <v>10339</v>
      </c>
      <c r="B1847">
        <v>55</v>
      </c>
      <c r="C1847">
        <v>100</v>
      </c>
      <c r="D1847">
        <v>13</v>
      </c>
      <c r="E1847">
        <v>10758</v>
      </c>
      <c r="F1847" t="s">
        <v>422</v>
      </c>
      <c r="G1847" t="s">
        <v>93</v>
      </c>
      <c r="H1847">
        <v>4</v>
      </c>
      <c r="I1847">
        <v>11</v>
      </c>
      <c r="J1847">
        <v>2004</v>
      </c>
      <c r="K1847" t="s">
        <v>697</v>
      </c>
      <c r="L1847">
        <v>88</v>
      </c>
      <c r="M1847" t="s">
        <v>825</v>
      </c>
      <c r="N1847" t="s">
        <v>338</v>
      </c>
      <c r="O1847" t="s">
        <v>339</v>
      </c>
      <c r="P1847" t="s">
        <v>340</v>
      </c>
      <c r="R1847" t="s">
        <v>341</v>
      </c>
      <c r="S1847" t="s">
        <v>342</v>
      </c>
      <c r="T1847" t="s">
        <v>343</v>
      </c>
      <c r="U1847" t="s">
        <v>288</v>
      </c>
      <c r="V1847" t="s">
        <v>288</v>
      </c>
      <c r="W1847" t="s">
        <v>344</v>
      </c>
      <c r="X1847" t="s">
        <v>345</v>
      </c>
      <c r="Y1847" t="s">
        <v>232</v>
      </c>
    </row>
    <row r="1848" spans="1:25">
      <c r="A1848">
        <v>10350</v>
      </c>
      <c r="B1848">
        <v>30</v>
      </c>
      <c r="C1848">
        <v>100</v>
      </c>
      <c r="D1848">
        <v>9</v>
      </c>
      <c r="E1848">
        <v>3021</v>
      </c>
      <c r="F1848" s="4">
        <v>38029</v>
      </c>
      <c r="G1848" t="s">
        <v>93</v>
      </c>
      <c r="H1848">
        <v>4</v>
      </c>
      <c r="I1848">
        <v>12</v>
      </c>
      <c r="J1848">
        <v>2004</v>
      </c>
      <c r="K1848" t="s">
        <v>697</v>
      </c>
      <c r="L1848">
        <v>88</v>
      </c>
      <c r="M1848" t="s">
        <v>825</v>
      </c>
      <c r="N1848" t="s">
        <v>257</v>
      </c>
      <c r="O1848" t="s">
        <v>258</v>
      </c>
      <c r="P1848" t="s">
        <v>259</v>
      </c>
      <c r="R1848" t="s">
        <v>260</v>
      </c>
      <c r="T1848">
        <v>28034</v>
      </c>
      <c r="U1848" t="s">
        <v>261</v>
      </c>
      <c r="V1848" t="s">
        <v>110</v>
      </c>
      <c r="W1848" t="s">
        <v>262</v>
      </c>
      <c r="X1848" t="s">
        <v>263</v>
      </c>
      <c r="Y1848" t="s">
        <v>119</v>
      </c>
    </row>
    <row r="1849" spans="1:25">
      <c r="A1849">
        <v>10373</v>
      </c>
      <c r="B1849">
        <v>33</v>
      </c>
      <c r="C1849">
        <v>57.32</v>
      </c>
      <c r="D1849">
        <v>12</v>
      </c>
      <c r="E1849">
        <v>1891.56</v>
      </c>
      <c r="F1849" t="s">
        <v>505</v>
      </c>
      <c r="G1849" t="s">
        <v>93</v>
      </c>
      <c r="H1849">
        <v>1</v>
      </c>
      <c r="I1849">
        <v>1</v>
      </c>
      <c r="J1849">
        <v>2005</v>
      </c>
      <c r="K1849" t="s">
        <v>697</v>
      </c>
      <c r="L1849">
        <v>88</v>
      </c>
      <c r="M1849" t="s">
        <v>825</v>
      </c>
      <c r="N1849" t="s">
        <v>506</v>
      </c>
      <c r="O1849" t="s">
        <v>507</v>
      </c>
      <c r="P1849" t="s">
        <v>508</v>
      </c>
      <c r="R1849" t="s">
        <v>509</v>
      </c>
      <c r="T1849">
        <v>90110</v>
      </c>
      <c r="U1849" t="s">
        <v>208</v>
      </c>
      <c r="V1849" t="s">
        <v>110</v>
      </c>
      <c r="W1849" t="s">
        <v>510</v>
      </c>
      <c r="X1849" t="s">
        <v>511</v>
      </c>
      <c r="Y1849" t="s">
        <v>104</v>
      </c>
    </row>
    <row r="1850" spans="1:25">
      <c r="A1850">
        <v>10384</v>
      </c>
      <c r="B1850">
        <v>43</v>
      </c>
      <c r="C1850">
        <v>97.87</v>
      </c>
      <c r="D1850">
        <v>2</v>
      </c>
      <c r="E1850">
        <v>4208.41</v>
      </c>
      <c r="F1850" t="s">
        <v>512</v>
      </c>
      <c r="G1850" t="s">
        <v>93</v>
      </c>
      <c r="H1850">
        <v>1</v>
      </c>
      <c r="I1850">
        <v>2</v>
      </c>
      <c r="J1850">
        <v>2005</v>
      </c>
      <c r="K1850" t="s">
        <v>697</v>
      </c>
      <c r="L1850">
        <v>88</v>
      </c>
      <c r="M1850" t="s">
        <v>825</v>
      </c>
      <c r="N1850" t="s">
        <v>127</v>
      </c>
      <c r="O1850">
        <v>6505551386</v>
      </c>
      <c r="P1850" t="s">
        <v>128</v>
      </c>
      <c r="R1850" t="s">
        <v>129</v>
      </c>
      <c r="S1850" t="s">
        <v>124</v>
      </c>
      <c r="U1850" t="s">
        <v>100</v>
      </c>
      <c r="V1850" t="s">
        <v>101</v>
      </c>
      <c r="W1850" t="s">
        <v>130</v>
      </c>
      <c r="X1850" t="s">
        <v>126</v>
      </c>
      <c r="Y1850" t="s">
        <v>119</v>
      </c>
    </row>
    <row r="1851" spans="1:25">
      <c r="A1851">
        <v>10396</v>
      </c>
      <c r="B1851">
        <v>27</v>
      </c>
      <c r="C1851">
        <v>83.2</v>
      </c>
      <c r="D1851">
        <v>7</v>
      </c>
      <c r="E1851">
        <v>2246.4</v>
      </c>
      <c r="F1851" t="s">
        <v>658</v>
      </c>
      <c r="G1851" t="s">
        <v>93</v>
      </c>
      <c r="H1851">
        <v>1</v>
      </c>
      <c r="I1851">
        <v>3</v>
      </c>
      <c r="J1851">
        <v>2005</v>
      </c>
      <c r="K1851" t="s">
        <v>697</v>
      </c>
      <c r="L1851">
        <v>88</v>
      </c>
      <c r="M1851" t="s">
        <v>825</v>
      </c>
      <c r="N1851" t="s">
        <v>367</v>
      </c>
      <c r="O1851">
        <v>4155551450</v>
      </c>
      <c r="P1851" t="s">
        <v>368</v>
      </c>
      <c r="R1851" t="s">
        <v>369</v>
      </c>
      <c r="S1851" t="s">
        <v>124</v>
      </c>
      <c r="T1851">
        <v>97562</v>
      </c>
      <c r="U1851" t="s">
        <v>100</v>
      </c>
      <c r="V1851" t="s">
        <v>101</v>
      </c>
      <c r="W1851" t="s">
        <v>370</v>
      </c>
      <c r="X1851" t="s">
        <v>371</v>
      </c>
      <c r="Y1851" t="s">
        <v>104</v>
      </c>
    </row>
    <row r="1852" spans="1:25">
      <c r="A1852">
        <v>10414</v>
      </c>
      <c r="B1852">
        <v>60</v>
      </c>
      <c r="C1852">
        <v>100</v>
      </c>
      <c r="D1852">
        <v>5</v>
      </c>
      <c r="E1852">
        <v>6107.4</v>
      </c>
      <c r="F1852" s="4">
        <v>38508</v>
      </c>
      <c r="G1852" t="s">
        <v>518</v>
      </c>
      <c r="H1852">
        <v>2</v>
      </c>
      <c r="I1852">
        <v>5</v>
      </c>
      <c r="J1852">
        <v>2005</v>
      </c>
      <c r="K1852" t="s">
        <v>697</v>
      </c>
      <c r="L1852">
        <v>88</v>
      </c>
      <c r="M1852" t="s">
        <v>825</v>
      </c>
      <c r="N1852" t="s">
        <v>490</v>
      </c>
      <c r="O1852">
        <v>6175559555</v>
      </c>
      <c r="P1852" t="s">
        <v>491</v>
      </c>
      <c r="R1852" t="s">
        <v>492</v>
      </c>
      <c r="S1852" t="s">
        <v>200</v>
      </c>
      <c r="T1852">
        <v>51003</v>
      </c>
      <c r="U1852" t="s">
        <v>100</v>
      </c>
      <c r="V1852" t="s">
        <v>101</v>
      </c>
      <c r="W1852" t="s">
        <v>493</v>
      </c>
      <c r="X1852" t="s">
        <v>136</v>
      </c>
      <c r="Y1852" t="s">
        <v>119</v>
      </c>
    </row>
    <row r="1853" spans="1:25">
      <c r="A1853">
        <v>10110</v>
      </c>
      <c r="B1853">
        <v>27</v>
      </c>
      <c r="C1853">
        <v>73.62</v>
      </c>
      <c r="D1853">
        <v>12</v>
      </c>
      <c r="E1853">
        <v>1987.74</v>
      </c>
      <c r="F1853" t="s">
        <v>720</v>
      </c>
      <c r="G1853" t="s">
        <v>93</v>
      </c>
      <c r="H1853">
        <v>1</v>
      </c>
      <c r="I1853">
        <v>3</v>
      </c>
      <c r="J1853">
        <v>2003</v>
      </c>
      <c r="K1853" t="s">
        <v>265</v>
      </c>
      <c r="L1853">
        <v>85</v>
      </c>
      <c r="M1853" t="s">
        <v>827</v>
      </c>
      <c r="N1853" t="s">
        <v>624</v>
      </c>
      <c r="O1853" t="s">
        <v>625</v>
      </c>
      <c r="P1853" t="s">
        <v>626</v>
      </c>
      <c r="R1853" t="s">
        <v>627</v>
      </c>
      <c r="T1853" t="s">
        <v>628</v>
      </c>
      <c r="U1853" t="s">
        <v>252</v>
      </c>
      <c r="V1853" t="s">
        <v>110</v>
      </c>
      <c r="W1853" t="s">
        <v>629</v>
      </c>
      <c r="X1853" t="s">
        <v>167</v>
      </c>
      <c r="Y1853" t="s">
        <v>104</v>
      </c>
    </row>
    <row r="1854" spans="1:25">
      <c r="A1854">
        <v>10124</v>
      </c>
      <c r="B1854">
        <v>49</v>
      </c>
      <c r="C1854">
        <v>83.04</v>
      </c>
      <c r="D1854">
        <v>11</v>
      </c>
      <c r="E1854">
        <v>4068.96</v>
      </c>
      <c r="F1854" t="s">
        <v>700</v>
      </c>
      <c r="G1854" t="s">
        <v>93</v>
      </c>
      <c r="H1854">
        <v>2</v>
      </c>
      <c r="I1854">
        <v>5</v>
      </c>
      <c r="J1854">
        <v>2003</v>
      </c>
      <c r="K1854" t="s">
        <v>265</v>
      </c>
      <c r="L1854">
        <v>85</v>
      </c>
      <c r="M1854" t="s">
        <v>827</v>
      </c>
      <c r="N1854" t="s">
        <v>684</v>
      </c>
      <c r="O1854">
        <v>7025551838</v>
      </c>
      <c r="P1854" t="s">
        <v>685</v>
      </c>
      <c r="R1854" t="s">
        <v>686</v>
      </c>
      <c r="S1854" t="s">
        <v>687</v>
      </c>
      <c r="T1854">
        <v>83030</v>
      </c>
      <c r="U1854" t="s">
        <v>100</v>
      </c>
      <c r="V1854" t="s">
        <v>101</v>
      </c>
      <c r="W1854" t="s">
        <v>188</v>
      </c>
      <c r="X1854" t="s">
        <v>517</v>
      </c>
      <c r="Y1854" t="s">
        <v>119</v>
      </c>
    </row>
    <row r="1855" spans="1:25">
      <c r="A1855">
        <v>10148</v>
      </c>
      <c r="B1855">
        <v>31</v>
      </c>
      <c r="C1855">
        <v>73.62</v>
      </c>
      <c r="D1855">
        <v>5</v>
      </c>
      <c r="E1855">
        <v>2282.2199999999998</v>
      </c>
      <c r="F1855" s="4">
        <v>37934</v>
      </c>
      <c r="G1855" t="s">
        <v>93</v>
      </c>
      <c r="H1855">
        <v>3</v>
      </c>
      <c r="I1855">
        <v>9</v>
      </c>
      <c r="J1855">
        <v>2003</v>
      </c>
      <c r="K1855" t="s">
        <v>265</v>
      </c>
      <c r="L1855">
        <v>85</v>
      </c>
      <c r="M1855" t="s">
        <v>827</v>
      </c>
      <c r="N1855" t="s">
        <v>384</v>
      </c>
      <c r="O1855" t="s">
        <v>385</v>
      </c>
      <c r="P1855" t="s">
        <v>386</v>
      </c>
      <c r="Q1855" t="s">
        <v>387</v>
      </c>
      <c r="R1855" t="s">
        <v>388</v>
      </c>
      <c r="S1855" t="s">
        <v>239</v>
      </c>
      <c r="T1855">
        <v>2060</v>
      </c>
      <c r="U1855" t="s">
        <v>168</v>
      </c>
      <c r="V1855" t="s">
        <v>169</v>
      </c>
      <c r="W1855" t="s">
        <v>389</v>
      </c>
      <c r="X1855" t="s">
        <v>390</v>
      </c>
      <c r="Y1855" t="s">
        <v>104</v>
      </c>
    </row>
    <row r="1856" spans="1:25">
      <c r="A1856">
        <v>10161</v>
      </c>
      <c r="B1856">
        <v>20</v>
      </c>
      <c r="C1856">
        <v>77.05</v>
      </c>
      <c r="D1856">
        <v>4</v>
      </c>
      <c r="E1856">
        <v>1541</v>
      </c>
      <c r="F1856" t="s">
        <v>682</v>
      </c>
      <c r="G1856" t="s">
        <v>93</v>
      </c>
      <c r="H1856">
        <v>4</v>
      </c>
      <c r="I1856">
        <v>10</v>
      </c>
      <c r="J1856">
        <v>2003</v>
      </c>
      <c r="K1856" t="s">
        <v>265</v>
      </c>
      <c r="L1856">
        <v>85</v>
      </c>
      <c r="M1856" t="s">
        <v>827</v>
      </c>
      <c r="N1856" t="s">
        <v>630</v>
      </c>
      <c r="O1856" t="s">
        <v>631</v>
      </c>
      <c r="P1856" t="s">
        <v>632</v>
      </c>
      <c r="R1856" t="s">
        <v>633</v>
      </c>
      <c r="T1856">
        <v>8200</v>
      </c>
      <c r="U1856" t="s">
        <v>429</v>
      </c>
      <c r="V1856" t="s">
        <v>110</v>
      </c>
      <c r="W1856" t="s">
        <v>634</v>
      </c>
      <c r="X1856" t="s">
        <v>635</v>
      </c>
      <c r="Y1856" t="s">
        <v>104</v>
      </c>
    </row>
    <row r="1857" spans="1:25">
      <c r="A1857">
        <v>10172</v>
      </c>
      <c r="B1857">
        <v>24</v>
      </c>
      <c r="C1857">
        <v>81.33</v>
      </c>
      <c r="D1857">
        <v>2</v>
      </c>
      <c r="E1857">
        <v>1951.92</v>
      </c>
      <c r="F1857" s="4">
        <v>37752</v>
      </c>
      <c r="G1857" t="s">
        <v>93</v>
      </c>
      <c r="H1857">
        <v>4</v>
      </c>
      <c r="I1857">
        <v>11</v>
      </c>
      <c r="J1857">
        <v>2003</v>
      </c>
      <c r="K1857" t="s">
        <v>265</v>
      </c>
      <c r="L1857">
        <v>85</v>
      </c>
      <c r="M1857" t="s">
        <v>827</v>
      </c>
      <c r="N1857" t="s">
        <v>184</v>
      </c>
      <c r="O1857">
        <v>2035552570</v>
      </c>
      <c r="P1857" t="s">
        <v>185</v>
      </c>
      <c r="R1857" t="s">
        <v>186</v>
      </c>
      <c r="S1857" t="s">
        <v>187</v>
      </c>
      <c r="T1857">
        <v>97562</v>
      </c>
      <c r="U1857" t="s">
        <v>100</v>
      </c>
      <c r="V1857" t="s">
        <v>101</v>
      </c>
      <c r="W1857" t="s">
        <v>188</v>
      </c>
      <c r="X1857" t="s">
        <v>126</v>
      </c>
      <c r="Y1857" t="s">
        <v>104</v>
      </c>
    </row>
    <row r="1858" spans="1:25">
      <c r="A1858">
        <v>10182</v>
      </c>
      <c r="B1858">
        <v>33</v>
      </c>
      <c r="C1858">
        <v>94.17</v>
      </c>
      <c r="D1858">
        <v>15</v>
      </c>
      <c r="E1858">
        <v>3107.61</v>
      </c>
      <c r="F1858" s="4">
        <v>37966</v>
      </c>
      <c r="G1858" t="s">
        <v>93</v>
      </c>
      <c r="H1858">
        <v>4</v>
      </c>
      <c r="I1858">
        <v>11</v>
      </c>
      <c r="J1858">
        <v>2003</v>
      </c>
      <c r="K1858" t="s">
        <v>265</v>
      </c>
      <c r="L1858">
        <v>85</v>
      </c>
      <c r="M1858" t="s">
        <v>827</v>
      </c>
      <c r="N1858" t="s">
        <v>367</v>
      </c>
      <c r="O1858">
        <v>4155551450</v>
      </c>
      <c r="P1858" t="s">
        <v>368</v>
      </c>
      <c r="R1858" t="s">
        <v>369</v>
      </c>
      <c r="S1858" t="s">
        <v>124</v>
      </c>
      <c r="T1858">
        <v>97562</v>
      </c>
      <c r="U1858" t="s">
        <v>100</v>
      </c>
      <c r="V1858" t="s">
        <v>101</v>
      </c>
      <c r="W1858" t="s">
        <v>370</v>
      </c>
      <c r="X1858" t="s">
        <v>371</v>
      </c>
      <c r="Y1858" t="s">
        <v>119</v>
      </c>
    </row>
    <row r="1859" spans="1:25">
      <c r="A1859">
        <v>10192</v>
      </c>
      <c r="B1859">
        <v>32</v>
      </c>
      <c r="C1859">
        <v>72.77</v>
      </c>
      <c r="D1859">
        <v>3</v>
      </c>
      <c r="E1859">
        <v>2328.64</v>
      </c>
      <c r="F1859" t="s">
        <v>561</v>
      </c>
      <c r="G1859" t="s">
        <v>93</v>
      </c>
      <c r="H1859">
        <v>4</v>
      </c>
      <c r="I1859">
        <v>11</v>
      </c>
      <c r="J1859">
        <v>2003</v>
      </c>
      <c r="K1859" t="s">
        <v>265</v>
      </c>
      <c r="L1859">
        <v>85</v>
      </c>
      <c r="M1859" t="s">
        <v>827</v>
      </c>
      <c r="N1859" t="s">
        <v>372</v>
      </c>
      <c r="O1859">
        <v>6035558647</v>
      </c>
      <c r="P1859" t="s">
        <v>373</v>
      </c>
      <c r="R1859" t="s">
        <v>374</v>
      </c>
      <c r="S1859" t="s">
        <v>375</v>
      </c>
      <c r="T1859">
        <v>62005</v>
      </c>
      <c r="U1859" t="s">
        <v>100</v>
      </c>
      <c r="V1859" t="s">
        <v>101</v>
      </c>
      <c r="W1859" t="s">
        <v>125</v>
      </c>
      <c r="X1859" t="s">
        <v>371</v>
      </c>
      <c r="Y1859" t="s">
        <v>104</v>
      </c>
    </row>
    <row r="1860" spans="1:25">
      <c r="A1860">
        <v>10204</v>
      </c>
      <c r="B1860">
        <v>40</v>
      </c>
      <c r="C1860">
        <v>79.62</v>
      </c>
      <c r="D1860">
        <v>9</v>
      </c>
      <c r="E1860">
        <v>3184.8</v>
      </c>
      <c r="F1860" s="4">
        <v>37664</v>
      </c>
      <c r="G1860" t="s">
        <v>93</v>
      </c>
      <c r="H1860">
        <v>4</v>
      </c>
      <c r="I1860">
        <v>12</v>
      </c>
      <c r="J1860">
        <v>2003</v>
      </c>
      <c r="K1860" t="s">
        <v>265</v>
      </c>
      <c r="L1860">
        <v>85</v>
      </c>
      <c r="M1860" t="s">
        <v>827</v>
      </c>
      <c r="N1860" t="s">
        <v>603</v>
      </c>
      <c r="O1860">
        <v>2125557413</v>
      </c>
      <c r="P1860" t="s">
        <v>604</v>
      </c>
      <c r="Q1860" t="s">
        <v>605</v>
      </c>
      <c r="R1860" t="s">
        <v>98</v>
      </c>
      <c r="S1860" t="s">
        <v>99</v>
      </c>
      <c r="T1860">
        <v>10022</v>
      </c>
      <c r="U1860" t="s">
        <v>100</v>
      </c>
      <c r="V1860" t="s">
        <v>101</v>
      </c>
      <c r="W1860" t="s">
        <v>125</v>
      </c>
      <c r="X1860" t="s">
        <v>606</v>
      </c>
      <c r="Y1860" t="s">
        <v>119</v>
      </c>
    </row>
    <row r="1861" spans="1:25">
      <c r="A1861">
        <v>10212</v>
      </c>
      <c r="B1861">
        <v>27</v>
      </c>
      <c r="C1861">
        <v>79.62</v>
      </c>
      <c r="D1861">
        <v>2</v>
      </c>
      <c r="E1861">
        <v>2149.7399999999998</v>
      </c>
      <c r="F1861" t="s">
        <v>653</v>
      </c>
      <c r="G1861" t="s">
        <v>93</v>
      </c>
      <c r="H1861">
        <v>1</v>
      </c>
      <c r="I1861">
        <v>1</v>
      </c>
      <c r="J1861">
        <v>2004</v>
      </c>
      <c r="K1861" t="s">
        <v>265</v>
      </c>
      <c r="L1861">
        <v>85</v>
      </c>
      <c r="M1861" t="s">
        <v>827</v>
      </c>
      <c r="N1861" t="s">
        <v>257</v>
      </c>
      <c r="O1861" t="s">
        <v>258</v>
      </c>
      <c r="P1861" t="s">
        <v>259</v>
      </c>
      <c r="R1861" t="s">
        <v>260</v>
      </c>
      <c r="T1861">
        <v>28034</v>
      </c>
      <c r="U1861" t="s">
        <v>261</v>
      </c>
      <c r="V1861" t="s">
        <v>110</v>
      </c>
      <c r="W1861" t="s">
        <v>262</v>
      </c>
      <c r="X1861" t="s">
        <v>263</v>
      </c>
      <c r="Y1861" t="s">
        <v>104</v>
      </c>
    </row>
    <row r="1862" spans="1:25">
      <c r="A1862">
        <v>10227</v>
      </c>
      <c r="B1862">
        <v>40</v>
      </c>
      <c r="C1862">
        <v>79.62</v>
      </c>
      <c r="D1862">
        <v>15</v>
      </c>
      <c r="E1862">
        <v>3184.8</v>
      </c>
      <c r="F1862" s="4">
        <v>38020</v>
      </c>
      <c r="G1862" t="s">
        <v>93</v>
      </c>
      <c r="H1862">
        <v>1</v>
      </c>
      <c r="I1862">
        <v>3</v>
      </c>
      <c r="J1862">
        <v>2004</v>
      </c>
      <c r="K1862" t="s">
        <v>265</v>
      </c>
      <c r="L1862">
        <v>85</v>
      </c>
      <c r="M1862" t="s">
        <v>827</v>
      </c>
      <c r="N1862" t="s">
        <v>310</v>
      </c>
      <c r="O1862" t="s">
        <v>311</v>
      </c>
      <c r="P1862" t="s">
        <v>312</v>
      </c>
      <c r="R1862" t="s">
        <v>313</v>
      </c>
      <c r="T1862">
        <v>69004</v>
      </c>
      <c r="U1862" t="s">
        <v>109</v>
      </c>
      <c r="V1862" t="s">
        <v>110</v>
      </c>
      <c r="W1862" t="s">
        <v>314</v>
      </c>
      <c r="X1862" t="s">
        <v>315</v>
      </c>
      <c r="Y1862" t="s">
        <v>119</v>
      </c>
    </row>
    <row r="1863" spans="1:25">
      <c r="A1863">
        <v>10241</v>
      </c>
      <c r="B1863">
        <v>26</v>
      </c>
      <c r="C1863">
        <v>81.33</v>
      </c>
      <c r="D1863">
        <v>7</v>
      </c>
      <c r="E1863">
        <v>2114.58</v>
      </c>
      <c r="F1863" t="s">
        <v>683</v>
      </c>
      <c r="G1863" t="s">
        <v>93</v>
      </c>
      <c r="H1863">
        <v>2</v>
      </c>
      <c r="I1863">
        <v>4</v>
      </c>
      <c r="J1863">
        <v>2004</v>
      </c>
      <c r="K1863" t="s">
        <v>265</v>
      </c>
      <c r="L1863">
        <v>85</v>
      </c>
      <c r="M1863" t="s">
        <v>827</v>
      </c>
      <c r="N1863" t="s">
        <v>674</v>
      </c>
      <c r="O1863" t="s">
        <v>675</v>
      </c>
      <c r="P1863" t="s">
        <v>676</v>
      </c>
      <c r="R1863" t="s">
        <v>677</v>
      </c>
      <c r="T1863">
        <v>67000</v>
      </c>
      <c r="U1863" t="s">
        <v>109</v>
      </c>
      <c r="V1863" t="s">
        <v>110</v>
      </c>
      <c r="W1863" t="s">
        <v>678</v>
      </c>
      <c r="X1863" t="s">
        <v>679</v>
      </c>
      <c r="Y1863" t="s">
        <v>104</v>
      </c>
    </row>
    <row r="1864" spans="1:25">
      <c r="A1864">
        <v>10267</v>
      </c>
      <c r="B1864">
        <v>44</v>
      </c>
      <c r="C1864">
        <v>96.74</v>
      </c>
      <c r="D1864">
        <v>4</v>
      </c>
      <c r="E1864">
        <v>4256.5600000000004</v>
      </c>
      <c r="F1864" s="4">
        <v>38175</v>
      </c>
      <c r="G1864" t="s">
        <v>93</v>
      </c>
      <c r="H1864">
        <v>3</v>
      </c>
      <c r="I1864">
        <v>7</v>
      </c>
      <c r="J1864">
        <v>2004</v>
      </c>
      <c r="K1864" t="s">
        <v>265</v>
      </c>
      <c r="L1864">
        <v>85</v>
      </c>
      <c r="M1864" t="s">
        <v>827</v>
      </c>
      <c r="N1864" t="s">
        <v>603</v>
      </c>
      <c r="O1864">
        <v>2125557413</v>
      </c>
      <c r="P1864" t="s">
        <v>604</v>
      </c>
      <c r="Q1864" t="s">
        <v>605</v>
      </c>
      <c r="R1864" t="s">
        <v>98</v>
      </c>
      <c r="S1864" t="s">
        <v>99</v>
      </c>
      <c r="T1864">
        <v>10022</v>
      </c>
      <c r="U1864" t="s">
        <v>100</v>
      </c>
      <c r="V1864" t="s">
        <v>101</v>
      </c>
      <c r="W1864" t="s">
        <v>125</v>
      </c>
      <c r="X1864" t="s">
        <v>606</v>
      </c>
      <c r="Y1864" t="s">
        <v>119</v>
      </c>
    </row>
    <row r="1865" spans="1:25">
      <c r="A1865">
        <v>10279</v>
      </c>
      <c r="B1865">
        <v>33</v>
      </c>
      <c r="C1865">
        <v>71.06</v>
      </c>
      <c r="D1865">
        <v>4</v>
      </c>
      <c r="E1865">
        <v>2344.98</v>
      </c>
      <c r="F1865" s="4">
        <v>38238</v>
      </c>
      <c r="G1865" t="s">
        <v>93</v>
      </c>
      <c r="H1865">
        <v>3</v>
      </c>
      <c r="I1865">
        <v>8</v>
      </c>
      <c r="J1865">
        <v>2004</v>
      </c>
      <c r="K1865" t="s">
        <v>265</v>
      </c>
      <c r="L1865">
        <v>85</v>
      </c>
      <c r="M1865" t="s">
        <v>827</v>
      </c>
      <c r="N1865" t="s">
        <v>257</v>
      </c>
      <c r="O1865" t="s">
        <v>258</v>
      </c>
      <c r="P1865" t="s">
        <v>259</v>
      </c>
      <c r="R1865" t="s">
        <v>260</v>
      </c>
      <c r="T1865">
        <v>28034</v>
      </c>
      <c r="U1865" t="s">
        <v>261</v>
      </c>
      <c r="V1865" t="s">
        <v>110</v>
      </c>
      <c r="W1865" t="s">
        <v>262</v>
      </c>
      <c r="X1865" t="s">
        <v>263</v>
      </c>
      <c r="Y1865" t="s">
        <v>104</v>
      </c>
    </row>
    <row r="1866" spans="1:25">
      <c r="A1866">
        <v>10288</v>
      </c>
      <c r="B1866">
        <v>34</v>
      </c>
      <c r="C1866">
        <v>68.489999999999995</v>
      </c>
      <c r="D1866">
        <v>10</v>
      </c>
      <c r="E1866">
        <v>2328.66</v>
      </c>
      <c r="F1866" s="4">
        <v>37995</v>
      </c>
      <c r="G1866" t="s">
        <v>93</v>
      </c>
      <c r="H1866">
        <v>3</v>
      </c>
      <c r="I1866">
        <v>9</v>
      </c>
      <c r="J1866">
        <v>2004</v>
      </c>
      <c r="K1866" t="s">
        <v>265</v>
      </c>
      <c r="L1866">
        <v>85</v>
      </c>
      <c r="M1866" t="s">
        <v>827</v>
      </c>
      <c r="N1866" t="s">
        <v>536</v>
      </c>
      <c r="O1866" t="s">
        <v>537</v>
      </c>
      <c r="P1866" t="s">
        <v>538</v>
      </c>
      <c r="Q1866" t="s">
        <v>539</v>
      </c>
      <c r="R1866" t="s">
        <v>287</v>
      </c>
      <c r="T1866">
        <v>69045</v>
      </c>
      <c r="U1866" t="s">
        <v>287</v>
      </c>
      <c r="V1866" t="s">
        <v>169</v>
      </c>
      <c r="W1866" t="s">
        <v>540</v>
      </c>
      <c r="X1866" t="s">
        <v>541</v>
      </c>
      <c r="Y1866" t="s">
        <v>104</v>
      </c>
    </row>
    <row r="1867" spans="1:25">
      <c r="A1867">
        <v>10302</v>
      </c>
      <c r="B1867">
        <v>48</v>
      </c>
      <c r="C1867">
        <v>74.48</v>
      </c>
      <c r="D1867">
        <v>6</v>
      </c>
      <c r="E1867">
        <v>3575.04</v>
      </c>
      <c r="F1867" s="4">
        <v>37782</v>
      </c>
      <c r="G1867" t="s">
        <v>93</v>
      </c>
      <c r="H1867">
        <v>4</v>
      </c>
      <c r="I1867">
        <v>10</v>
      </c>
      <c r="J1867">
        <v>2003</v>
      </c>
      <c r="K1867" t="s">
        <v>265</v>
      </c>
      <c r="L1867">
        <v>85</v>
      </c>
      <c r="M1867" t="s">
        <v>827</v>
      </c>
      <c r="N1867" t="s">
        <v>247</v>
      </c>
      <c r="O1867" t="s">
        <v>248</v>
      </c>
      <c r="P1867" t="s">
        <v>249</v>
      </c>
      <c r="R1867" t="s">
        <v>250</v>
      </c>
      <c r="T1867" t="s">
        <v>251</v>
      </c>
      <c r="U1867" t="s">
        <v>252</v>
      </c>
      <c r="V1867" t="s">
        <v>110</v>
      </c>
      <c r="W1867" t="s">
        <v>253</v>
      </c>
      <c r="X1867" t="s">
        <v>254</v>
      </c>
      <c r="Y1867" t="s">
        <v>119</v>
      </c>
    </row>
    <row r="1868" spans="1:25">
      <c r="A1868">
        <v>10311</v>
      </c>
      <c r="B1868">
        <v>25</v>
      </c>
      <c r="C1868">
        <v>83.04</v>
      </c>
      <c r="D1868">
        <v>5</v>
      </c>
      <c r="E1868">
        <v>2076</v>
      </c>
      <c r="F1868" t="s">
        <v>592</v>
      </c>
      <c r="G1868" t="s">
        <v>93</v>
      </c>
      <c r="H1868">
        <v>4</v>
      </c>
      <c r="I1868">
        <v>10</v>
      </c>
      <c r="J1868">
        <v>2004</v>
      </c>
      <c r="K1868" t="s">
        <v>265</v>
      </c>
      <c r="L1868">
        <v>85</v>
      </c>
      <c r="M1868" t="s">
        <v>827</v>
      </c>
      <c r="N1868" t="s">
        <v>257</v>
      </c>
      <c r="O1868" t="s">
        <v>258</v>
      </c>
      <c r="P1868" t="s">
        <v>259</v>
      </c>
      <c r="R1868" t="s">
        <v>260</v>
      </c>
      <c r="T1868">
        <v>28034</v>
      </c>
      <c r="U1868" t="s">
        <v>261</v>
      </c>
      <c r="V1868" t="s">
        <v>110</v>
      </c>
      <c r="W1868" t="s">
        <v>262</v>
      </c>
      <c r="X1868" t="s">
        <v>263</v>
      </c>
      <c r="Y1868" t="s">
        <v>104</v>
      </c>
    </row>
    <row r="1869" spans="1:25">
      <c r="A1869">
        <v>10321</v>
      </c>
      <c r="B1869">
        <v>39</v>
      </c>
      <c r="C1869">
        <v>84.75</v>
      </c>
      <c r="D1869">
        <v>2</v>
      </c>
      <c r="E1869">
        <v>3305.25</v>
      </c>
      <c r="F1869" s="4">
        <v>38088</v>
      </c>
      <c r="G1869" t="s">
        <v>93</v>
      </c>
      <c r="H1869">
        <v>4</v>
      </c>
      <c r="I1869">
        <v>11</v>
      </c>
      <c r="J1869">
        <v>2004</v>
      </c>
      <c r="K1869" t="s">
        <v>265</v>
      </c>
      <c r="L1869">
        <v>85</v>
      </c>
      <c r="M1869" t="s">
        <v>827</v>
      </c>
      <c r="N1869" t="s">
        <v>242</v>
      </c>
      <c r="O1869">
        <v>5085552555</v>
      </c>
      <c r="P1869" t="s">
        <v>243</v>
      </c>
      <c r="R1869" t="s">
        <v>244</v>
      </c>
      <c r="S1869" t="s">
        <v>200</v>
      </c>
      <c r="T1869">
        <v>50553</v>
      </c>
      <c r="U1869" t="s">
        <v>100</v>
      </c>
      <c r="V1869" t="s">
        <v>101</v>
      </c>
      <c r="W1869" t="s">
        <v>245</v>
      </c>
      <c r="X1869" t="s">
        <v>246</v>
      </c>
      <c r="Y1869" t="s">
        <v>119</v>
      </c>
    </row>
    <row r="1870" spans="1:25">
      <c r="A1870">
        <v>10332</v>
      </c>
      <c r="B1870">
        <v>45</v>
      </c>
      <c r="C1870">
        <v>34.19</v>
      </c>
      <c r="D1870">
        <v>12</v>
      </c>
      <c r="E1870">
        <v>1538.55</v>
      </c>
      <c r="F1870" t="s">
        <v>695</v>
      </c>
      <c r="G1870" t="s">
        <v>93</v>
      </c>
      <c r="H1870">
        <v>4</v>
      </c>
      <c r="I1870">
        <v>11</v>
      </c>
      <c r="J1870">
        <v>2004</v>
      </c>
      <c r="K1870" t="s">
        <v>265</v>
      </c>
      <c r="L1870">
        <v>85</v>
      </c>
      <c r="M1870" t="s">
        <v>827</v>
      </c>
      <c r="N1870" t="s">
        <v>624</v>
      </c>
      <c r="O1870" t="s">
        <v>625</v>
      </c>
      <c r="P1870" t="s">
        <v>626</v>
      </c>
      <c r="R1870" t="s">
        <v>627</v>
      </c>
      <c r="T1870" t="s">
        <v>628</v>
      </c>
      <c r="U1870" t="s">
        <v>252</v>
      </c>
      <c r="V1870" t="s">
        <v>110</v>
      </c>
      <c r="W1870" t="s">
        <v>629</v>
      </c>
      <c r="X1870" t="s">
        <v>167</v>
      </c>
      <c r="Y1870" t="s">
        <v>104</v>
      </c>
    </row>
    <row r="1871" spans="1:25">
      <c r="A1871">
        <v>10346</v>
      </c>
      <c r="B1871">
        <v>24</v>
      </c>
      <c r="C1871">
        <v>100</v>
      </c>
      <c r="D1871">
        <v>2</v>
      </c>
      <c r="E1871">
        <v>3325.92</v>
      </c>
      <c r="F1871" t="s">
        <v>377</v>
      </c>
      <c r="G1871" t="s">
        <v>93</v>
      </c>
      <c r="H1871">
        <v>4</v>
      </c>
      <c r="I1871">
        <v>11</v>
      </c>
      <c r="J1871">
        <v>2004</v>
      </c>
      <c r="K1871" t="s">
        <v>265</v>
      </c>
      <c r="L1871">
        <v>85</v>
      </c>
      <c r="M1871" t="s">
        <v>827</v>
      </c>
      <c r="N1871" t="s">
        <v>684</v>
      </c>
      <c r="O1871">
        <v>7025551838</v>
      </c>
      <c r="P1871" t="s">
        <v>685</v>
      </c>
      <c r="R1871" t="s">
        <v>686</v>
      </c>
      <c r="S1871" t="s">
        <v>687</v>
      </c>
      <c r="T1871">
        <v>83030</v>
      </c>
      <c r="U1871" t="s">
        <v>100</v>
      </c>
      <c r="V1871" t="s">
        <v>101</v>
      </c>
      <c r="W1871" t="s">
        <v>188</v>
      </c>
      <c r="X1871" t="s">
        <v>517</v>
      </c>
      <c r="Y1871" t="s">
        <v>119</v>
      </c>
    </row>
    <row r="1872" spans="1:25">
      <c r="A1872">
        <v>10368</v>
      </c>
      <c r="B1872">
        <v>46</v>
      </c>
      <c r="C1872">
        <v>79.62</v>
      </c>
      <c r="D1872">
        <v>1</v>
      </c>
      <c r="E1872">
        <v>3662.52</v>
      </c>
      <c r="F1872" t="s">
        <v>820</v>
      </c>
      <c r="G1872" t="s">
        <v>93</v>
      </c>
      <c r="H1872">
        <v>1</v>
      </c>
      <c r="I1872">
        <v>1</v>
      </c>
      <c r="J1872">
        <v>2005</v>
      </c>
      <c r="K1872" t="s">
        <v>265</v>
      </c>
      <c r="L1872">
        <v>85</v>
      </c>
      <c r="M1872" t="s">
        <v>827</v>
      </c>
      <c r="N1872" t="s">
        <v>367</v>
      </c>
      <c r="O1872">
        <v>4155551450</v>
      </c>
      <c r="P1872" t="s">
        <v>368</v>
      </c>
      <c r="R1872" t="s">
        <v>369</v>
      </c>
      <c r="S1872" t="s">
        <v>124</v>
      </c>
      <c r="T1872">
        <v>97562</v>
      </c>
      <c r="U1872" t="s">
        <v>100</v>
      </c>
      <c r="V1872" t="s">
        <v>101</v>
      </c>
      <c r="W1872" t="s">
        <v>370</v>
      </c>
      <c r="X1872" t="s">
        <v>371</v>
      </c>
      <c r="Y1872" t="s">
        <v>119</v>
      </c>
    </row>
    <row r="1873" spans="1:25">
      <c r="A1873">
        <v>10380</v>
      </c>
      <c r="B1873">
        <v>44</v>
      </c>
      <c r="C1873">
        <v>79.06</v>
      </c>
      <c r="D1873">
        <v>9</v>
      </c>
      <c r="E1873">
        <v>3478.64</v>
      </c>
      <c r="F1873" t="s">
        <v>717</v>
      </c>
      <c r="G1873" t="s">
        <v>93</v>
      </c>
      <c r="H1873">
        <v>1</v>
      </c>
      <c r="I1873">
        <v>2</v>
      </c>
      <c r="J1873">
        <v>2005</v>
      </c>
      <c r="K1873" t="s">
        <v>265</v>
      </c>
      <c r="L1873">
        <v>85</v>
      </c>
      <c r="M1873" t="s">
        <v>827</v>
      </c>
      <c r="N1873" t="s">
        <v>257</v>
      </c>
      <c r="O1873" t="s">
        <v>258</v>
      </c>
      <c r="P1873" t="s">
        <v>259</v>
      </c>
      <c r="R1873" t="s">
        <v>260</v>
      </c>
      <c r="T1873">
        <v>28034</v>
      </c>
      <c r="U1873" t="s">
        <v>261</v>
      </c>
      <c r="V1873" t="s">
        <v>110</v>
      </c>
      <c r="W1873" t="s">
        <v>262</v>
      </c>
      <c r="X1873" t="s">
        <v>263</v>
      </c>
      <c r="Y1873" t="s">
        <v>119</v>
      </c>
    </row>
    <row r="1874" spans="1:25">
      <c r="A1874">
        <v>10407</v>
      </c>
      <c r="B1874">
        <v>13</v>
      </c>
      <c r="C1874">
        <v>81.33</v>
      </c>
      <c r="D1874">
        <v>7</v>
      </c>
      <c r="E1874">
        <v>1057.29</v>
      </c>
      <c r="F1874" t="s">
        <v>724</v>
      </c>
      <c r="G1874" t="s">
        <v>518</v>
      </c>
      <c r="H1874">
        <v>2</v>
      </c>
      <c r="I1874">
        <v>4</v>
      </c>
      <c r="J1874">
        <v>2005</v>
      </c>
      <c r="K1874" t="s">
        <v>265</v>
      </c>
      <c r="L1874">
        <v>85</v>
      </c>
      <c r="M1874" t="s">
        <v>827</v>
      </c>
      <c r="N1874" t="s">
        <v>514</v>
      </c>
      <c r="O1874">
        <v>4085553659</v>
      </c>
      <c r="P1874" t="s">
        <v>515</v>
      </c>
      <c r="R1874" t="s">
        <v>516</v>
      </c>
      <c r="S1874" t="s">
        <v>124</v>
      </c>
      <c r="T1874">
        <v>94217</v>
      </c>
      <c r="U1874" t="s">
        <v>100</v>
      </c>
      <c r="V1874" t="s">
        <v>101</v>
      </c>
      <c r="W1874" t="s">
        <v>175</v>
      </c>
      <c r="X1874" t="s">
        <v>517</v>
      </c>
      <c r="Y1874" t="s">
        <v>104</v>
      </c>
    </row>
    <row r="1875" spans="1:25">
      <c r="A1875">
        <v>10420</v>
      </c>
      <c r="B1875">
        <v>35</v>
      </c>
      <c r="C1875">
        <v>96.74</v>
      </c>
      <c r="D1875">
        <v>10</v>
      </c>
      <c r="E1875">
        <v>3385.9</v>
      </c>
      <c r="F1875" t="s">
        <v>754</v>
      </c>
      <c r="G1875" t="s">
        <v>400</v>
      </c>
      <c r="H1875">
        <v>2</v>
      </c>
      <c r="I1875">
        <v>5</v>
      </c>
      <c r="J1875">
        <v>2005</v>
      </c>
      <c r="K1875" t="s">
        <v>265</v>
      </c>
      <c r="L1875">
        <v>85</v>
      </c>
      <c r="M1875" t="s">
        <v>827</v>
      </c>
      <c r="N1875" t="s">
        <v>234</v>
      </c>
      <c r="O1875" t="s">
        <v>235</v>
      </c>
      <c r="P1875" t="s">
        <v>236</v>
      </c>
      <c r="Q1875" t="s">
        <v>237</v>
      </c>
      <c r="R1875" t="s">
        <v>238</v>
      </c>
      <c r="S1875" t="s">
        <v>239</v>
      </c>
      <c r="T1875">
        <v>2067</v>
      </c>
      <c r="U1875" t="s">
        <v>168</v>
      </c>
      <c r="V1875" t="s">
        <v>169</v>
      </c>
      <c r="W1875" t="s">
        <v>240</v>
      </c>
      <c r="X1875" t="s">
        <v>241</v>
      </c>
      <c r="Y1875" t="s">
        <v>119</v>
      </c>
    </row>
    <row r="1876" spans="1:25">
      <c r="A1876">
        <v>10108</v>
      </c>
      <c r="B1876">
        <v>30</v>
      </c>
      <c r="C1876">
        <v>63.07</v>
      </c>
      <c r="D1876">
        <v>5</v>
      </c>
      <c r="E1876">
        <v>1892.1</v>
      </c>
      <c r="F1876" s="4">
        <v>37683</v>
      </c>
      <c r="G1876" t="s">
        <v>93</v>
      </c>
      <c r="H1876">
        <v>1</v>
      </c>
      <c r="I1876">
        <v>3</v>
      </c>
      <c r="J1876">
        <v>2003</v>
      </c>
      <c r="K1876" t="s">
        <v>265</v>
      </c>
      <c r="L1876">
        <v>61</v>
      </c>
      <c r="M1876" t="s">
        <v>828</v>
      </c>
      <c r="N1876" t="s">
        <v>547</v>
      </c>
      <c r="O1876" t="s">
        <v>548</v>
      </c>
      <c r="P1876" t="s">
        <v>549</v>
      </c>
      <c r="R1876" t="s">
        <v>550</v>
      </c>
      <c r="T1876" t="s">
        <v>551</v>
      </c>
      <c r="U1876" t="s">
        <v>552</v>
      </c>
      <c r="V1876" t="s">
        <v>288</v>
      </c>
      <c r="W1876" t="s">
        <v>553</v>
      </c>
      <c r="X1876" t="s">
        <v>554</v>
      </c>
      <c r="Y1876" t="s">
        <v>104</v>
      </c>
    </row>
    <row r="1877" spans="1:25">
      <c r="A1877">
        <v>10122</v>
      </c>
      <c r="B1877">
        <v>34</v>
      </c>
      <c r="C1877">
        <v>50.21</v>
      </c>
      <c r="D1877">
        <v>9</v>
      </c>
      <c r="E1877">
        <v>1707.14</v>
      </c>
      <c r="F1877" s="4">
        <v>37838</v>
      </c>
      <c r="G1877" t="s">
        <v>93</v>
      </c>
      <c r="H1877">
        <v>2</v>
      </c>
      <c r="I1877">
        <v>5</v>
      </c>
      <c r="J1877">
        <v>2003</v>
      </c>
      <c r="K1877" t="s">
        <v>265</v>
      </c>
      <c r="L1877">
        <v>61</v>
      </c>
      <c r="M1877" t="s">
        <v>828</v>
      </c>
      <c r="N1877" t="s">
        <v>555</v>
      </c>
      <c r="O1877" t="s">
        <v>556</v>
      </c>
      <c r="P1877" t="s">
        <v>557</v>
      </c>
      <c r="R1877" t="s">
        <v>558</v>
      </c>
      <c r="T1877">
        <v>13008</v>
      </c>
      <c r="U1877" t="s">
        <v>109</v>
      </c>
      <c r="V1877" t="s">
        <v>110</v>
      </c>
      <c r="W1877" t="s">
        <v>559</v>
      </c>
      <c r="X1877" t="s">
        <v>560</v>
      </c>
      <c r="Y1877" t="s">
        <v>104</v>
      </c>
    </row>
    <row r="1878" spans="1:25">
      <c r="A1878">
        <v>10135</v>
      </c>
      <c r="B1878">
        <v>27</v>
      </c>
      <c r="C1878">
        <v>66.13</v>
      </c>
      <c r="D1878">
        <v>6</v>
      </c>
      <c r="E1878">
        <v>1785.51</v>
      </c>
      <c r="F1878" s="4">
        <v>37659</v>
      </c>
      <c r="G1878" t="s">
        <v>93</v>
      </c>
      <c r="H1878">
        <v>3</v>
      </c>
      <c r="I1878">
        <v>7</v>
      </c>
      <c r="J1878">
        <v>2003</v>
      </c>
      <c r="K1878" t="s">
        <v>265</v>
      </c>
      <c r="L1878">
        <v>61</v>
      </c>
      <c r="M1878" t="s">
        <v>828</v>
      </c>
      <c r="N1878" t="s">
        <v>367</v>
      </c>
      <c r="O1878">
        <v>4155551450</v>
      </c>
      <c r="P1878" t="s">
        <v>368</v>
      </c>
      <c r="R1878" t="s">
        <v>369</v>
      </c>
      <c r="S1878" t="s">
        <v>124</v>
      </c>
      <c r="T1878">
        <v>97562</v>
      </c>
      <c r="U1878" t="s">
        <v>100</v>
      </c>
      <c r="V1878" t="s">
        <v>101</v>
      </c>
      <c r="W1878" t="s">
        <v>370</v>
      </c>
      <c r="X1878" t="s">
        <v>371</v>
      </c>
      <c r="Y1878" t="s">
        <v>104</v>
      </c>
    </row>
    <row r="1879" spans="1:25">
      <c r="A1879">
        <v>10147</v>
      </c>
      <c r="B1879">
        <v>30</v>
      </c>
      <c r="C1879">
        <v>68.58</v>
      </c>
      <c r="D1879">
        <v>6</v>
      </c>
      <c r="E1879">
        <v>2057.4</v>
      </c>
      <c r="F1879" s="4">
        <v>37750</v>
      </c>
      <c r="G1879" t="s">
        <v>93</v>
      </c>
      <c r="H1879">
        <v>3</v>
      </c>
      <c r="I1879">
        <v>9</v>
      </c>
      <c r="J1879">
        <v>2003</v>
      </c>
      <c r="K1879" t="s">
        <v>265</v>
      </c>
      <c r="L1879">
        <v>61</v>
      </c>
      <c r="M1879" t="s">
        <v>828</v>
      </c>
      <c r="N1879" t="s">
        <v>379</v>
      </c>
      <c r="O1879">
        <v>6175558555</v>
      </c>
      <c r="P1879" t="s">
        <v>380</v>
      </c>
      <c r="R1879" t="s">
        <v>381</v>
      </c>
      <c r="S1879" t="s">
        <v>200</v>
      </c>
      <c r="T1879">
        <v>58339</v>
      </c>
      <c r="U1879" t="s">
        <v>100</v>
      </c>
      <c r="V1879" t="s">
        <v>101</v>
      </c>
      <c r="W1879" t="s">
        <v>370</v>
      </c>
      <c r="X1879" t="s">
        <v>382</v>
      </c>
      <c r="Y1879" t="s">
        <v>104</v>
      </c>
    </row>
    <row r="1880" spans="1:25">
      <c r="A1880">
        <v>10159</v>
      </c>
      <c r="B1880">
        <v>50</v>
      </c>
      <c r="C1880">
        <v>69.8</v>
      </c>
      <c r="D1880">
        <v>1</v>
      </c>
      <c r="E1880">
        <v>3490</v>
      </c>
      <c r="F1880" s="4">
        <v>37904</v>
      </c>
      <c r="G1880" t="s">
        <v>93</v>
      </c>
      <c r="H1880">
        <v>4</v>
      </c>
      <c r="I1880">
        <v>10</v>
      </c>
      <c r="J1880">
        <v>2003</v>
      </c>
      <c r="K1880" t="s">
        <v>265</v>
      </c>
      <c r="L1880">
        <v>61</v>
      </c>
      <c r="M1880" t="s">
        <v>828</v>
      </c>
      <c r="N1880" t="s">
        <v>127</v>
      </c>
      <c r="O1880">
        <v>6505551386</v>
      </c>
      <c r="P1880" t="s">
        <v>128</v>
      </c>
      <c r="R1880" t="s">
        <v>129</v>
      </c>
      <c r="S1880" t="s">
        <v>124</v>
      </c>
      <c r="U1880" t="s">
        <v>100</v>
      </c>
      <c r="V1880" t="s">
        <v>101</v>
      </c>
      <c r="W1880" t="s">
        <v>130</v>
      </c>
      <c r="X1880" t="s">
        <v>126</v>
      </c>
      <c r="Y1880" t="s">
        <v>119</v>
      </c>
    </row>
    <row r="1881" spans="1:25">
      <c r="A1881">
        <v>10169</v>
      </c>
      <c r="B1881">
        <v>34</v>
      </c>
      <c r="C1881">
        <v>50.21</v>
      </c>
      <c r="D1881">
        <v>1</v>
      </c>
      <c r="E1881">
        <v>1707.14</v>
      </c>
      <c r="F1881" s="4">
        <v>37722</v>
      </c>
      <c r="G1881" t="s">
        <v>93</v>
      </c>
      <c r="H1881">
        <v>4</v>
      </c>
      <c r="I1881">
        <v>11</v>
      </c>
      <c r="J1881">
        <v>2003</v>
      </c>
      <c r="K1881" t="s">
        <v>265</v>
      </c>
      <c r="L1881">
        <v>61</v>
      </c>
      <c r="M1881" t="s">
        <v>828</v>
      </c>
      <c r="N1881" t="s">
        <v>384</v>
      </c>
      <c r="O1881" t="s">
        <v>385</v>
      </c>
      <c r="P1881" t="s">
        <v>386</v>
      </c>
      <c r="Q1881" t="s">
        <v>387</v>
      </c>
      <c r="R1881" t="s">
        <v>388</v>
      </c>
      <c r="S1881" t="s">
        <v>239</v>
      </c>
      <c r="T1881">
        <v>2060</v>
      </c>
      <c r="U1881" t="s">
        <v>168</v>
      </c>
      <c r="V1881" t="s">
        <v>169</v>
      </c>
      <c r="W1881" t="s">
        <v>389</v>
      </c>
      <c r="X1881" t="s">
        <v>390</v>
      </c>
      <c r="Y1881" t="s">
        <v>104</v>
      </c>
    </row>
    <row r="1882" spans="1:25">
      <c r="A1882">
        <v>10181</v>
      </c>
      <c r="B1882">
        <v>23</v>
      </c>
      <c r="C1882">
        <v>65.52</v>
      </c>
      <c r="D1882">
        <v>13</v>
      </c>
      <c r="E1882">
        <v>1506.96</v>
      </c>
      <c r="F1882" s="4">
        <v>37966</v>
      </c>
      <c r="G1882" t="s">
        <v>93</v>
      </c>
      <c r="H1882">
        <v>4</v>
      </c>
      <c r="I1882">
        <v>11</v>
      </c>
      <c r="J1882">
        <v>2003</v>
      </c>
      <c r="K1882" t="s">
        <v>265</v>
      </c>
      <c r="L1882">
        <v>61</v>
      </c>
      <c r="M1882" t="s">
        <v>828</v>
      </c>
      <c r="N1882" t="s">
        <v>144</v>
      </c>
      <c r="O1882" t="s">
        <v>145</v>
      </c>
      <c r="P1882" t="s">
        <v>146</v>
      </c>
      <c r="R1882" t="s">
        <v>147</v>
      </c>
      <c r="T1882" t="s">
        <v>148</v>
      </c>
      <c r="U1882" t="s">
        <v>149</v>
      </c>
      <c r="V1882" t="s">
        <v>110</v>
      </c>
      <c r="W1882" t="s">
        <v>150</v>
      </c>
      <c r="X1882" t="s">
        <v>151</v>
      </c>
      <c r="Y1882" t="s">
        <v>104</v>
      </c>
    </row>
    <row r="1883" spans="1:25">
      <c r="A1883">
        <v>10191</v>
      </c>
      <c r="B1883">
        <v>48</v>
      </c>
      <c r="C1883">
        <v>60.01</v>
      </c>
      <c r="D1883">
        <v>2</v>
      </c>
      <c r="E1883">
        <v>2880.48</v>
      </c>
      <c r="F1883" t="s">
        <v>561</v>
      </c>
      <c r="G1883" t="s">
        <v>93</v>
      </c>
      <c r="H1883">
        <v>4</v>
      </c>
      <c r="I1883">
        <v>11</v>
      </c>
      <c r="J1883">
        <v>2003</v>
      </c>
      <c r="K1883" t="s">
        <v>265</v>
      </c>
      <c r="L1883">
        <v>61</v>
      </c>
      <c r="M1883" t="s">
        <v>828</v>
      </c>
      <c r="N1883" t="s">
        <v>562</v>
      </c>
      <c r="O1883" t="s">
        <v>563</v>
      </c>
      <c r="P1883" t="s">
        <v>564</v>
      </c>
      <c r="R1883" t="s">
        <v>565</v>
      </c>
      <c r="T1883">
        <v>50739</v>
      </c>
      <c r="U1883" t="s">
        <v>566</v>
      </c>
      <c r="V1883" t="s">
        <v>110</v>
      </c>
      <c r="W1883" t="s">
        <v>567</v>
      </c>
      <c r="X1883" t="s">
        <v>568</v>
      </c>
      <c r="Y1883" t="s">
        <v>104</v>
      </c>
    </row>
    <row r="1884" spans="1:25">
      <c r="A1884">
        <v>10203</v>
      </c>
      <c r="B1884">
        <v>34</v>
      </c>
      <c r="C1884">
        <v>64.900000000000006</v>
      </c>
      <c r="D1884">
        <v>7</v>
      </c>
      <c r="E1884">
        <v>2206.6</v>
      </c>
      <c r="F1884" s="4">
        <v>37664</v>
      </c>
      <c r="G1884" t="s">
        <v>93</v>
      </c>
      <c r="H1884">
        <v>4</v>
      </c>
      <c r="I1884">
        <v>12</v>
      </c>
      <c r="J1884">
        <v>2003</v>
      </c>
      <c r="K1884" t="s">
        <v>265</v>
      </c>
      <c r="L1884">
        <v>61</v>
      </c>
      <c r="M1884" t="s">
        <v>828</v>
      </c>
      <c r="N1884" t="s">
        <v>257</v>
      </c>
      <c r="O1884" t="s">
        <v>258</v>
      </c>
      <c r="P1884" t="s">
        <v>259</v>
      </c>
      <c r="R1884" t="s">
        <v>260</v>
      </c>
      <c r="T1884">
        <v>28034</v>
      </c>
      <c r="U1884" t="s">
        <v>261</v>
      </c>
      <c r="V1884" t="s">
        <v>110</v>
      </c>
      <c r="W1884" t="s">
        <v>262</v>
      </c>
      <c r="X1884" t="s">
        <v>263</v>
      </c>
      <c r="Y1884" t="s">
        <v>104</v>
      </c>
    </row>
    <row r="1885" spans="1:25">
      <c r="A1885">
        <v>10211</v>
      </c>
      <c r="B1885">
        <v>48</v>
      </c>
      <c r="C1885">
        <v>48.98</v>
      </c>
      <c r="D1885">
        <v>1</v>
      </c>
      <c r="E1885">
        <v>2351.04</v>
      </c>
      <c r="F1885" t="s">
        <v>155</v>
      </c>
      <c r="G1885" t="s">
        <v>93</v>
      </c>
      <c r="H1885">
        <v>1</v>
      </c>
      <c r="I1885">
        <v>1</v>
      </c>
      <c r="J1885">
        <v>2004</v>
      </c>
      <c r="K1885" t="s">
        <v>265</v>
      </c>
      <c r="L1885">
        <v>61</v>
      </c>
      <c r="M1885" t="s">
        <v>828</v>
      </c>
      <c r="N1885" t="s">
        <v>156</v>
      </c>
      <c r="O1885" t="s">
        <v>157</v>
      </c>
      <c r="P1885" t="s">
        <v>158</v>
      </c>
      <c r="R1885" t="s">
        <v>116</v>
      </c>
      <c r="T1885">
        <v>75016</v>
      </c>
      <c r="U1885" t="s">
        <v>109</v>
      </c>
      <c r="V1885" t="s">
        <v>110</v>
      </c>
      <c r="W1885" t="s">
        <v>159</v>
      </c>
      <c r="X1885" t="s">
        <v>160</v>
      </c>
      <c r="Y1885" t="s">
        <v>104</v>
      </c>
    </row>
    <row r="1886" spans="1:25">
      <c r="A1886">
        <v>10225</v>
      </c>
      <c r="B1886">
        <v>24</v>
      </c>
      <c r="C1886">
        <v>50.21</v>
      </c>
      <c r="D1886">
        <v>8</v>
      </c>
      <c r="E1886">
        <v>1205.04</v>
      </c>
      <c r="F1886" t="s">
        <v>569</v>
      </c>
      <c r="G1886" t="s">
        <v>93</v>
      </c>
      <c r="H1886">
        <v>1</v>
      </c>
      <c r="I1886">
        <v>2</v>
      </c>
      <c r="J1886">
        <v>2004</v>
      </c>
      <c r="K1886" t="s">
        <v>265</v>
      </c>
      <c r="L1886">
        <v>61</v>
      </c>
      <c r="M1886" t="s">
        <v>828</v>
      </c>
      <c r="N1886" t="s">
        <v>570</v>
      </c>
      <c r="O1886" t="s">
        <v>571</v>
      </c>
      <c r="P1886" t="s">
        <v>572</v>
      </c>
      <c r="R1886" t="s">
        <v>573</v>
      </c>
      <c r="T1886">
        <v>1203</v>
      </c>
      <c r="U1886" t="s">
        <v>574</v>
      </c>
      <c r="V1886" t="s">
        <v>110</v>
      </c>
      <c r="W1886" t="s">
        <v>575</v>
      </c>
      <c r="X1886" t="s">
        <v>176</v>
      </c>
      <c r="Y1886" t="s">
        <v>104</v>
      </c>
    </row>
    <row r="1887" spans="1:25">
      <c r="A1887">
        <v>10238</v>
      </c>
      <c r="B1887">
        <v>47</v>
      </c>
      <c r="C1887">
        <v>62.45</v>
      </c>
      <c r="D1887">
        <v>2</v>
      </c>
      <c r="E1887">
        <v>2935.15</v>
      </c>
      <c r="F1887" s="4">
        <v>38234</v>
      </c>
      <c r="G1887" t="s">
        <v>93</v>
      </c>
      <c r="H1887">
        <v>2</v>
      </c>
      <c r="I1887">
        <v>4</v>
      </c>
      <c r="J1887">
        <v>2004</v>
      </c>
      <c r="K1887" t="s">
        <v>265</v>
      </c>
      <c r="L1887">
        <v>61</v>
      </c>
      <c r="M1887" t="s">
        <v>828</v>
      </c>
      <c r="N1887" t="s">
        <v>425</v>
      </c>
      <c r="O1887" t="s">
        <v>426</v>
      </c>
      <c r="P1887" t="s">
        <v>427</v>
      </c>
      <c r="R1887" t="s">
        <v>428</v>
      </c>
      <c r="T1887">
        <v>1734</v>
      </c>
      <c r="U1887" t="s">
        <v>429</v>
      </c>
      <c r="V1887" t="s">
        <v>110</v>
      </c>
      <c r="W1887" t="s">
        <v>430</v>
      </c>
      <c r="X1887" t="s">
        <v>431</v>
      </c>
      <c r="Y1887" t="s">
        <v>104</v>
      </c>
    </row>
    <row r="1888" spans="1:25">
      <c r="A1888">
        <v>10253</v>
      </c>
      <c r="B1888">
        <v>24</v>
      </c>
      <c r="C1888">
        <v>52.66</v>
      </c>
      <c r="D1888">
        <v>12</v>
      </c>
      <c r="E1888">
        <v>1263.8399999999999</v>
      </c>
      <c r="F1888" s="4">
        <v>37992</v>
      </c>
      <c r="G1888" t="s">
        <v>444</v>
      </c>
      <c r="H1888">
        <v>2</v>
      </c>
      <c r="I1888">
        <v>6</v>
      </c>
      <c r="J1888">
        <v>2004</v>
      </c>
      <c r="K1888" t="s">
        <v>265</v>
      </c>
      <c r="L1888">
        <v>61</v>
      </c>
      <c r="M1888" t="s">
        <v>828</v>
      </c>
      <c r="N1888" t="s">
        <v>247</v>
      </c>
      <c r="O1888" t="s">
        <v>248</v>
      </c>
      <c r="P1888" t="s">
        <v>249</v>
      </c>
      <c r="R1888" t="s">
        <v>250</v>
      </c>
      <c r="T1888" t="s">
        <v>251</v>
      </c>
      <c r="U1888" t="s">
        <v>252</v>
      </c>
      <c r="V1888" t="s">
        <v>110</v>
      </c>
      <c r="W1888" t="s">
        <v>253</v>
      </c>
      <c r="X1888" t="s">
        <v>254</v>
      </c>
      <c r="Y1888" t="s">
        <v>104</v>
      </c>
    </row>
    <row r="1889" spans="1:25">
      <c r="A1889">
        <v>10266</v>
      </c>
      <c r="B1889">
        <v>47</v>
      </c>
      <c r="C1889">
        <v>62.45</v>
      </c>
      <c r="D1889">
        <v>13</v>
      </c>
      <c r="E1889">
        <v>2935.15</v>
      </c>
      <c r="F1889" s="4">
        <v>38145</v>
      </c>
      <c r="G1889" t="s">
        <v>93</v>
      </c>
      <c r="H1889">
        <v>3</v>
      </c>
      <c r="I1889">
        <v>7</v>
      </c>
      <c r="J1889">
        <v>2004</v>
      </c>
      <c r="K1889" t="s">
        <v>265</v>
      </c>
      <c r="L1889">
        <v>61</v>
      </c>
      <c r="M1889" t="s">
        <v>828</v>
      </c>
      <c r="N1889" t="s">
        <v>576</v>
      </c>
      <c r="O1889" t="s">
        <v>577</v>
      </c>
      <c r="P1889" t="s">
        <v>578</v>
      </c>
      <c r="R1889" t="s">
        <v>579</v>
      </c>
      <c r="T1889">
        <v>42100</v>
      </c>
      <c r="U1889" t="s">
        <v>352</v>
      </c>
      <c r="V1889" t="s">
        <v>110</v>
      </c>
      <c r="W1889" t="s">
        <v>580</v>
      </c>
      <c r="X1889" t="s">
        <v>581</v>
      </c>
      <c r="Y1889" t="s">
        <v>104</v>
      </c>
    </row>
    <row r="1890" spans="1:25">
      <c r="A1890">
        <v>10276</v>
      </c>
      <c r="B1890">
        <v>20</v>
      </c>
      <c r="C1890">
        <v>61.23</v>
      </c>
      <c r="D1890">
        <v>2</v>
      </c>
      <c r="E1890">
        <v>1224.5999999999999</v>
      </c>
      <c r="F1890" s="4">
        <v>38025</v>
      </c>
      <c r="G1890" t="s">
        <v>93</v>
      </c>
      <c r="H1890">
        <v>3</v>
      </c>
      <c r="I1890">
        <v>8</v>
      </c>
      <c r="J1890">
        <v>2004</v>
      </c>
      <c r="K1890" t="s">
        <v>265</v>
      </c>
      <c r="L1890">
        <v>61</v>
      </c>
      <c r="M1890" t="s">
        <v>828</v>
      </c>
      <c r="N1890" t="s">
        <v>582</v>
      </c>
      <c r="O1890">
        <v>6175557555</v>
      </c>
      <c r="P1890" t="s">
        <v>583</v>
      </c>
      <c r="R1890" t="s">
        <v>381</v>
      </c>
      <c r="S1890" t="s">
        <v>200</v>
      </c>
      <c r="T1890">
        <v>58339</v>
      </c>
      <c r="U1890" t="s">
        <v>100</v>
      </c>
      <c r="V1890" t="s">
        <v>101</v>
      </c>
      <c r="W1890" t="s">
        <v>584</v>
      </c>
      <c r="X1890" t="s">
        <v>585</v>
      </c>
      <c r="Y1890" t="s">
        <v>104</v>
      </c>
    </row>
    <row r="1891" spans="1:25">
      <c r="A1891">
        <v>10287</v>
      </c>
      <c r="B1891">
        <v>20</v>
      </c>
      <c r="C1891">
        <v>67.97</v>
      </c>
      <c r="D1891">
        <v>11</v>
      </c>
      <c r="E1891">
        <v>1359.4</v>
      </c>
      <c r="F1891" t="s">
        <v>586</v>
      </c>
      <c r="G1891" t="s">
        <v>93</v>
      </c>
      <c r="H1891">
        <v>3</v>
      </c>
      <c r="I1891">
        <v>8</v>
      </c>
      <c r="J1891">
        <v>2004</v>
      </c>
      <c r="K1891" t="s">
        <v>265</v>
      </c>
      <c r="L1891">
        <v>61</v>
      </c>
      <c r="M1891" t="s">
        <v>828</v>
      </c>
      <c r="N1891" t="s">
        <v>570</v>
      </c>
      <c r="O1891" t="s">
        <v>571</v>
      </c>
      <c r="P1891" t="s">
        <v>572</v>
      </c>
      <c r="R1891" t="s">
        <v>573</v>
      </c>
      <c r="T1891">
        <v>1203</v>
      </c>
      <c r="U1891" t="s">
        <v>574</v>
      </c>
      <c r="V1891" t="s">
        <v>110</v>
      </c>
      <c r="W1891" t="s">
        <v>575</v>
      </c>
      <c r="X1891" t="s">
        <v>176</v>
      </c>
      <c r="Y1891" t="s">
        <v>104</v>
      </c>
    </row>
    <row r="1892" spans="1:25">
      <c r="A1892">
        <v>10300</v>
      </c>
      <c r="B1892">
        <v>31</v>
      </c>
      <c r="C1892">
        <v>58.78</v>
      </c>
      <c r="D1892">
        <v>4</v>
      </c>
      <c r="E1892">
        <v>1822.18</v>
      </c>
      <c r="F1892" s="4">
        <v>37721</v>
      </c>
      <c r="G1892" t="s">
        <v>93</v>
      </c>
      <c r="H1892">
        <v>4</v>
      </c>
      <c r="I1892">
        <v>10</v>
      </c>
      <c r="J1892">
        <v>2003</v>
      </c>
      <c r="K1892" t="s">
        <v>265</v>
      </c>
      <c r="L1892">
        <v>61</v>
      </c>
      <c r="M1892" t="s">
        <v>828</v>
      </c>
      <c r="N1892" t="s">
        <v>587</v>
      </c>
      <c r="O1892" t="s">
        <v>588</v>
      </c>
      <c r="P1892" t="s">
        <v>589</v>
      </c>
      <c r="R1892" t="s">
        <v>590</v>
      </c>
      <c r="T1892">
        <v>60528</v>
      </c>
      <c r="U1892" t="s">
        <v>566</v>
      </c>
      <c r="V1892" t="s">
        <v>110</v>
      </c>
      <c r="W1892" t="s">
        <v>591</v>
      </c>
      <c r="X1892" t="s">
        <v>532</v>
      </c>
      <c r="Y1892" t="s">
        <v>104</v>
      </c>
    </row>
    <row r="1893" spans="1:25">
      <c r="A1893">
        <v>10310</v>
      </c>
      <c r="B1893">
        <v>38</v>
      </c>
      <c r="C1893">
        <v>56.94</v>
      </c>
      <c r="D1893">
        <v>9</v>
      </c>
      <c r="E1893">
        <v>2163.7199999999998</v>
      </c>
      <c r="F1893" t="s">
        <v>592</v>
      </c>
      <c r="G1893" t="s">
        <v>93</v>
      </c>
      <c r="H1893">
        <v>4</v>
      </c>
      <c r="I1893">
        <v>10</v>
      </c>
      <c r="J1893">
        <v>2004</v>
      </c>
      <c r="K1893" t="s">
        <v>265</v>
      </c>
      <c r="L1893">
        <v>61</v>
      </c>
      <c r="M1893" t="s">
        <v>828</v>
      </c>
      <c r="N1893" t="s">
        <v>562</v>
      </c>
      <c r="O1893" t="s">
        <v>563</v>
      </c>
      <c r="P1893" t="s">
        <v>564</v>
      </c>
      <c r="R1893" t="s">
        <v>565</v>
      </c>
      <c r="T1893">
        <v>50739</v>
      </c>
      <c r="U1893" t="s">
        <v>566</v>
      </c>
      <c r="V1893" t="s">
        <v>110</v>
      </c>
      <c r="W1893" t="s">
        <v>567</v>
      </c>
      <c r="X1893" t="s">
        <v>568</v>
      </c>
      <c r="Y1893" t="s">
        <v>104</v>
      </c>
    </row>
    <row r="1894" spans="1:25">
      <c r="A1894">
        <v>10320</v>
      </c>
      <c r="B1894">
        <v>26</v>
      </c>
      <c r="C1894">
        <v>61.23</v>
      </c>
      <c r="D1894">
        <v>2</v>
      </c>
      <c r="E1894">
        <v>1591.98</v>
      </c>
      <c r="F1894" s="4">
        <v>38057</v>
      </c>
      <c r="G1894" t="s">
        <v>93</v>
      </c>
      <c r="H1894">
        <v>4</v>
      </c>
      <c r="I1894">
        <v>11</v>
      </c>
      <c r="J1894">
        <v>2004</v>
      </c>
      <c r="K1894" t="s">
        <v>265</v>
      </c>
      <c r="L1894">
        <v>61</v>
      </c>
      <c r="M1894" t="s">
        <v>828</v>
      </c>
      <c r="N1894" t="s">
        <v>268</v>
      </c>
      <c r="O1894" t="s">
        <v>269</v>
      </c>
      <c r="P1894" t="s">
        <v>270</v>
      </c>
      <c r="R1894" t="s">
        <v>271</v>
      </c>
      <c r="T1894" t="s">
        <v>272</v>
      </c>
      <c r="U1894" t="s">
        <v>273</v>
      </c>
      <c r="V1894" t="s">
        <v>110</v>
      </c>
      <c r="W1894" t="s">
        <v>274</v>
      </c>
      <c r="X1894" t="s">
        <v>275</v>
      </c>
      <c r="Y1894" t="s">
        <v>104</v>
      </c>
    </row>
    <row r="1895" spans="1:25">
      <c r="A1895">
        <v>10331</v>
      </c>
      <c r="B1895">
        <v>25</v>
      </c>
      <c r="C1895">
        <v>100</v>
      </c>
      <c r="D1895">
        <v>9</v>
      </c>
      <c r="E1895">
        <v>3078.5</v>
      </c>
      <c r="F1895" t="s">
        <v>695</v>
      </c>
      <c r="G1895" t="s">
        <v>93</v>
      </c>
      <c r="H1895">
        <v>4</v>
      </c>
      <c r="I1895">
        <v>11</v>
      </c>
      <c r="J1895">
        <v>2004</v>
      </c>
      <c r="K1895" t="s">
        <v>265</v>
      </c>
      <c r="L1895">
        <v>61</v>
      </c>
      <c r="M1895" t="s">
        <v>828</v>
      </c>
      <c r="N1895" t="s">
        <v>410</v>
      </c>
      <c r="O1895">
        <v>2155559857</v>
      </c>
      <c r="P1895" t="s">
        <v>411</v>
      </c>
      <c r="R1895" t="s">
        <v>306</v>
      </c>
      <c r="S1895" t="s">
        <v>221</v>
      </c>
      <c r="T1895">
        <v>71270</v>
      </c>
      <c r="U1895" t="s">
        <v>100</v>
      </c>
      <c r="V1895" t="s">
        <v>101</v>
      </c>
      <c r="W1895" t="s">
        <v>201</v>
      </c>
      <c r="X1895" t="s">
        <v>412</v>
      </c>
      <c r="Y1895" t="s">
        <v>119</v>
      </c>
    </row>
    <row r="1896" spans="1:25">
      <c r="A1896">
        <v>10342</v>
      </c>
      <c r="B1896">
        <v>48</v>
      </c>
      <c r="C1896">
        <v>62.45</v>
      </c>
      <c r="D1896">
        <v>10</v>
      </c>
      <c r="E1896">
        <v>2997.6</v>
      </c>
      <c r="F1896" t="s">
        <v>224</v>
      </c>
      <c r="G1896" t="s">
        <v>93</v>
      </c>
      <c r="H1896">
        <v>4</v>
      </c>
      <c r="I1896">
        <v>11</v>
      </c>
      <c r="J1896">
        <v>2004</v>
      </c>
      <c r="K1896" t="s">
        <v>265</v>
      </c>
      <c r="L1896">
        <v>61</v>
      </c>
      <c r="M1896" t="s">
        <v>828</v>
      </c>
      <c r="N1896" t="s">
        <v>162</v>
      </c>
      <c r="O1896" t="s">
        <v>163</v>
      </c>
      <c r="P1896" t="s">
        <v>164</v>
      </c>
      <c r="Q1896" t="s">
        <v>165</v>
      </c>
      <c r="R1896" t="s">
        <v>166</v>
      </c>
      <c r="S1896" t="s">
        <v>167</v>
      </c>
      <c r="T1896">
        <v>3004</v>
      </c>
      <c r="U1896" t="s">
        <v>168</v>
      </c>
      <c r="V1896" t="s">
        <v>169</v>
      </c>
      <c r="W1896" t="s">
        <v>170</v>
      </c>
      <c r="X1896" t="s">
        <v>171</v>
      </c>
      <c r="Y1896" t="s">
        <v>104</v>
      </c>
    </row>
    <row r="1897" spans="1:25">
      <c r="A1897">
        <v>10355</v>
      </c>
      <c r="B1897">
        <v>44</v>
      </c>
      <c r="C1897">
        <v>62.45</v>
      </c>
      <c r="D1897">
        <v>6</v>
      </c>
      <c r="E1897">
        <v>2747.8</v>
      </c>
      <c r="F1897" s="4">
        <v>38180</v>
      </c>
      <c r="G1897" t="s">
        <v>93</v>
      </c>
      <c r="H1897">
        <v>4</v>
      </c>
      <c r="I1897">
        <v>12</v>
      </c>
      <c r="J1897">
        <v>2004</v>
      </c>
      <c r="K1897" t="s">
        <v>265</v>
      </c>
      <c r="L1897">
        <v>61</v>
      </c>
      <c r="M1897" t="s">
        <v>828</v>
      </c>
      <c r="N1897" t="s">
        <v>257</v>
      </c>
      <c r="O1897" t="s">
        <v>258</v>
      </c>
      <c r="P1897" t="s">
        <v>259</v>
      </c>
      <c r="R1897" t="s">
        <v>260</v>
      </c>
      <c r="T1897">
        <v>28034</v>
      </c>
      <c r="U1897" t="s">
        <v>261</v>
      </c>
      <c r="V1897" t="s">
        <v>110</v>
      </c>
      <c r="W1897" t="s">
        <v>262</v>
      </c>
      <c r="X1897" t="s">
        <v>263</v>
      </c>
      <c r="Y1897" t="s">
        <v>104</v>
      </c>
    </row>
    <row r="1898" spans="1:25">
      <c r="A1898">
        <v>10363</v>
      </c>
      <c r="B1898">
        <v>21</v>
      </c>
      <c r="C1898">
        <v>100</v>
      </c>
      <c r="D1898">
        <v>15</v>
      </c>
      <c r="E1898">
        <v>2447.7600000000002</v>
      </c>
      <c r="F1898" s="4">
        <v>38504</v>
      </c>
      <c r="G1898" t="s">
        <v>93</v>
      </c>
      <c r="H1898">
        <v>1</v>
      </c>
      <c r="I1898">
        <v>1</v>
      </c>
      <c r="J1898">
        <v>2005</v>
      </c>
      <c r="K1898" t="s">
        <v>265</v>
      </c>
      <c r="L1898">
        <v>61</v>
      </c>
      <c r="M1898" t="s">
        <v>828</v>
      </c>
      <c r="N1898" t="s">
        <v>593</v>
      </c>
      <c r="O1898" t="s">
        <v>594</v>
      </c>
      <c r="P1898" t="s">
        <v>595</v>
      </c>
      <c r="R1898" t="s">
        <v>596</v>
      </c>
      <c r="T1898" t="s">
        <v>597</v>
      </c>
      <c r="U1898" t="s">
        <v>208</v>
      </c>
      <c r="V1898" t="s">
        <v>110</v>
      </c>
      <c r="W1898" t="s">
        <v>598</v>
      </c>
      <c r="X1898" t="s">
        <v>599</v>
      </c>
      <c r="Y1898" t="s">
        <v>104</v>
      </c>
    </row>
    <row r="1899" spans="1:25">
      <c r="A1899">
        <v>10378</v>
      </c>
      <c r="B1899">
        <v>46</v>
      </c>
      <c r="C1899">
        <v>41.54</v>
      </c>
      <c r="D1899">
        <v>6</v>
      </c>
      <c r="E1899">
        <v>1910.84</v>
      </c>
      <c r="F1899" s="4">
        <v>38627</v>
      </c>
      <c r="G1899" t="s">
        <v>93</v>
      </c>
      <c r="H1899">
        <v>1</v>
      </c>
      <c r="I1899">
        <v>2</v>
      </c>
      <c r="J1899">
        <v>2005</v>
      </c>
      <c r="K1899" t="s">
        <v>265</v>
      </c>
      <c r="L1899">
        <v>61</v>
      </c>
      <c r="M1899" t="s">
        <v>828</v>
      </c>
      <c r="N1899" t="s">
        <v>257</v>
      </c>
      <c r="O1899" t="s">
        <v>258</v>
      </c>
      <c r="P1899" t="s">
        <v>259</v>
      </c>
      <c r="R1899" t="s">
        <v>260</v>
      </c>
      <c r="T1899">
        <v>28034</v>
      </c>
      <c r="U1899" t="s">
        <v>261</v>
      </c>
      <c r="V1899" t="s">
        <v>110</v>
      </c>
      <c r="W1899" t="s">
        <v>262</v>
      </c>
      <c r="X1899" t="s">
        <v>263</v>
      </c>
      <c r="Y1899" t="s">
        <v>104</v>
      </c>
    </row>
    <row r="1900" spans="1:25">
      <c r="A1900">
        <v>10390</v>
      </c>
      <c r="B1900">
        <v>46</v>
      </c>
      <c r="C1900">
        <v>52.84</v>
      </c>
      <c r="D1900">
        <v>6</v>
      </c>
      <c r="E1900">
        <v>2430.64</v>
      </c>
      <c r="F1900" s="4">
        <v>38445</v>
      </c>
      <c r="G1900" t="s">
        <v>93</v>
      </c>
      <c r="H1900">
        <v>1</v>
      </c>
      <c r="I1900">
        <v>3</v>
      </c>
      <c r="J1900">
        <v>2005</v>
      </c>
      <c r="K1900" t="s">
        <v>265</v>
      </c>
      <c r="L1900">
        <v>61</v>
      </c>
      <c r="M1900" t="s">
        <v>828</v>
      </c>
      <c r="N1900" t="s">
        <v>367</v>
      </c>
      <c r="O1900">
        <v>4155551450</v>
      </c>
      <c r="P1900" t="s">
        <v>368</v>
      </c>
      <c r="R1900" t="s">
        <v>369</v>
      </c>
      <c r="S1900" t="s">
        <v>124</v>
      </c>
      <c r="T1900">
        <v>97562</v>
      </c>
      <c r="U1900" t="s">
        <v>100</v>
      </c>
      <c r="V1900" t="s">
        <v>101</v>
      </c>
      <c r="W1900" t="s">
        <v>370</v>
      </c>
      <c r="X1900" t="s">
        <v>371</v>
      </c>
      <c r="Y1900" t="s">
        <v>104</v>
      </c>
    </row>
    <row r="1901" spans="1:25">
      <c r="A1901">
        <v>10419</v>
      </c>
      <c r="B1901">
        <v>55</v>
      </c>
      <c r="C1901">
        <v>52.66</v>
      </c>
      <c r="D1901">
        <v>12</v>
      </c>
      <c r="E1901">
        <v>2896.3</v>
      </c>
      <c r="F1901" t="s">
        <v>600</v>
      </c>
      <c r="G1901" t="s">
        <v>93</v>
      </c>
      <c r="H1901">
        <v>2</v>
      </c>
      <c r="I1901">
        <v>5</v>
      </c>
      <c r="J1901">
        <v>2005</v>
      </c>
      <c r="K1901" t="s">
        <v>265</v>
      </c>
      <c r="L1901">
        <v>61</v>
      </c>
      <c r="M1901" t="s">
        <v>828</v>
      </c>
      <c r="N1901" t="s">
        <v>225</v>
      </c>
      <c r="O1901" t="s">
        <v>226</v>
      </c>
      <c r="P1901" t="s">
        <v>227</v>
      </c>
      <c r="R1901" t="s">
        <v>228</v>
      </c>
      <c r="T1901">
        <v>5020</v>
      </c>
      <c r="U1901" t="s">
        <v>229</v>
      </c>
      <c r="V1901" t="s">
        <v>110</v>
      </c>
      <c r="W1901" t="s">
        <v>230</v>
      </c>
      <c r="X1901" t="s">
        <v>231</v>
      </c>
      <c r="Y1901" t="s">
        <v>104</v>
      </c>
    </row>
    <row r="1902" spans="1:25">
      <c r="A1902">
        <v>10106</v>
      </c>
      <c r="B1902">
        <v>31</v>
      </c>
      <c r="C1902">
        <v>52.6</v>
      </c>
      <c r="D1902">
        <v>14</v>
      </c>
      <c r="E1902">
        <v>1630.6</v>
      </c>
      <c r="F1902" t="s">
        <v>725</v>
      </c>
      <c r="G1902" t="s">
        <v>93</v>
      </c>
      <c r="H1902">
        <v>1</v>
      </c>
      <c r="I1902">
        <v>2</v>
      </c>
      <c r="J1902">
        <v>2003</v>
      </c>
      <c r="K1902" t="s">
        <v>697</v>
      </c>
      <c r="L1902">
        <v>65</v>
      </c>
      <c r="M1902" t="s">
        <v>829</v>
      </c>
      <c r="N1902" t="s">
        <v>703</v>
      </c>
      <c r="O1902" t="s">
        <v>704</v>
      </c>
      <c r="P1902" t="s">
        <v>705</v>
      </c>
      <c r="R1902" t="s">
        <v>706</v>
      </c>
      <c r="T1902">
        <v>24100</v>
      </c>
      <c r="U1902" t="s">
        <v>352</v>
      </c>
      <c r="V1902" t="s">
        <v>110</v>
      </c>
      <c r="W1902" t="s">
        <v>707</v>
      </c>
      <c r="X1902" t="s">
        <v>708</v>
      </c>
      <c r="Y1902" t="s">
        <v>104</v>
      </c>
    </row>
    <row r="1903" spans="1:25">
      <c r="A1903">
        <v>10119</v>
      </c>
      <c r="B1903">
        <v>20</v>
      </c>
      <c r="C1903">
        <v>72.98</v>
      </c>
      <c r="D1903">
        <v>5</v>
      </c>
      <c r="E1903">
        <v>1459.6</v>
      </c>
      <c r="F1903" t="s">
        <v>432</v>
      </c>
      <c r="G1903" t="s">
        <v>93</v>
      </c>
      <c r="H1903">
        <v>2</v>
      </c>
      <c r="I1903">
        <v>4</v>
      </c>
      <c r="J1903">
        <v>2003</v>
      </c>
      <c r="K1903" t="s">
        <v>697</v>
      </c>
      <c r="L1903">
        <v>65</v>
      </c>
      <c r="M1903" t="s">
        <v>829</v>
      </c>
      <c r="N1903" t="s">
        <v>225</v>
      </c>
      <c r="O1903" t="s">
        <v>226</v>
      </c>
      <c r="P1903" t="s">
        <v>227</v>
      </c>
      <c r="R1903" t="s">
        <v>228</v>
      </c>
      <c r="T1903">
        <v>5020</v>
      </c>
      <c r="U1903" t="s">
        <v>229</v>
      </c>
      <c r="V1903" t="s">
        <v>110</v>
      </c>
      <c r="W1903" t="s">
        <v>230</v>
      </c>
      <c r="X1903" t="s">
        <v>231</v>
      </c>
      <c r="Y1903" t="s">
        <v>104</v>
      </c>
    </row>
    <row r="1904" spans="1:25">
      <c r="A1904">
        <v>10131</v>
      </c>
      <c r="B1904">
        <v>29</v>
      </c>
      <c r="C1904">
        <v>59.18</v>
      </c>
      <c r="D1904">
        <v>6</v>
      </c>
      <c r="E1904">
        <v>1716.22</v>
      </c>
      <c r="F1904" t="s">
        <v>728</v>
      </c>
      <c r="G1904" t="s">
        <v>93</v>
      </c>
      <c r="H1904">
        <v>2</v>
      </c>
      <c r="I1904">
        <v>6</v>
      </c>
      <c r="J1904">
        <v>2003</v>
      </c>
      <c r="K1904" t="s">
        <v>697</v>
      </c>
      <c r="L1904">
        <v>65</v>
      </c>
      <c r="M1904" t="s">
        <v>829</v>
      </c>
      <c r="N1904" t="s">
        <v>729</v>
      </c>
      <c r="O1904">
        <v>2035554407</v>
      </c>
      <c r="P1904" t="s">
        <v>730</v>
      </c>
      <c r="R1904" t="s">
        <v>656</v>
      </c>
      <c r="S1904" t="s">
        <v>187</v>
      </c>
      <c r="T1904">
        <v>97561</v>
      </c>
      <c r="U1904" t="s">
        <v>100</v>
      </c>
      <c r="V1904" t="s">
        <v>101</v>
      </c>
      <c r="W1904" t="s">
        <v>731</v>
      </c>
      <c r="X1904" t="s">
        <v>732</v>
      </c>
      <c r="Y1904" t="s">
        <v>104</v>
      </c>
    </row>
    <row r="1905" spans="1:25">
      <c r="A1905">
        <v>10143</v>
      </c>
      <c r="B1905">
        <v>33</v>
      </c>
      <c r="C1905">
        <v>77.59</v>
      </c>
      <c r="D1905">
        <v>9</v>
      </c>
      <c r="E1905">
        <v>2560.4699999999998</v>
      </c>
      <c r="F1905" s="4">
        <v>37902</v>
      </c>
      <c r="G1905" t="s">
        <v>93</v>
      </c>
      <c r="H1905">
        <v>3</v>
      </c>
      <c r="I1905">
        <v>8</v>
      </c>
      <c r="J1905">
        <v>2003</v>
      </c>
      <c r="K1905" t="s">
        <v>697</v>
      </c>
      <c r="L1905">
        <v>65</v>
      </c>
      <c r="M1905" t="s">
        <v>829</v>
      </c>
      <c r="N1905" t="s">
        <v>439</v>
      </c>
      <c r="O1905">
        <v>5085559555</v>
      </c>
      <c r="P1905" t="s">
        <v>440</v>
      </c>
      <c r="R1905" t="s">
        <v>244</v>
      </c>
      <c r="S1905" t="s">
        <v>200</v>
      </c>
      <c r="T1905">
        <v>50553</v>
      </c>
      <c r="U1905" t="s">
        <v>100</v>
      </c>
      <c r="V1905" t="s">
        <v>101</v>
      </c>
      <c r="W1905" t="s">
        <v>441</v>
      </c>
      <c r="X1905" t="s">
        <v>442</v>
      </c>
      <c r="Y1905" t="s">
        <v>104</v>
      </c>
    </row>
    <row r="1906" spans="1:25">
      <c r="A1906">
        <v>10155</v>
      </c>
      <c r="B1906">
        <v>34</v>
      </c>
      <c r="C1906">
        <v>55.89</v>
      </c>
      <c r="D1906">
        <v>7</v>
      </c>
      <c r="E1906">
        <v>1900.26</v>
      </c>
      <c r="F1906" s="4">
        <v>37782</v>
      </c>
      <c r="G1906" t="s">
        <v>93</v>
      </c>
      <c r="H1906">
        <v>4</v>
      </c>
      <c r="I1906">
        <v>10</v>
      </c>
      <c r="J1906">
        <v>2003</v>
      </c>
      <c r="K1906" t="s">
        <v>697</v>
      </c>
      <c r="L1906">
        <v>65</v>
      </c>
      <c r="M1906" t="s">
        <v>829</v>
      </c>
      <c r="N1906" t="s">
        <v>204</v>
      </c>
      <c r="O1906" t="s">
        <v>205</v>
      </c>
      <c r="P1906" t="s">
        <v>206</v>
      </c>
      <c r="R1906" t="s">
        <v>207</v>
      </c>
      <c r="T1906">
        <v>21240</v>
      </c>
      <c r="U1906" t="s">
        <v>208</v>
      </c>
      <c r="V1906" t="s">
        <v>110</v>
      </c>
      <c r="W1906" t="s">
        <v>209</v>
      </c>
      <c r="X1906" t="s">
        <v>210</v>
      </c>
      <c r="Y1906" t="s">
        <v>104</v>
      </c>
    </row>
    <row r="1907" spans="1:25">
      <c r="A1907">
        <v>10167</v>
      </c>
      <c r="B1907">
        <v>32</v>
      </c>
      <c r="C1907">
        <v>63.12</v>
      </c>
      <c r="D1907">
        <v>3</v>
      </c>
      <c r="E1907">
        <v>2019.84</v>
      </c>
      <c r="F1907" t="s">
        <v>443</v>
      </c>
      <c r="G1907" t="s">
        <v>444</v>
      </c>
      <c r="H1907">
        <v>4</v>
      </c>
      <c r="I1907">
        <v>10</v>
      </c>
      <c r="J1907">
        <v>2003</v>
      </c>
      <c r="K1907" t="s">
        <v>697</v>
      </c>
      <c r="L1907">
        <v>65</v>
      </c>
      <c r="M1907" t="s">
        <v>829</v>
      </c>
      <c r="N1907" t="s">
        <v>355</v>
      </c>
      <c r="O1907" t="s">
        <v>356</v>
      </c>
      <c r="P1907" t="s">
        <v>357</v>
      </c>
      <c r="R1907" t="s">
        <v>358</v>
      </c>
      <c r="T1907" t="s">
        <v>359</v>
      </c>
      <c r="U1907" t="s">
        <v>273</v>
      </c>
      <c r="V1907" t="s">
        <v>110</v>
      </c>
      <c r="W1907" t="s">
        <v>360</v>
      </c>
      <c r="X1907" t="s">
        <v>295</v>
      </c>
      <c r="Y1907" t="s">
        <v>104</v>
      </c>
    </row>
    <row r="1908" spans="1:25">
      <c r="A1908">
        <v>10178</v>
      </c>
      <c r="B1908">
        <v>27</v>
      </c>
      <c r="C1908">
        <v>73.64</v>
      </c>
      <c r="D1908">
        <v>6</v>
      </c>
      <c r="E1908">
        <v>1988.28</v>
      </c>
      <c r="F1908" s="4">
        <v>37844</v>
      </c>
      <c r="G1908" t="s">
        <v>93</v>
      </c>
      <c r="H1908">
        <v>4</v>
      </c>
      <c r="I1908">
        <v>11</v>
      </c>
      <c r="J1908">
        <v>2003</v>
      </c>
      <c r="K1908" t="s">
        <v>697</v>
      </c>
      <c r="L1908">
        <v>65</v>
      </c>
      <c r="M1908" t="s">
        <v>829</v>
      </c>
      <c r="N1908" t="s">
        <v>445</v>
      </c>
      <c r="O1908" t="s">
        <v>446</v>
      </c>
      <c r="P1908" t="s">
        <v>447</v>
      </c>
      <c r="R1908" t="s">
        <v>448</v>
      </c>
      <c r="T1908">
        <v>31000</v>
      </c>
      <c r="U1908" t="s">
        <v>109</v>
      </c>
      <c r="V1908" t="s">
        <v>110</v>
      </c>
      <c r="W1908" t="s">
        <v>449</v>
      </c>
      <c r="X1908" t="s">
        <v>450</v>
      </c>
      <c r="Y1908" t="s">
        <v>104</v>
      </c>
    </row>
    <row r="1909" spans="1:25">
      <c r="A1909">
        <v>10186</v>
      </c>
      <c r="B1909">
        <v>21</v>
      </c>
      <c r="C1909">
        <v>69.040000000000006</v>
      </c>
      <c r="D1909">
        <v>3</v>
      </c>
      <c r="E1909">
        <v>1449.84</v>
      </c>
      <c r="F1909" t="s">
        <v>451</v>
      </c>
      <c r="G1909" t="s">
        <v>93</v>
      </c>
      <c r="H1909">
        <v>4</v>
      </c>
      <c r="I1909">
        <v>11</v>
      </c>
      <c r="J1909">
        <v>2003</v>
      </c>
      <c r="K1909" t="s">
        <v>697</v>
      </c>
      <c r="L1909">
        <v>65</v>
      </c>
      <c r="M1909" t="s">
        <v>829</v>
      </c>
      <c r="N1909" t="s">
        <v>452</v>
      </c>
      <c r="O1909" t="s">
        <v>453</v>
      </c>
      <c r="P1909" t="s">
        <v>454</v>
      </c>
      <c r="R1909" t="s">
        <v>436</v>
      </c>
      <c r="T1909" t="s">
        <v>455</v>
      </c>
      <c r="U1909" t="s">
        <v>252</v>
      </c>
      <c r="V1909" t="s">
        <v>110</v>
      </c>
      <c r="W1909" t="s">
        <v>456</v>
      </c>
      <c r="X1909" t="s">
        <v>457</v>
      </c>
      <c r="Y1909" t="s">
        <v>104</v>
      </c>
    </row>
    <row r="1910" spans="1:25">
      <c r="A1910">
        <v>10198</v>
      </c>
      <c r="B1910">
        <v>27</v>
      </c>
      <c r="C1910">
        <v>71.67</v>
      </c>
      <c r="D1910">
        <v>6</v>
      </c>
      <c r="E1910">
        <v>1935.09</v>
      </c>
      <c r="F1910" t="s">
        <v>733</v>
      </c>
      <c r="G1910" t="s">
        <v>93</v>
      </c>
      <c r="H1910">
        <v>4</v>
      </c>
      <c r="I1910">
        <v>11</v>
      </c>
      <c r="J1910">
        <v>2003</v>
      </c>
      <c r="K1910" t="s">
        <v>697</v>
      </c>
      <c r="L1910">
        <v>65</v>
      </c>
      <c r="M1910" t="s">
        <v>829</v>
      </c>
      <c r="N1910" t="s">
        <v>547</v>
      </c>
      <c r="O1910" t="s">
        <v>548</v>
      </c>
      <c r="P1910" t="s">
        <v>549</v>
      </c>
      <c r="R1910" t="s">
        <v>550</v>
      </c>
      <c r="T1910" t="s">
        <v>551</v>
      </c>
      <c r="U1910" t="s">
        <v>552</v>
      </c>
      <c r="V1910" t="s">
        <v>288</v>
      </c>
      <c r="W1910" t="s">
        <v>553</v>
      </c>
      <c r="X1910" t="s">
        <v>554</v>
      </c>
      <c r="Y1910" t="s">
        <v>104</v>
      </c>
    </row>
    <row r="1911" spans="1:25">
      <c r="A1911">
        <v>10209</v>
      </c>
      <c r="B1911">
        <v>36</v>
      </c>
      <c r="C1911">
        <v>77.59</v>
      </c>
      <c r="D1911">
        <v>2</v>
      </c>
      <c r="E1911">
        <v>2793.24</v>
      </c>
      <c r="F1911" s="4">
        <v>38231</v>
      </c>
      <c r="G1911" t="s">
        <v>93</v>
      </c>
      <c r="H1911">
        <v>1</v>
      </c>
      <c r="I1911">
        <v>1</v>
      </c>
      <c r="J1911">
        <v>2004</v>
      </c>
      <c r="K1911" t="s">
        <v>697</v>
      </c>
      <c r="L1911">
        <v>65</v>
      </c>
      <c r="M1911" t="s">
        <v>829</v>
      </c>
      <c r="N1911" t="s">
        <v>465</v>
      </c>
      <c r="O1911">
        <v>2155554369</v>
      </c>
      <c r="P1911" t="s">
        <v>466</v>
      </c>
      <c r="R1911" t="s">
        <v>467</v>
      </c>
      <c r="S1911" t="s">
        <v>124</v>
      </c>
      <c r="U1911" t="s">
        <v>100</v>
      </c>
      <c r="V1911" t="s">
        <v>101</v>
      </c>
      <c r="W1911" t="s">
        <v>468</v>
      </c>
      <c r="X1911" t="s">
        <v>176</v>
      </c>
      <c r="Y1911" t="s">
        <v>104</v>
      </c>
    </row>
    <row r="1912" spans="1:25">
      <c r="A1912">
        <v>10222</v>
      </c>
      <c r="B1912">
        <v>43</v>
      </c>
      <c r="C1912">
        <v>70.349999999999994</v>
      </c>
      <c r="D1912">
        <v>6</v>
      </c>
      <c r="E1912">
        <v>3025.05</v>
      </c>
      <c r="F1912" t="s">
        <v>469</v>
      </c>
      <c r="G1912" t="s">
        <v>93</v>
      </c>
      <c r="H1912">
        <v>1</v>
      </c>
      <c r="I1912">
        <v>2</v>
      </c>
      <c r="J1912">
        <v>2004</v>
      </c>
      <c r="K1912" t="s">
        <v>697</v>
      </c>
      <c r="L1912">
        <v>65</v>
      </c>
      <c r="M1912" t="s">
        <v>829</v>
      </c>
      <c r="N1912" t="s">
        <v>470</v>
      </c>
      <c r="O1912">
        <v>7605558146</v>
      </c>
      <c r="P1912" t="s">
        <v>471</v>
      </c>
      <c r="R1912" t="s">
        <v>472</v>
      </c>
      <c r="S1912" t="s">
        <v>124</v>
      </c>
      <c r="T1912">
        <v>91217</v>
      </c>
      <c r="U1912" t="s">
        <v>100</v>
      </c>
      <c r="V1912" t="s">
        <v>101</v>
      </c>
      <c r="W1912" t="s">
        <v>6</v>
      </c>
      <c r="X1912" t="s">
        <v>371</v>
      </c>
      <c r="Y1912" t="s">
        <v>119</v>
      </c>
    </row>
    <row r="1913" spans="1:25">
      <c r="A1913">
        <v>10249</v>
      </c>
      <c r="B1913">
        <v>25</v>
      </c>
      <c r="C1913">
        <v>69.7</v>
      </c>
      <c r="D1913">
        <v>2</v>
      </c>
      <c r="E1913">
        <v>1742.5</v>
      </c>
      <c r="F1913" s="4">
        <v>38204</v>
      </c>
      <c r="G1913" t="s">
        <v>93</v>
      </c>
      <c r="H1913">
        <v>2</v>
      </c>
      <c r="I1913">
        <v>5</v>
      </c>
      <c r="J1913">
        <v>2004</v>
      </c>
      <c r="K1913" t="s">
        <v>697</v>
      </c>
      <c r="L1913">
        <v>65</v>
      </c>
      <c r="M1913" t="s">
        <v>829</v>
      </c>
      <c r="N1913" t="s">
        <v>330</v>
      </c>
      <c r="O1913">
        <v>6175555555</v>
      </c>
      <c r="P1913" t="s">
        <v>331</v>
      </c>
      <c r="R1913" t="s">
        <v>199</v>
      </c>
      <c r="S1913" t="s">
        <v>200</v>
      </c>
      <c r="T1913">
        <v>51247</v>
      </c>
      <c r="U1913" t="s">
        <v>100</v>
      </c>
      <c r="V1913" t="s">
        <v>101</v>
      </c>
      <c r="W1913" t="s">
        <v>332</v>
      </c>
      <c r="X1913" t="s">
        <v>222</v>
      </c>
      <c r="Y1913" t="s">
        <v>104</v>
      </c>
    </row>
    <row r="1914" spans="1:25">
      <c r="A1914">
        <v>10262</v>
      </c>
      <c r="B1914">
        <v>46</v>
      </c>
      <c r="C1914">
        <v>70.349999999999994</v>
      </c>
      <c r="D1914">
        <v>11</v>
      </c>
      <c r="E1914">
        <v>3236.1</v>
      </c>
      <c r="F1914" t="s">
        <v>734</v>
      </c>
      <c r="G1914" t="s">
        <v>444</v>
      </c>
      <c r="H1914">
        <v>2</v>
      </c>
      <c r="I1914">
        <v>6</v>
      </c>
      <c r="J1914">
        <v>2004</v>
      </c>
      <c r="K1914" t="s">
        <v>697</v>
      </c>
      <c r="L1914">
        <v>65</v>
      </c>
      <c r="M1914" t="s">
        <v>829</v>
      </c>
      <c r="N1914" t="s">
        <v>257</v>
      </c>
      <c r="O1914" t="s">
        <v>258</v>
      </c>
      <c r="P1914" t="s">
        <v>259</v>
      </c>
      <c r="R1914" t="s">
        <v>260</v>
      </c>
      <c r="T1914">
        <v>28034</v>
      </c>
      <c r="U1914" t="s">
        <v>261</v>
      </c>
      <c r="V1914" t="s">
        <v>110</v>
      </c>
      <c r="W1914" t="s">
        <v>262</v>
      </c>
      <c r="X1914" t="s">
        <v>263</v>
      </c>
      <c r="Y1914" t="s">
        <v>119</v>
      </c>
    </row>
    <row r="1915" spans="1:25">
      <c r="A1915">
        <v>10274</v>
      </c>
      <c r="B1915">
        <v>24</v>
      </c>
      <c r="C1915">
        <v>72.33</v>
      </c>
      <c r="D1915">
        <v>3</v>
      </c>
      <c r="E1915">
        <v>1735.92</v>
      </c>
      <c r="F1915" t="s">
        <v>474</v>
      </c>
      <c r="G1915" t="s">
        <v>93</v>
      </c>
      <c r="H1915">
        <v>3</v>
      </c>
      <c r="I1915">
        <v>7</v>
      </c>
      <c r="J1915">
        <v>2004</v>
      </c>
      <c r="K1915" t="s">
        <v>697</v>
      </c>
      <c r="L1915">
        <v>65</v>
      </c>
      <c r="M1915" t="s">
        <v>829</v>
      </c>
      <c r="N1915" t="s">
        <v>379</v>
      </c>
      <c r="O1915">
        <v>6175558555</v>
      </c>
      <c r="P1915" t="s">
        <v>380</v>
      </c>
      <c r="R1915" t="s">
        <v>381</v>
      </c>
      <c r="S1915" t="s">
        <v>200</v>
      </c>
      <c r="T1915">
        <v>58339</v>
      </c>
      <c r="U1915" t="s">
        <v>100</v>
      </c>
      <c r="V1915" t="s">
        <v>101</v>
      </c>
      <c r="W1915" t="s">
        <v>370</v>
      </c>
      <c r="X1915" t="s">
        <v>382</v>
      </c>
      <c r="Y1915" t="s">
        <v>104</v>
      </c>
    </row>
    <row r="1916" spans="1:25">
      <c r="A1916">
        <v>10284</v>
      </c>
      <c r="B1916">
        <v>39</v>
      </c>
      <c r="C1916">
        <v>71.67</v>
      </c>
      <c r="D1916">
        <v>13</v>
      </c>
      <c r="E1916">
        <v>2795.13</v>
      </c>
      <c r="F1916" t="s">
        <v>735</v>
      </c>
      <c r="G1916" t="s">
        <v>93</v>
      </c>
      <c r="H1916">
        <v>3</v>
      </c>
      <c r="I1916">
        <v>8</v>
      </c>
      <c r="J1916">
        <v>2004</v>
      </c>
      <c r="K1916" t="s">
        <v>697</v>
      </c>
      <c r="L1916">
        <v>65</v>
      </c>
      <c r="M1916" t="s">
        <v>829</v>
      </c>
      <c r="N1916" t="s">
        <v>688</v>
      </c>
      <c r="O1916" t="s">
        <v>689</v>
      </c>
      <c r="P1916" t="s">
        <v>690</v>
      </c>
      <c r="R1916" t="s">
        <v>691</v>
      </c>
      <c r="T1916" t="s">
        <v>692</v>
      </c>
      <c r="U1916" t="s">
        <v>149</v>
      </c>
      <c r="V1916" t="s">
        <v>110</v>
      </c>
      <c r="W1916" t="s">
        <v>693</v>
      </c>
      <c r="X1916" t="s">
        <v>694</v>
      </c>
      <c r="Y1916" t="s">
        <v>104</v>
      </c>
    </row>
    <row r="1917" spans="1:25">
      <c r="A1917">
        <v>10296</v>
      </c>
      <c r="B1917">
        <v>31</v>
      </c>
      <c r="C1917">
        <v>53.92</v>
      </c>
      <c r="D1917">
        <v>9</v>
      </c>
      <c r="E1917">
        <v>1671.52</v>
      </c>
      <c r="F1917" t="s">
        <v>736</v>
      </c>
      <c r="G1917" t="s">
        <v>93</v>
      </c>
      <c r="H1917">
        <v>3</v>
      </c>
      <c r="I1917">
        <v>9</v>
      </c>
      <c r="J1917">
        <v>2004</v>
      </c>
      <c r="K1917" t="s">
        <v>697</v>
      </c>
      <c r="L1917">
        <v>65</v>
      </c>
      <c r="M1917" t="s">
        <v>829</v>
      </c>
      <c r="N1917" t="s">
        <v>737</v>
      </c>
      <c r="O1917" t="s">
        <v>738</v>
      </c>
      <c r="P1917" t="s">
        <v>739</v>
      </c>
      <c r="R1917" t="s">
        <v>740</v>
      </c>
      <c r="T1917">
        <v>80686</v>
      </c>
      <c r="U1917" t="s">
        <v>566</v>
      </c>
      <c r="V1917" t="s">
        <v>110</v>
      </c>
      <c r="W1917" t="s">
        <v>741</v>
      </c>
      <c r="X1917" t="s">
        <v>176</v>
      </c>
      <c r="Y1917" t="s">
        <v>104</v>
      </c>
    </row>
    <row r="1918" spans="1:25">
      <c r="A1918">
        <v>10307</v>
      </c>
      <c r="B1918">
        <v>22</v>
      </c>
      <c r="C1918">
        <v>71.67</v>
      </c>
      <c r="D1918">
        <v>3</v>
      </c>
      <c r="E1918">
        <v>1576.74</v>
      </c>
      <c r="F1918" t="s">
        <v>494</v>
      </c>
      <c r="G1918" t="s">
        <v>93</v>
      </c>
      <c r="H1918">
        <v>4</v>
      </c>
      <c r="I1918">
        <v>10</v>
      </c>
      <c r="J1918">
        <v>2004</v>
      </c>
      <c r="K1918" t="s">
        <v>697</v>
      </c>
      <c r="L1918">
        <v>65</v>
      </c>
      <c r="M1918" t="s">
        <v>829</v>
      </c>
      <c r="N1918" t="s">
        <v>304</v>
      </c>
      <c r="O1918">
        <v>2155554695</v>
      </c>
      <c r="P1918" t="s">
        <v>305</v>
      </c>
      <c r="R1918" t="s">
        <v>306</v>
      </c>
      <c r="S1918" t="s">
        <v>221</v>
      </c>
      <c r="T1918">
        <v>71270</v>
      </c>
      <c r="U1918" t="s">
        <v>100</v>
      </c>
      <c r="V1918" t="s">
        <v>101</v>
      </c>
      <c r="W1918" t="s">
        <v>307</v>
      </c>
      <c r="X1918" t="s">
        <v>308</v>
      </c>
      <c r="Y1918" t="s">
        <v>104</v>
      </c>
    </row>
    <row r="1919" spans="1:25">
      <c r="A1919">
        <v>10316</v>
      </c>
      <c r="B1919">
        <v>47</v>
      </c>
      <c r="C1919">
        <v>76.930000000000007</v>
      </c>
      <c r="D1919">
        <v>11</v>
      </c>
      <c r="E1919">
        <v>3615.71</v>
      </c>
      <c r="F1919" s="4">
        <v>37997</v>
      </c>
      <c r="G1919" t="s">
        <v>93</v>
      </c>
      <c r="H1919">
        <v>4</v>
      </c>
      <c r="I1919">
        <v>11</v>
      </c>
      <c r="J1919">
        <v>2004</v>
      </c>
      <c r="K1919" t="s">
        <v>697</v>
      </c>
      <c r="L1919">
        <v>65</v>
      </c>
      <c r="M1919" t="s">
        <v>829</v>
      </c>
      <c r="N1919" t="s">
        <v>495</v>
      </c>
      <c r="O1919" t="s">
        <v>496</v>
      </c>
      <c r="P1919" t="s">
        <v>497</v>
      </c>
      <c r="R1919" t="s">
        <v>498</v>
      </c>
      <c r="S1919" t="s">
        <v>499</v>
      </c>
      <c r="T1919" t="s">
        <v>500</v>
      </c>
      <c r="U1919" t="s">
        <v>252</v>
      </c>
      <c r="V1919" t="s">
        <v>110</v>
      </c>
      <c r="W1919" t="s">
        <v>501</v>
      </c>
      <c r="X1919" t="s">
        <v>502</v>
      </c>
      <c r="Y1919" t="s">
        <v>119</v>
      </c>
    </row>
    <row r="1920" spans="1:25">
      <c r="A1920">
        <v>10328</v>
      </c>
      <c r="B1920">
        <v>20</v>
      </c>
      <c r="C1920">
        <v>72.98</v>
      </c>
      <c r="D1920">
        <v>2</v>
      </c>
      <c r="E1920">
        <v>1459.6</v>
      </c>
      <c r="F1920" s="4">
        <v>38332</v>
      </c>
      <c r="G1920" t="s">
        <v>93</v>
      </c>
      <c r="H1920">
        <v>4</v>
      </c>
      <c r="I1920">
        <v>11</v>
      </c>
      <c r="J1920">
        <v>2004</v>
      </c>
      <c r="K1920" t="s">
        <v>697</v>
      </c>
      <c r="L1920">
        <v>65</v>
      </c>
      <c r="M1920" t="s">
        <v>829</v>
      </c>
      <c r="N1920" t="s">
        <v>703</v>
      </c>
      <c r="O1920" t="s">
        <v>704</v>
      </c>
      <c r="P1920" t="s">
        <v>705</v>
      </c>
      <c r="R1920" t="s">
        <v>706</v>
      </c>
      <c r="T1920">
        <v>24100</v>
      </c>
      <c r="U1920" t="s">
        <v>352</v>
      </c>
      <c r="V1920" t="s">
        <v>110</v>
      </c>
      <c r="W1920" t="s">
        <v>707</v>
      </c>
      <c r="X1920" t="s">
        <v>708</v>
      </c>
      <c r="Y1920" t="s">
        <v>104</v>
      </c>
    </row>
    <row r="1921" spans="1:25">
      <c r="A1921">
        <v>10339</v>
      </c>
      <c r="B1921">
        <v>29</v>
      </c>
      <c r="C1921">
        <v>99.69</v>
      </c>
      <c r="D1921">
        <v>14</v>
      </c>
      <c r="E1921">
        <v>2891.01</v>
      </c>
      <c r="F1921" t="s">
        <v>422</v>
      </c>
      <c r="G1921" t="s">
        <v>93</v>
      </c>
      <c r="H1921">
        <v>4</v>
      </c>
      <c r="I1921">
        <v>11</v>
      </c>
      <c r="J1921">
        <v>2004</v>
      </c>
      <c r="K1921" t="s">
        <v>697</v>
      </c>
      <c r="L1921">
        <v>65</v>
      </c>
      <c r="M1921" t="s">
        <v>829</v>
      </c>
      <c r="N1921" t="s">
        <v>338</v>
      </c>
      <c r="O1921" t="s">
        <v>339</v>
      </c>
      <c r="P1921" t="s">
        <v>340</v>
      </c>
      <c r="R1921" t="s">
        <v>341</v>
      </c>
      <c r="S1921" t="s">
        <v>342</v>
      </c>
      <c r="T1921" t="s">
        <v>343</v>
      </c>
      <c r="U1921" t="s">
        <v>288</v>
      </c>
      <c r="V1921" t="s">
        <v>288</v>
      </c>
      <c r="W1921" t="s">
        <v>344</v>
      </c>
      <c r="X1921" t="s">
        <v>345</v>
      </c>
      <c r="Y1921" t="s">
        <v>104</v>
      </c>
    </row>
    <row r="1922" spans="1:25">
      <c r="A1922">
        <v>10351</v>
      </c>
      <c r="B1922">
        <v>38</v>
      </c>
      <c r="C1922">
        <v>68.38</v>
      </c>
      <c r="D1922">
        <v>4</v>
      </c>
      <c r="E1922">
        <v>2598.44</v>
      </c>
      <c r="F1922" s="4">
        <v>38058</v>
      </c>
      <c r="G1922" t="s">
        <v>93</v>
      </c>
      <c r="H1922">
        <v>4</v>
      </c>
      <c r="I1922">
        <v>12</v>
      </c>
      <c r="J1922">
        <v>2004</v>
      </c>
      <c r="K1922" t="s">
        <v>697</v>
      </c>
      <c r="L1922">
        <v>65</v>
      </c>
      <c r="M1922" t="s">
        <v>829</v>
      </c>
      <c r="N1922" t="s">
        <v>433</v>
      </c>
      <c r="O1922" t="s">
        <v>434</v>
      </c>
      <c r="P1922" t="s">
        <v>435</v>
      </c>
      <c r="R1922" t="s">
        <v>436</v>
      </c>
      <c r="T1922" t="s">
        <v>437</v>
      </c>
      <c r="U1922" t="s">
        <v>252</v>
      </c>
      <c r="V1922" t="s">
        <v>110</v>
      </c>
      <c r="W1922" t="s">
        <v>130</v>
      </c>
      <c r="X1922" t="s">
        <v>438</v>
      </c>
      <c r="Y1922" t="s">
        <v>104</v>
      </c>
    </row>
    <row r="1923" spans="1:25">
      <c r="A1923">
        <v>10361</v>
      </c>
      <c r="B1923">
        <v>34</v>
      </c>
      <c r="C1923">
        <v>100</v>
      </c>
      <c r="D1923">
        <v>6</v>
      </c>
      <c r="E1923">
        <v>3871.92</v>
      </c>
      <c r="F1923" t="s">
        <v>233</v>
      </c>
      <c r="G1923" t="s">
        <v>93</v>
      </c>
      <c r="H1923">
        <v>4</v>
      </c>
      <c r="I1923">
        <v>12</v>
      </c>
      <c r="J1923">
        <v>2004</v>
      </c>
      <c r="K1923" t="s">
        <v>697</v>
      </c>
      <c r="L1923">
        <v>65</v>
      </c>
      <c r="M1923" t="s">
        <v>829</v>
      </c>
      <c r="N1923" t="s">
        <v>234</v>
      </c>
      <c r="O1923" t="s">
        <v>235</v>
      </c>
      <c r="P1923" t="s">
        <v>236</v>
      </c>
      <c r="Q1923" t="s">
        <v>237</v>
      </c>
      <c r="R1923" t="s">
        <v>238</v>
      </c>
      <c r="S1923" t="s">
        <v>239</v>
      </c>
      <c r="T1923">
        <v>2067</v>
      </c>
      <c r="U1923" t="s">
        <v>168</v>
      </c>
      <c r="V1923" t="s">
        <v>169</v>
      </c>
      <c r="W1923" t="s">
        <v>240</v>
      </c>
      <c r="X1923" t="s">
        <v>241</v>
      </c>
      <c r="Y1923" t="s">
        <v>119</v>
      </c>
    </row>
    <row r="1924" spans="1:25">
      <c r="A1924">
        <v>10373</v>
      </c>
      <c r="B1924">
        <v>46</v>
      </c>
      <c r="C1924">
        <v>66</v>
      </c>
      <c r="D1924">
        <v>11</v>
      </c>
      <c r="E1924">
        <v>3036</v>
      </c>
      <c r="F1924" t="s">
        <v>505</v>
      </c>
      <c r="G1924" t="s">
        <v>93</v>
      </c>
      <c r="H1924">
        <v>1</v>
      </c>
      <c r="I1924">
        <v>1</v>
      </c>
      <c r="J1924">
        <v>2005</v>
      </c>
      <c r="K1924" t="s">
        <v>697</v>
      </c>
      <c r="L1924">
        <v>65</v>
      </c>
      <c r="M1924" t="s">
        <v>829</v>
      </c>
      <c r="N1924" t="s">
        <v>506</v>
      </c>
      <c r="O1924" t="s">
        <v>507</v>
      </c>
      <c r="P1924" t="s">
        <v>508</v>
      </c>
      <c r="R1924" t="s">
        <v>509</v>
      </c>
      <c r="T1924">
        <v>90110</v>
      </c>
      <c r="U1924" t="s">
        <v>208</v>
      </c>
      <c r="V1924" t="s">
        <v>110</v>
      </c>
      <c r="W1924" t="s">
        <v>510</v>
      </c>
      <c r="X1924" t="s">
        <v>511</v>
      </c>
      <c r="Y1924" t="s">
        <v>119</v>
      </c>
    </row>
    <row r="1925" spans="1:25">
      <c r="A1925">
        <v>10386</v>
      </c>
      <c r="B1925">
        <v>35</v>
      </c>
      <c r="C1925">
        <v>63.76</v>
      </c>
      <c r="D1925">
        <v>9</v>
      </c>
      <c r="E1925">
        <v>2231.6</v>
      </c>
      <c r="F1925" s="4">
        <v>38355</v>
      </c>
      <c r="G1925" t="s">
        <v>526</v>
      </c>
      <c r="H1925">
        <v>1</v>
      </c>
      <c r="I1925">
        <v>3</v>
      </c>
      <c r="J1925">
        <v>2005</v>
      </c>
      <c r="K1925" t="s">
        <v>697</v>
      </c>
      <c r="L1925">
        <v>65</v>
      </c>
      <c r="M1925" t="s">
        <v>829</v>
      </c>
      <c r="N1925" t="s">
        <v>257</v>
      </c>
      <c r="O1925" t="s">
        <v>258</v>
      </c>
      <c r="P1925" t="s">
        <v>259</v>
      </c>
      <c r="R1925" t="s">
        <v>260</v>
      </c>
      <c r="T1925">
        <v>28034</v>
      </c>
      <c r="U1925" t="s">
        <v>261</v>
      </c>
      <c r="V1925" t="s">
        <v>110</v>
      </c>
      <c r="W1925" t="s">
        <v>262</v>
      </c>
      <c r="X1925" t="s">
        <v>263</v>
      </c>
      <c r="Y1925" t="s">
        <v>104</v>
      </c>
    </row>
    <row r="1926" spans="1:25">
      <c r="A1926">
        <v>10398</v>
      </c>
      <c r="B1926">
        <v>34</v>
      </c>
      <c r="C1926">
        <v>71.67</v>
      </c>
      <c r="D1926">
        <v>13</v>
      </c>
      <c r="E1926">
        <v>2436.7800000000002</v>
      </c>
      <c r="F1926" t="s">
        <v>750</v>
      </c>
      <c r="G1926" t="s">
        <v>93</v>
      </c>
      <c r="H1926">
        <v>1</v>
      </c>
      <c r="I1926">
        <v>3</v>
      </c>
      <c r="J1926">
        <v>2005</v>
      </c>
      <c r="K1926" t="s">
        <v>697</v>
      </c>
      <c r="L1926">
        <v>65</v>
      </c>
      <c r="M1926" t="s">
        <v>829</v>
      </c>
      <c r="N1926" t="s">
        <v>105</v>
      </c>
      <c r="O1926" t="s">
        <v>106</v>
      </c>
      <c r="P1926" t="s">
        <v>107</v>
      </c>
      <c r="R1926" t="s">
        <v>108</v>
      </c>
      <c r="T1926">
        <v>51100</v>
      </c>
      <c r="U1926" t="s">
        <v>109</v>
      </c>
      <c r="V1926" t="s">
        <v>110</v>
      </c>
      <c r="W1926" t="s">
        <v>111</v>
      </c>
      <c r="X1926" t="s">
        <v>112</v>
      </c>
      <c r="Y1926" t="s">
        <v>104</v>
      </c>
    </row>
    <row r="1927" spans="1:25">
      <c r="A1927">
        <v>10400</v>
      </c>
      <c r="B1927">
        <v>38</v>
      </c>
      <c r="C1927">
        <v>57.2</v>
      </c>
      <c r="D1927">
        <v>3</v>
      </c>
      <c r="E1927">
        <v>2173.6</v>
      </c>
      <c r="F1927" s="4">
        <v>38356</v>
      </c>
      <c r="G1927" t="s">
        <v>93</v>
      </c>
      <c r="H1927">
        <v>2</v>
      </c>
      <c r="I1927">
        <v>4</v>
      </c>
      <c r="J1927">
        <v>2005</v>
      </c>
      <c r="K1927" t="s">
        <v>697</v>
      </c>
      <c r="L1927">
        <v>65</v>
      </c>
      <c r="M1927" t="s">
        <v>829</v>
      </c>
      <c r="N1927" t="s">
        <v>514</v>
      </c>
      <c r="O1927">
        <v>4085553659</v>
      </c>
      <c r="P1927" t="s">
        <v>515</v>
      </c>
      <c r="R1927" t="s">
        <v>516</v>
      </c>
      <c r="S1927" t="s">
        <v>124</v>
      </c>
      <c r="T1927">
        <v>94217</v>
      </c>
      <c r="U1927" t="s">
        <v>100</v>
      </c>
      <c r="V1927" t="s">
        <v>101</v>
      </c>
      <c r="W1927" t="s">
        <v>175</v>
      </c>
      <c r="X1927" t="s">
        <v>517</v>
      </c>
      <c r="Y1927" t="s">
        <v>104</v>
      </c>
    </row>
    <row r="1928" spans="1:25">
      <c r="A1928">
        <v>10415</v>
      </c>
      <c r="B1928">
        <v>18</v>
      </c>
      <c r="C1928">
        <v>69.7</v>
      </c>
      <c r="D1928">
        <v>2</v>
      </c>
      <c r="E1928">
        <v>1254.5999999999999</v>
      </c>
      <c r="F1928" s="4">
        <v>38600</v>
      </c>
      <c r="G1928" t="s">
        <v>256</v>
      </c>
      <c r="H1928">
        <v>2</v>
      </c>
      <c r="I1928">
        <v>5</v>
      </c>
      <c r="J1928">
        <v>2005</v>
      </c>
      <c r="K1928" t="s">
        <v>697</v>
      </c>
      <c r="L1928">
        <v>65</v>
      </c>
      <c r="M1928" t="s">
        <v>829</v>
      </c>
      <c r="N1928" t="s">
        <v>710</v>
      </c>
      <c r="O1928" t="s">
        <v>711</v>
      </c>
      <c r="P1928" t="s">
        <v>712</v>
      </c>
      <c r="R1928" t="s">
        <v>713</v>
      </c>
      <c r="S1928" t="s">
        <v>167</v>
      </c>
      <c r="T1928">
        <v>3150</v>
      </c>
      <c r="U1928" t="s">
        <v>168</v>
      </c>
      <c r="V1928" t="s">
        <v>169</v>
      </c>
      <c r="W1928" t="s">
        <v>714</v>
      </c>
      <c r="X1928" t="s">
        <v>715</v>
      </c>
      <c r="Y1928" t="s">
        <v>104</v>
      </c>
    </row>
    <row r="1929" spans="1:25">
      <c r="A1929">
        <v>10110</v>
      </c>
      <c r="B1929">
        <v>37</v>
      </c>
      <c r="C1929">
        <v>100</v>
      </c>
      <c r="D1929">
        <v>14</v>
      </c>
      <c r="E1929">
        <v>3724.42</v>
      </c>
      <c r="F1929" t="s">
        <v>720</v>
      </c>
      <c r="G1929" t="s">
        <v>93</v>
      </c>
      <c r="H1929">
        <v>1</v>
      </c>
      <c r="I1929">
        <v>3</v>
      </c>
      <c r="J1929">
        <v>2003</v>
      </c>
      <c r="K1929" t="s">
        <v>265</v>
      </c>
      <c r="L1929">
        <v>107</v>
      </c>
      <c r="M1929" t="s">
        <v>830</v>
      </c>
      <c r="N1929" t="s">
        <v>624</v>
      </c>
      <c r="O1929" t="s">
        <v>625</v>
      </c>
      <c r="P1929" t="s">
        <v>626</v>
      </c>
      <c r="R1929" t="s">
        <v>627</v>
      </c>
      <c r="T1929" t="s">
        <v>628</v>
      </c>
      <c r="U1929" t="s">
        <v>252</v>
      </c>
      <c r="V1929" t="s">
        <v>110</v>
      </c>
      <c r="W1929" t="s">
        <v>629</v>
      </c>
      <c r="X1929" t="s">
        <v>167</v>
      </c>
      <c r="Y1929" t="s">
        <v>119</v>
      </c>
    </row>
    <row r="1930" spans="1:25">
      <c r="A1930">
        <v>10124</v>
      </c>
      <c r="B1930">
        <v>43</v>
      </c>
      <c r="C1930">
        <v>100</v>
      </c>
      <c r="D1930">
        <v>13</v>
      </c>
      <c r="E1930">
        <v>5203</v>
      </c>
      <c r="F1930" t="s">
        <v>700</v>
      </c>
      <c r="G1930" t="s">
        <v>93</v>
      </c>
      <c r="H1930">
        <v>2</v>
      </c>
      <c r="I1930">
        <v>5</v>
      </c>
      <c r="J1930">
        <v>2003</v>
      </c>
      <c r="K1930" t="s">
        <v>265</v>
      </c>
      <c r="L1930">
        <v>107</v>
      </c>
      <c r="M1930" t="s">
        <v>830</v>
      </c>
      <c r="N1930" t="s">
        <v>684</v>
      </c>
      <c r="O1930">
        <v>7025551838</v>
      </c>
      <c r="P1930" t="s">
        <v>685</v>
      </c>
      <c r="R1930" t="s">
        <v>686</v>
      </c>
      <c r="S1930" t="s">
        <v>687</v>
      </c>
      <c r="T1930">
        <v>83030</v>
      </c>
      <c r="U1930" t="s">
        <v>100</v>
      </c>
      <c r="V1930" t="s">
        <v>101</v>
      </c>
      <c r="W1930" t="s">
        <v>188</v>
      </c>
      <c r="X1930" t="s">
        <v>517</v>
      </c>
      <c r="Y1930" t="s">
        <v>119</v>
      </c>
    </row>
    <row r="1931" spans="1:25">
      <c r="A1931">
        <v>10148</v>
      </c>
      <c r="B1931">
        <v>27</v>
      </c>
      <c r="C1931">
        <v>100</v>
      </c>
      <c r="D1931">
        <v>7</v>
      </c>
      <c r="E1931">
        <v>3469.5</v>
      </c>
      <c r="F1931" s="4">
        <v>37934</v>
      </c>
      <c r="G1931" t="s">
        <v>93</v>
      </c>
      <c r="H1931">
        <v>3</v>
      </c>
      <c r="I1931">
        <v>9</v>
      </c>
      <c r="J1931">
        <v>2003</v>
      </c>
      <c r="K1931" t="s">
        <v>265</v>
      </c>
      <c r="L1931">
        <v>107</v>
      </c>
      <c r="M1931" t="s">
        <v>830</v>
      </c>
      <c r="N1931" t="s">
        <v>384</v>
      </c>
      <c r="O1931" t="s">
        <v>385</v>
      </c>
      <c r="P1931" t="s">
        <v>386</v>
      </c>
      <c r="Q1931" t="s">
        <v>387</v>
      </c>
      <c r="R1931" t="s">
        <v>388</v>
      </c>
      <c r="S1931" t="s">
        <v>239</v>
      </c>
      <c r="T1931">
        <v>2060</v>
      </c>
      <c r="U1931" t="s">
        <v>168</v>
      </c>
      <c r="V1931" t="s">
        <v>169</v>
      </c>
      <c r="W1931" t="s">
        <v>389</v>
      </c>
      <c r="X1931" t="s">
        <v>390</v>
      </c>
      <c r="Y1931" t="s">
        <v>119</v>
      </c>
    </row>
    <row r="1932" spans="1:25">
      <c r="A1932">
        <v>10161</v>
      </c>
      <c r="B1932">
        <v>30</v>
      </c>
      <c r="C1932">
        <v>100</v>
      </c>
      <c r="D1932">
        <v>6</v>
      </c>
      <c r="E1932">
        <v>3148.2</v>
      </c>
      <c r="F1932" t="s">
        <v>682</v>
      </c>
      <c r="G1932" t="s">
        <v>93</v>
      </c>
      <c r="H1932">
        <v>4</v>
      </c>
      <c r="I1932">
        <v>10</v>
      </c>
      <c r="J1932">
        <v>2003</v>
      </c>
      <c r="K1932" t="s">
        <v>265</v>
      </c>
      <c r="L1932">
        <v>107</v>
      </c>
      <c r="M1932" t="s">
        <v>830</v>
      </c>
      <c r="N1932" t="s">
        <v>630</v>
      </c>
      <c r="O1932" t="s">
        <v>631</v>
      </c>
      <c r="P1932" t="s">
        <v>632</v>
      </c>
      <c r="R1932" t="s">
        <v>633</v>
      </c>
      <c r="T1932">
        <v>8200</v>
      </c>
      <c r="U1932" t="s">
        <v>429</v>
      </c>
      <c r="V1932" t="s">
        <v>110</v>
      </c>
      <c r="W1932" t="s">
        <v>634</v>
      </c>
      <c r="X1932" t="s">
        <v>635</v>
      </c>
      <c r="Y1932" t="s">
        <v>119</v>
      </c>
    </row>
    <row r="1933" spans="1:25">
      <c r="A1933">
        <v>10172</v>
      </c>
      <c r="B1933">
        <v>22</v>
      </c>
      <c r="C1933">
        <v>98.51</v>
      </c>
      <c r="D1933">
        <v>4</v>
      </c>
      <c r="E1933">
        <v>2167.2199999999998</v>
      </c>
      <c r="F1933" s="4">
        <v>37752</v>
      </c>
      <c r="G1933" t="s">
        <v>93</v>
      </c>
      <c r="H1933">
        <v>4</v>
      </c>
      <c r="I1933">
        <v>11</v>
      </c>
      <c r="J1933">
        <v>2003</v>
      </c>
      <c r="K1933" t="s">
        <v>265</v>
      </c>
      <c r="L1933">
        <v>107</v>
      </c>
      <c r="M1933" t="s">
        <v>830</v>
      </c>
      <c r="N1933" t="s">
        <v>184</v>
      </c>
      <c r="O1933">
        <v>2035552570</v>
      </c>
      <c r="P1933" t="s">
        <v>185</v>
      </c>
      <c r="R1933" t="s">
        <v>186</v>
      </c>
      <c r="S1933" t="s">
        <v>187</v>
      </c>
      <c r="T1933">
        <v>97562</v>
      </c>
      <c r="U1933" t="s">
        <v>100</v>
      </c>
      <c r="V1933" t="s">
        <v>101</v>
      </c>
      <c r="W1933" t="s">
        <v>188</v>
      </c>
      <c r="X1933" t="s">
        <v>126</v>
      </c>
      <c r="Y1933" t="s">
        <v>104</v>
      </c>
    </row>
    <row r="1934" spans="1:25">
      <c r="A1934">
        <v>10182</v>
      </c>
      <c r="B1934">
        <v>49</v>
      </c>
      <c r="C1934">
        <v>100</v>
      </c>
      <c r="D1934">
        <v>17</v>
      </c>
      <c r="E1934">
        <v>6244.07</v>
      </c>
      <c r="F1934" s="4">
        <v>37966</v>
      </c>
      <c r="G1934" t="s">
        <v>93</v>
      </c>
      <c r="H1934">
        <v>4</v>
      </c>
      <c r="I1934">
        <v>11</v>
      </c>
      <c r="J1934">
        <v>2003</v>
      </c>
      <c r="K1934" t="s">
        <v>265</v>
      </c>
      <c r="L1934">
        <v>107</v>
      </c>
      <c r="M1934" t="s">
        <v>830</v>
      </c>
      <c r="N1934" t="s">
        <v>367</v>
      </c>
      <c r="O1934">
        <v>4155551450</v>
      </c>
      <c r="P1934" t="s">
        <v>368</v>
      </c>
      <c r="R1934" t="s">
        <v>369</v>
      </c>
      <c r="S1934" t="s">
        <v>124</v>
      </c>
      <c r="T1934">
        <v>97562</v>
      </c>
      <c r="U1934" t="s">
        <v>100</v>
      </c>
      <c r="V1934" t="s">
        <v>101</v>
      </c>
      <c r="W1934" t="s">
        <v>370</v>
      </c>
      <c r="X1934" t="s">
        <v>371</v>
      </c>
      <c r="Y1934" t="s">
        <v>119</v>
      </c>
    </row>
    <row r="1935" spans="1:25">
      <c r="A1935">
        <v>10192</v>
      </c>
      <c r="B1935">
        <v>46</v>
      </c>
      <c r="C1935">
        <v>100</v>
      </c>
      <c r="D1935">
        <v>5</v>
      </c>
      <c r="E1935">
        <v>5566</v>
      </c>
      <c r="F1935" t="s">
        <v>561</v>
      </c>
      <c r="G1935" t="s">
        <v>93</v>
      </c>
      <c r="H1935">
        <v>4</v>
      </c>
      <c r="I1935">
        <v>11</v>
      </c>
      <c r="J1935">
        <v>2003</v>
      </c>
      <c r="K1935" t="s">
        <v>265</v>
      </c>
      <c r="L1935">
        <v>107</v>
      </c>
      <c r="M1935" t="s">
        <v>830</v>
      </c>
      <c r="N1935" t="s">
        <v>372</v>
      </c>
      <c r="O1935">
        <v>6035558647</v>
      </c>
      <c r="P1935" t="s">
        <v>373</v>
      </c>
      <c r="R1935" t="s">
        <v>374</v>
      </c>
      <c r="S1935" t="s">
        <v>375</v>
      </c>
      <c r="T1935">
        <v>62005</v>
      </c>
      <c r="U1935" t="s">
        <v>100</v>
      </c>
      <c r="V1935" t="s">
        <v>101</v>
      </c>
      <c r="W1935" t="s">
        <v>125</v>
      </c>
      <c r="X1935" t="s">
        <v>371</v>
      </c>
      <c r="Y1935" t="s">
        <v>119</v>
      </c>
    </row>
    <row r="1936" spans="1:25">
      <c r="A1936">
        <v>10204</v>
      </c>
      <c r="B1936">
        <v>48</v>
      </c>
      <c r="C1936">
        <v>91.02</v>
      </c>
      <c r="D1936">
        <v>11</v>
      </c>
      <c r="E1936">
        <v>4368.96</v>
      </c>
      <c r="F1936" s="4">
        <v>37664</v>
      </c>
      <c r="G1936" t="s">
        <v>93</v>
      </c>
      <c r="H1936">
        <v>4</v>
      </c>
      <c r="I1936">
        <v>12</v>
      </c>
      <c r="J1936">
        <v>2003</v>
      </c>
      <c r="K1936" t="s">
        <v>265</v>
      </c>
      <c r="L1936">
        <v>107</v>
      </c>
      <c r="M1936" t="s">
        <v>830</v>
      </c>
      <c r="N1936" t="s">
        <v>603</v>
      </c>
      <c r="O1936">
        <v>2125557413</v>
      </c>
      <c r="P1936" t="s">
        <v>604</v>
      </c>
      <c r="Q1936" t="s">
        <v>605</v>
      </c>
      <c r="R1936" t="s">
        <v>98</v>
      </c>
      <c r="S1936" t="s">
        <v>99</v>
      </c>
      <c r="T1936">
        <v>10022</v>
      </c>
      <c r="U1936" t="s">
        <v>100</v>
      </c>
      <c r="V1936" t="s">
        <v>101</v>
      </c>
      <c r="W1936" t="s">
        <v>125</v>
      </c>
      <c r="X1936" t="s">
        <v>606</v>
      </c>
      <c r="Y1936" t="s">
        <v>119</v>
      </c>
    </row>
    <row r="1937" spans="1:25">
      <c r="A1937">
        <v>10212</v>
      </c>
      <c r="B1937">
        <v>46</v>
      </c>
      <c r="C1937">
        <v>87.81</v>
      </c>
      <c r="D1937">
        <v>4</v>
      </c>
      <c r="E1937">
        <v>4039.26</v>
      </c>
      <c r="F1937" t="s">
        <v>653</v>
      </c>
      <c r="G1937" t="s">
        <v>93</v>
      </c>
      <c r="H1937">
        <v>1</v>
      </c>
      <c r="I1937">
        <v>1</v>
      </c>
      <c r="J1937">
        <v>2004</v>
      </c>
      <c r="K1937" t="s">
        <v>265</v>
      </c>
      <c r="L1937">
        <v>107</v>
      </c>
      <c r="M1937" t="s">
        <v>830</v>
      </c>
      <c r="N1937" t="s">
        <v>257</v>
      </c>
      <c r="O1937" t="s">
        <v>258</v>
      </c>
      <c r="P1937" t="s">
        <v>259</v>
      </c>
      <c r="R1937" t="s">
        <v>260</v>
      </c>
      <c r="T1937">
        <v>28034</v>
      </c>
      <c r="U1937" t="s">
        <v>261</v>
      </c>
      <c r="V1937" t="s">
        <v>110</v>
      </c>
      <c r="W1937" t="s">
        <v>262</v>
      </c>
      <c r="X1937" t="s">
        <v>263</v>
      </c>
      <c r="Y1937" t="s">
        <v>119</v>
      </c>
    </row>
    <row r="1938" spans="1:25">
      <c r="A1938">
        <v>10226</v>
      </c>
      <c r="B1938">
        <v>48</v>
      </c>
      <c r="C1938">
        <v>92.09</v>
      </c>
      <c r="D1938">
        <v>2</v>
      </c>
      <c r="E1938">
        <v>4420.32</v>
      </c>
      <c r="F1938" t="s">
        <v>723</v>
      </c>
      <c r="G1938" t="s">
        <v>93</v>
      </c>
      <c r="H1938">
        <v>1</v>
      </c>
      <c r="I1938">
        <v>2</v>
      </c>
      <c r="J1938">
        <v>2004</v>
      </c>
      <c r="K1938" t="s">
        <v>265</v>
      </c>
      <c r="L1938">
        <v>107</v>
      </c>
      <c r="M1938" t="s">
        <v>830</v>
      </c>
      <c r="N1938" t="s">
        <v>470</v>
      </c>
      <c r="O1938">
        <v>7605558146</v>
      </c>
      <c r="P1938" t="s">
        <v>471</v>
      </c>
      <c r="R1938" t="s">
        <v>472</v>
      </c>
      <c r="S1938" t="s">
        <v>124</v>
      </c>
      <c r="T1938">
        <v>91217</v>
      </c>
      <c r="U1938" t="s">
        <v>100</v>
      </c>
      <c r="V1938" t="s">
        <v>101</v>
      </c>
      <c r="W1938" t="s">
        <v>6</v>
      </c>
      <c r="X1938" t="s">
        <v>371</v>
      </c>
      <c r="Y1938" t="s">
        <v>119</v>
      </c>
    </row>
    <row r="1939" spans="1:25">
      <c r="A1939">
        <v>10241</v>
      </c>
      <c r="B1939">
        <v>27</v>
      </c>
      <c r="C1939">
        <v>86.73</v>
      </c>
      <c r="D1939">
        <v>9</v>
      </c>
      <c r="E1939">
        <v>2341.71</v>
      </c>
      <c r="F1939" t="s">
        <v>683</v>
      </c>
      <c r="G1939" t="s">
        <v>93</v>
      </c>
      <c r="H1939">
        <v>2</v>
      </c>
      <c r="I1939">
        <v>4</v>
      </c>
      <c r="J1939">
        <v>2004</v>
      </c>
      <c r="K1939" t="s">
        <v>265</v>
      </c>
      <c r="L1939">
        <v>107</v>
      </c>
      <c r="M1939" t="s">
        <v>830</v>
      </c>
      <c r="N1939" t="s">
        <v>674</v>
      </c>
      <c r="O1939" t="s">
        <v>675</v>
      </c>
      <c r="P1939" t="s">
        <v>676</v>
      </c>
      <c r="R1939" t="s">
        <v>677</v>
      </c>
      <c r="T1939">
        <v>67000</v>
      </c>
      <c r="U1939" t="s">
        <v>109</v>
      </c>
      <c r="V1939" t="s">
        <v>110</v>
      </c>
      <c r="W1939" t="s">
        <v>678</v>
      </c>
      <c r="X1939" t="s">
        <v>679</v>
      </c>
      <c r="Y1939" t="s">
        <v>104</v>
      </c>
    </row>
    <row r="1940" spans="1:25">
      <c r="A1940">
        <v>10267</v>
      </c>
      <c r="B1940">
        <v>43</v>
      </c>
      <c r="C1940">
        <v>100</v>
      </c>
      <c r="D1940">
        <v>6</v>
      </c>
      <c r="E1940">
        <v>5110.9799999999996</v>
      </c>
      <c r="F1940" s="4">
        <v>38175</v>
      </c>
      <c r="G1940" t="s">
        <v>93</v>
      </c>
      <c r="H1940">
        <v>3</v>
      </c>
      <c r="I1940">
        <v>7</v>
      </c>
      <c r="J1940">
        <v>2004</v>
      </c>
      <c r="K1940" t="s">
        <v>265</v>
      </c>
      <c r="L1940">
        <v>107</v>
      </c>
      <c r="M1940" t="s">
        <v>830</v>
      </c>
      <c r="N1940" t="s">
        <v>603</v>
      </c>
      <c r="O1940">
        <v>2125557413</v>
      </c>
      <c r="P1940" t="s">
        <v>604</v>
      </c>
      <c r="Q1940" t="s">
        <v>605</v>
      </c>
      <c r="R1940" t="s">
        <v>98</v>
      </c>
      <c r="S1940" t="s">
        <v>99</v>
      </c>
      <c r="T1940">
        <v>10022</v>
      </c>
      <c r="U1940" t="s">
        <v>100</v>
      </c>
      <c r="V1940" t="s">
        <v>101</v>
      </c>
      <c r="W1940" t="s">
        <v>125</v>
      </c>
      <c r="X1940" t="s">
        <v>606</v>
      </c>
      <c r="Y1940" t="s">
        <v>119</v>
      </c>
    </row>
    <row r="1941" spans="1:25">
      <c r="A1941">
        <v>10279</v>
      </c>
      <c r="B1941">
        <v>48</v>
      </c>
      <c r="C1941">
        <v>100</v>
      </c>
      <c r="D1941">
        <v>6</v>
      </c>
      <c r="E1941">
        <v>6168</v>
      </c>
      <c r="F1941" s="4">
        <v>38238</v>
      </c>
      <c r="G1941" t="s">
        <v>93</v>
      </c>
      <c r="H1941">
        <v>3</v>
      </c>
      <c r="I1941">
        <v>8</v>
      </c>
      <c r="J1941">
        <v>2004</v>
      </c>
      <c r="K1941" t="s">
        <v>265</v>
      </c>
      <c r="L1941">
        <v>107</v>
      </c>
      <c r="M1941" t="s">
        <v>830</v>
      </c>
      <c r="N1941" t="s">
        <v>257</v>
      </c>
      <c r="O1941" t="s">
        <v>258</v>
      </c>
      <c r="P1941" t="s">
        <v>259</v>
      </c>
      <c r="R1941" t="s">
        <v>260</v>
      </c>
      <c r="T1941">
        <v>28034</v>
      </c>
      <c r="U1941" t="s">
        <v>261</v>
      </c>
      <c r="V1941" t="s">
        <v>110</v>
      </c>
      <c r="W1941" t="s">
        <v>262</v>
      </c>
      <c r="X1941" t="s">
        <v>263</v>
      </c>
      <c r="Y1941" t="s">
        <v>119</v>
      </c>
    </row>
    <row r="1942" spans="1:25">
      <c r="A1942">
        <v>10288</v>
      </c>
      <c r="B1942">
        <v>41</v>
      </c>
      <c r="C1942">
        <v>100</v>
      </c>
      <c r="D1942">
        <v>12</v>
      </c>
      <c r="E1942">
        <v>4873.26</v>
      </c>
      <c r="F1942" s="4">
        <v>37995</v>
      </c>
      <c r="G1942" t="s">
        <v>93</v>
      </c>
      <c r="H1942">
        <v>3</v>
      </c>
      <c r="I1942">
        <v>9</v>
      </c>
      <c r="J1942">
        <v>2004</v>
      </c>
      <c r="K1942" t="s">
        <v>265</v>
      </c>
      <c r="L1942">
        <v>107</v>
      </c>
      <c r="M1942" t="s">
        <v>830</v>
      </c>
      <c r="N1942" t="s">
        <v>536</v>
      </c>
      <c r="O1942" t="s">
        <v>537</v>
      </c>
      <c r="P1942" t="s">
        <v>538</v>
      </c>
      <c r="Q1942" t="s">
        <v>539</v>
      </c>
      <c r="R1942" t="s">
        <v>287</v>
      </c>
      <c r="T1942">
        <v>69045</v>
      </c>
      <c r="U1942" t="s">
        <v>287</v>
      </c>
      <c r="V1942" t="s">
        <v>169</v>
      </c>
      <c r="W1942" t="s">
        <v>540</v>
      </c>
      <c r="X1942" t="s">
        <v>541</v>
      </c>
      <c r="Y1942" t="s">
        <v>119</v>
      </c>
    </row>
    <row r="1943" spans="1:25">
      <c r="A1943">
        <v>10301</v>
      </c>
      <c r="B1943">
        <v>22</v>
      </c>
      <c r="C1943">
        <v>96.37</v>
      </c>
      <c r="D1943">
        <v>2</v>
      </c>
      <c r="E1943">
        <v>2120.14</v>
      </c>
      <c r="F1943" s="4">
        <v>37751</v>
      </c>
      <c r="G1943" t="s">
        <v>93</v>
      </c>
      <c r="H1943">
        <v>4</v>
      </c>
      <c r="I1943">
        <v>10</v>
      </c>
      <c r="J1943">
        <v>2003</v>
      </c>
      <c r="K1943" t="s">
        <v>265</v>
      </c>
      <c r="L1943">
        <v>107</v>
      </c>
      <c r="M1943" t="s">
        <v>830</v>
      </c>
      <c r="N1943" t="s">
        <v>688</v>
      </c>
      <c r="O1943" t="s">
        <v>689</v>
      </c>
      <c r="P1943" t="s">
        <v>690</v>
      </c>
      <c r="R1943" t="s">
        <v>691</v>
      </c>
      <c r="T1943" t="s">
        <v>692</v>
      </c>
      <c r="U1943" t="s">
        <v>149</v>
      </c>
      <c r="V1943" t="s">
        <v>110</v>
      </c>
      <c r="W1943" t="s">
        <v>693</v>
      </c>
      <c r="X1943" t="s">
        <v>694</v>
      </c>
      <c r="Y1943" t="s">
        <v>104</v>
      </c>
    </row>
    <row r="1944" spans="1:25">
      <c r="A1944">
        <v>10311</v>
      </c>
      <c r="B1944">
        <v>46</v>
      </c>
      <c r="C1944">
        <v>92.09</v>
      </c>
      <c r="D1944">
        <v>7</v>
      </c>
      <c r="E1944">
        <v>4236.1400000000003</v>
      </c>
      <c r="F1944" t="s">
        <v>592</v>
      </c>
      <c r="G1944" t="s">
        <v>93</v>
      </c>
      <c r="H1944">
        <v>4</v>
      </c>
      <c r="I1944">
        <v>10</v>
      </c>
      <c r="J1944">
        <v>2004</v>
      </c>
      <c r="K1944" t="s">
        <v>265</v>
      </c>
      <c r="L1944">
        <v>107</v>
      </c>
      <c r="M1944" t="s">
        <v>830</v>
      </c>
      <c r="N1944" t="s">
        <v>257</v>
      </c>
      <c r="O1944" t="s">
        <v>258</v>
      </c>
      <c r="P1944" t="s">
        <v>259</v>
      </c>
      <c r="R1944" t="s">
        <v>260</v>
      </c>
      <c r="T1944">
        <v>28034</v>
      </c>
      <c r="U1944" t="s">
        <v>261</v>
      </c>
      <c r="V1944" t="s">
        <v>110</v>
      </c>
      <c r="W1944" t="s">
        <v>262</v>
      </c>
      <c r="X1944" t="s">
        <v>263</v>
      </c>
      <c r="Y1944" t="s">
        <v>119</v>
      </c>
    </row>
    <row r="1945" spans="1:25">
      <c r="A1945">
        <v>10321</v>
      </c>
      <c r="B1945">
        <v>21</v>
      </c>
      <c r="C1945">
        <v>89.95</v>
      </c>
      <c r="D1945">
        <v>4</v>
      </c>
      <c r="E1945">
        <v>1888.95</v>
      </c>
      <c r="F1945" s="4">
        <v>38088</v>
      </c>
      <c r="G1945" t="s">
        <v>93</v>
      </c>
      <c r="H1945">
        <v>4</v>
      </c>
      <c r="I1945">
        <v>11</v>
      </c>
      <c r="J1945">
        <v>2004</v>
      </c>
      <c r="K1945" t="s">
        <v>265</v>
      </c>
      <c r="L1945">
        <v>107</v>
      </c>
      <c r="M1945" t="s">
        <v>830</v>
      </c>
      <c r="N1945" t="s">
        <v>242</v>
      </c>
      <c r="O1945">
        <v>5085552555</v>
      </c>
      <c r="P1945" t="s">
        <v>243</v>
      </c>
      <c r="R1945" t="s">
        <v>244</v>
      </c>
      <c r="S1945" t="s">
        <v>200</v>
      </c>
      <c r="T1945">
        <v>50553</v>
      </c>
      <c r="U1945" t="s">
        <v>100</v>
      </c>
      <c r="V1945" t="s">
        <v>101</v>
      </c>
      <c r="W1945" t="s">
        <v>245</v>
      </c>
      <c r="X1945" t="s">
        <v>246</v>
      </c>
      <c r="Y1945" t="s">
        <v>104</v>
      </c>
    </row>
    <row r="1946" spans="1:25">
      <c r="A1946">
        <v>10332</v>
      </c>
      <c r="B1946">
        <v>31</v>
      </c>
      <c r="C1946">
        <v>37.18</v>
      </c>
      <c r="D1946">
        <v>13</v>
      </c>
      <c r="E1946">
        <v>1152.58</v>
      </c>
      <c r="F1946" t="s">
        <v>695</v>
      </c>
      <c r="G1946" t="s">
        <v>93</v>
      </c>
      <c r="H1946">
        <v>4</v>
      </c>
      <c r="I1946">
        <v>11</v>
      </c>
      <c r="J1946">
        <v>2004</v>
      </c>
      <c r="K1946" t="s">
        <v>265</v>
      </c>
      <c r="L1946">
        <v>107</v>
      </c>
      <c r="M1946" t="s">
        <v>830</v>
      </c>
      <c r="N1946" t="s">
        <v>624</v>
      </c>
      <c r="O1946" t="s">
        <v>625</v>
      </c>
      <c r="P1946" t="s">
        <v>626</v>
      </c>
      <c r="R1946" t="s">
        <v>627</v>
      </c>
      <c r="T1946" t="s">
        <v>628</v>
      </c>
      <c r="U1946" t="s">
        <v>252</v>
      </c>
      <c r="V1946" t="s">
        <v>110</v>
      </c>
      <c r="W1946" t="s">
        <v>629</v>
      </c>
      <c r="X1946" t="s">
        <v>167</v>
      </c>
      <c r="Y1946" t="s">
        <v>104</v>
      </c>
    </row>
    <row r="1947" spans="1:25">
      <c r="A1947">
        <v>10346</v>
      </c>
      <c r="B1947">
        <v>26</v>
      </c>
      <c r="C1947">
        <v>95.88</v>
      </c>
      <c r="D1947">
        <v>6</v>
      </c>
      <c r="E1947">
        <v>2492.88</v>
      </c>
      <c r="F1947" t="s">
        <v>377</v>
      </c>
      <c r="G1947" t="s">
        <v>93</v>
      </c>
      <c r="H1947">
        <v>4</v>
      </c>
      <c r="I1947">
        <v>11</v>
      </c>
      <c r="J1947">
        <v>2004</v>
      </c>
      <c r="K1947" t="s">
        <v>265</v>
      </c>
      <c r="L1947">
        <v>107</v>
      </c>
      <c r="M1947" t="s">
        <v>830</v>
      </c>
      <c r="N1947" t="s">
        <v>684</v>
      </c>
      <c r="O1947">
        <v>7025551838</v>
      </c>
      <c r="P1947" t="s">
        <v>685</v>
      </c>
      <c r="R1947" t="s">
        <v>686</v>
      </c>
      <c r="S1947" t="s">
        <v>687</v>
      </c>
      <c r="T1947">
        <v>83030</v>
      </c>
      <c r="U1947" t="s">
        <v>100</v>
      </c>
      <c r="V1947" t="s">
        <v>101</v>
      </c>
      <c r="W1947" t="s">
        <v>188</v>
      </c>
      <c r="X1947" t="s">
        <v>517</v>
      </c>
      <c r="Y1947" t="s">
        <v>104</v>
      </c>
    </row>
    <row r="1948" spans="1:25">
      <c r="A1948">
        <v>10368</v>
      </c>
      <c r="B1948">
        <v>20</v>
      </c>
      <c r="C1948">
        <v>99.58</v>
      </c>
      <c r="D1948">
        <v>4</v>
      </c>
      <c r="E1948">
        <v>1991.6</v>
      </c>
      <c r="F1948" t="s">
        <v>820</v>
      </c>
      <c r="G1948" t="s">
        <v>93</v>
      </c>
      <c r="H1948">
        <v>1</v>
      </c>
      <c r="I1948">
        <v>1</v>
      </c>
      <c r="J1948">
        <v>2005</v>
      </c>
      <c r="K1948" t="s">
        <v>265</v>
      </c>
      <c r="L1948">
        <v>107</v>
      </c>
      <c r="M1948" t="s">
        <v>830</v>
      </c>
      <c r="N1948" t="s">
        <v>367</v>
      </c>
      <c r="O1948">
        <v>4155551450</v>
      </c>
      <c r="P1948" t="s">
        <v>368</v>
      </c>
      <c r="R1948" t="s">
        <v>369</v>
      </c>
      <c r="S1948" t="s">
        <v>124</v>
      </c>
      <c r="T1948">
        <v>97562</v>
      </c>
      <c r="U1948" t="s">
        <v>100</v>
      </c>
      <c r="V1948" t="s">
        <v>101</v>
      </c>
      <c r="W1948" t="s">
        <v>370</v>
      </c>
      <c r="X1948" t="s">
        <v>371</v>
      </c>
      <c r="Y1948" t="s">
        <v>104</v>
      </c>
    </row>
    <row r="1949" spans="1:25">
      <c r="A1949">
        <v>10380</v>
      </c>
      <c r="B1949">
        <v>34</v>
      </c>
      <c r="C1949">
        <v>100</v>
      </c>
      <c r="D1949">
        <v>11</v>
      </c>
      <c r="E1949">
        <v>3953.18</v>
      </c>
      <c r="F1949" t="s">
        <v>717</v>
      </c>
      <c r="G1949" t="s">
        <v>93</v>
      </c>
      <c r="H1949">
        <v>1</v>
      </c>
      <c r="I1949">
        <v>2</v>
      </c>
      <c r="J1949">
        <v>2005</v>
      </c>
      <c r="K1949" t="s">
        <v>265</v>
      </c>
      <c r="L1949">
        <v>107</v>
      </c>
      <c r="M1949" t="s">
        <v>830</v>
      </c>
      <c r="N1949" t="s">
        <v>257</v>
      </c>
      <c r="O1949" t="s">
        <v>258</v>
      </c>
      <c r="P1949" t="s">
        <v>259</v>
      </c>
      <c r="R1949" t="s">
        <v>260</v>
      </c>
      <c r="T1949">
        <v>28034</v>
      </c>
      <c r="U1949" t="s">
        <v>261</v>
      </c>
      <c r="V1949" t="s">
        <v>110</v>
      </c>
      <c r="W1949" t="s">
        <v>262</v>
      </c>
      <c r="X1949" t="s">
        <v>263</v>
      </c>
      <c r="Y1949" t="s">
        <v>119</v>
      </c>
    </row>
    <row r="1950" spans="1:25">
      <c r="A1950">
        <v>10407</v>
      </c>
      <c r="B1950">
        <v>43</v>
      </c>
      <c r="C1950">
        <v>86.73</v>
      </c>
      <c r="D1950">
        <v>9</v>
      </c>
      <c r="E1950">
        <v>3729.39</v>
      </c>
      <c r="F1950" t="s">
        <v>724</v>
      </c>
      <c r="G1950" t="s">
        <v>518</v>
      </c>
      <c r="H1950">
        <v>2</v>
      </c>
      <c r="I1950">
        <v>4</v>
      </c>
      <c r="J1950">
        <v>2005</v>
      </c>
      <c r="K1950" t="s">
        <v>265</v>
      </c>
      <c r="L1950">
        <v>107</v>
      </c>
      <c r="M1950" t="s">
        <v>830</v>
      </c>
      <c r="N1950" t="s">
        <v>514</v>
      </c>
      <c r="O1950">
        <v>4085553659</v>
      </c>
      <c r="P1950" t="s">
        <v>515</v>
      </c>
      <c r="R1950" t="s">
        <v>516</v>
      </c>
      <c r="S1950" t="s">
        <v>124</v>
      </c>
      <c r="T1950">
        <v>94217</v>
      </c>
      <c r="U1950" t="s">
        <v>100</v>
      </c>
      <c r="V1950" t="s">
        <v>101</v>
      </c>
      <c r="W1950" t="s">
        <v>175</v>
      </c>
      <c r="X1950" t="s">
        <v>517</v>
      </c>
      <c r="Y1950" t="s">
        <v>119</v>
      </c>
    </row>
    <row r="1951" spans="1:25">
      <c r="A1951">
        <v>10420</v>
      </c>
      <c r="B1951">
        <v>26</v>
      </c>
      <c r="C1951">
        <v>100</v>
      </c>
      <c r="D1951">
        <v>12</v>
      </c>
      <c r="E1951">
        <v>2617.16</v>
      </c>
      <c r="F1951" t="s">
        <v>754</v>
      </c>
      <c r="G1951" t="s">
        <v>400</v>
      </c>
      <c r="H1951">
        <v>2</v>
      </c>
      <c r="I1951">
        <v>5</v>
      </c>
      <c r="J1951">
        <v>2005</v>
      </c>
      <c r="K1951" t="s">
        <v>265</v>
      </c>
      <c r="L1951">
        <v>107</v>
      </c>
      <c r="M1951" t="s">
        <v>830</v>
      </c>
      <c r="N1951" t="s">
        <v>234</v>
      </c>
      <c r="O1951" t="s">
        <v>235</v>
      </c>
      <c r="P1951" t="s">
        <v>236</v>
      </c>
      <c r="Q1951" t="s">
        <v>237</v>
      </c>
      <c r="R1951" t="s">
        <v>238</v>
      </c>
      <c r="S1951" t="s">
        <v>239</v>
      </c>
      <c r="T1951">
        <v>2067</v>
      </c>
      <c r="U1951" t="s">
        <v>168</v>
      </c>
      <c r="V1951" t="s">
        <v>169</v>
      </c>
      <c r="W1951" t="s">
        <v>240</v>
      </c>
      <c r="X1951" t="s">
        <v>241</v>
      </c>
      <c r="Y1951" t="s">
        <v>104</v>
      </c>
    </row>
    <row r="1952" spans="1:25">
      <c r="A1952">
        <v>10105</v>
      </c>
      <c r="B1952">
        <v>50</v>
      </c>
      <c r="C1952">
        <v>79.67</v>
      </c>
      <c r="D1952">
        <v>1</v>
      </c>
      <c r="E1952">
        <v>3983.5</v>
      </c>
      <c r="F1952" s="4">
        <v>37927</v>
      </c>
      <c r="G1952" t="s">
        <v>93</v>
      </c>
      <c r="H1952">
        <v>1</v>
      </c>
      <c r="I1952">
        <v>2</v>
      </c>
      <c r="J1952">
        <v>2003</v>
      </c>
      <c r="K1952" t="s">
        <v>697</v>
      </c>
      <c r="L1952">
        <v>83</v>
      </c>
      <c r="M1952" t="s">
        <v>831</v>
      </c>
      <c r="N1952" t="s">
        <v>425</v>
      </c>
      <c r="O1952" t="s">
        <v>426</v>
      </c>
      <c r="P1952" t="s">
        <v>427</v>
      </c>
      <c r="R1952" t="s">
        <v>428</v>
      </c>
      <c r="T1952">
        <v>1734</v>
      </c>
      <c r="U1952" t="s">
        <v>429</v>
      </c>
      <c r="V1952" t="s">
        <v>110</v>
      </c>
      <c r="W1952" t="s">
        <v>430</v>
      </c>
      <c r="X1952" t="s">
        <v>431</v>
      </c>
      <c r="Y1952" t="s">
        <v>119</v>
      </c>
    </row>
    <row r="1953" spans="1:25">
      <c r="A1953">
        <v>10119</v>
      </c>
      <c r="B1953">
        <v>35</v>
      </c>
      <c r="C1953">
        <v>90.57</v>
      </c>
      <c r="D1953">
        <v>10</v>
      </c>
      <c r="E1953">
        <v>3169.95</v>
      </c>
      <c r="F1953" t="s">
        <v>432</v>
      </c>
      <c r="G1953" t="s">
        <v>93</v>
      </c>
      <c r="H1953">
        <v>2</v>
      </c>
      <c r="I1953">
        <v>4</v>
      </c>
      <c r="J1953">
        <v>2003</v>
      </c>
      <c r="K1953" t="s">
        <v>697</v>
      </c>
      <c r="L1953">
        <v>83</v>
      </c>
      <c r="M1953" t="s">
        <v>831</v>
      </c>
      <c r="N1953" t="s">
        <v>225</v>
      </c>
      <c r="O1953" t="s">
        <v>226</v>
      </c>
      <c r="P1953" t="s">
        <v>227</v>
      </c>
      <c r="R1953" t="s">
        <v>228</v>
      </c>
      <c r="T1953">
        <v>5020</v>
      </c>
      <c r="U1953" t="s">
        <v>229</v>
      </c>
      <c r="V1953" t="s">
        <v>110</v>
      </c>
      <c r="W1953" t="s">
        <v>230</v>
      </c>
      <c r="X1953" t="s">
        <v>231</v>
      </c>
      <c r="Y1953" t="s">
        <v>119</v>
      </c>
    </row>
    <row r="1954" spans="1:25">
      <c r="A1954">
        <v>10129</v>
      </c>
      <c r="B1954">
        <v>50</v>
      </c>
      <c r="C1954">
        <v>77.989999999999995</v>
      </c>
      <c r="D1954">
        <v>1</v>
      </c>
      <c r="E1954">
        <v>3899.5</v>
      </c>
      <c r="F1954" s="4">
        <v>37961</v>
      </c>
      <c r="G1954" t="s">
        <v>93</v>
      </c>
      <c r="H1954">
        <v>2</v>
      </c>
      <c r="I1954">
        <v>6</v>
      </c>
      <c r="J1954">
        <v>2003</v>
      </c>
      <c r="K1954" t="s">
        <v>697</v>
      </c>
      <c r="L1954">
        <v>83</v>
      </c>
      <c r="M1954" t="s">
        <v>831</v>
      </c>
      <c r="N1954" t="s">
        <v>433</v>
      </c>
      <c r="O1954" t="s">
        <v>434</v>
      </c>
      <c r="P1954" t="s">
        <v>435</v>
      </c>
      <c r="R1954" t="s">
        <v>436</v>
      </c>
      <c r="T1954" t="s">
        <v>437</v>
      </c>
      <c r="U1954" t="s">
        <v>252</v>
      </c>
      <c r="V1954" t="s">
        <v>110</v>
      </c>
      <c r="W1954" t="s">
        <v>130</v>
      </c>
      <c r="X1954" t="s">
        <v>438</v>
      </c>
      <c r="Y1954" t="s">
        <v>119</v>
      </c>
    </row>
    <row r="1955" spans="1:25">
      <c r="A1955">
        <v>10143</v>
      </c>
      <c r="B1955">
        <v>23</v>
      </c>
      <c r="C1955">
        <v>80.510000000000005</v>
      </c>
      <c r="D1955">
        <v>14</v>
      </c>
      <c r="E1955">
        <v>1851.73</v>
      </c>
      <c r="F1955" s="4">
        <v>37902</v>
      </c>
      <c r="G1955" t="s">
        <v>93</v>
      </c>
      <c r="H1955">
        <v>3</v>
      </c>
      <c r="I1955">
        <v>8</v>
      </c>
      <c r="J1955">
        <v>2003</v>
      </c>
      <c r="K1955" t="s">
        <v>697</v>
      </c>
      <c r="L1955">
        <v>83</v>
      </c>
      <c r="M1955" t="s">
        <v>831</v>
      </c>
      <c r="N1955" t="s">
        <v>439</v>
      </c>
      <c r="O1955">
        <v>5085559555</v>
      </c>
      <c r="P1955" t="s">
        <v>440</v>
      </c>
      <c r="R1955" t="s">
        <v>244</v>
      </c>
      <c r="S1955" t="s">
        <v>200</v>
      </c>
      <c r="T1955">
        <v>50553</v>
      </c>
      <c r="U1955" t="s">
        <v>100</v>
      </c>
      <c r="V1955" t="s">
        <v>101</v>
      </c>
      <c r="W1955" t="s">
        <v>441</v>
      </c>
      <c r="X1955" t="s">
        <v>442</v>
      </c>
      <c r="Y1955" t="s">
        <v>104</v>
      </c>
    </row>
    <row r="1956" spans="1:25">
      <c r="A1956">
        <v>10155</v>
      </c>
      <c r="B1956">
        <v>37</v>
      </c>
      <c r="C1956">
        <v>67.930000000000007</v>
      </c>
      <c r="D1956">
        <v>12</v>
      </c>
      <c r="E1956">
        <v>2513.41</v>
      </c>
      <c r="F1956" s="4">
        <v>37782</v>
      </c>
      <c r="G1956" t="s">
        <v>93</v>
      </c>
      <c r="H1956">
        <v>4</v>
      </c>
      <c r="I1956">
        <v>10</v>
      </c>
      <c r="J1956">
        <v>2003</v>
      </c>
      <c r="K1956" t="s">
        <v>697</v>
      </c>
      <c r="L1956">
        <v>83</v>
      </c>
      <c r="M1956" t="s">
        <v>831</v>
      </c>
      <c r="N1956" t="s">
        <v>204</v>
      </c>
      <c r="O1956" t="s">
        <v>205</v>
      </c>
      <c r="P1956" t="s">
        <v>206</v>
      </c>
      <c r="R1956" t="s">
        <v>207</v>
      </c>
      <c r="T1956">
        <v>21240</v>
      </c>
      <c r="U1956" t="s">
        <v>208</v>
      </c>
      <c r="V1956" t="s">
        <v>110</v>
      </c>
      <c r="W1956" t="s">
        <v>209</v>
      </c>
      <c r="X1956" t="s">
        <v>210</v>
      </c>
      <c r="Y1956" t="s">
        <v>104</v>
      </c>
    </row>
    <row r="1957" spans="1:25">
      <c r="A1957">
        <v>10167</v>
      </c>
      <c r="B1957">
        <v>29</v>
      </c>
      <c r="C1957">
        <v>83.86</v>
      </c>
      <c r="D1957">
        <v>8</v>
      </c>
      <c r="E1957">
        <v>2431.94</v>
      </c>
      <c r="F1957" t="s">
        <v>443</v>
      </c>
      <c r="G1957" t="s">
        <v>444</v>
      </c>
      <c r="H1957">
        <v>4</v>
      </c>
      <c r="I1957">
        <v>10</v>
      </c>
      <c r="J1957">
        <v>2003</v>
      </c>
      <c r="K1957" t="s">
        <v>697</v>
      </c>
      <c r="L1957">
        <v>83</v>
      </c>
      <c r="M1957" t="s">
        <v>831</v>
      </c>
      <c r="N1957" t="s">
        <v>355</v>
      </c>
      <c r="O1957" t="s">
        <v>356</v>
      </c>
      <c r="P1957" t="s">
        <v>357</v>
      </c>
      <c r="R1957" t="s">
        <v>358</v>
      </c>
      <c r="T1957" t="s">
        <v>359</v>
      </c>
      <c r="U1957" t="s">
        <v>273</v>
      </c>
      <c r="V1957" t="s">
        <v>110</v>
      </c>
      <c r="W1957" t="s">
        <v>360</v>
      </c>
      <c r="X1957" t="s">
        <v>295</v>
      </c>
      <c r="Y1957" t="s">
        <v>104</v>
      </c>
    </row>
    <row r="1958" spans="1:25">
      <c r="A1958">
        <v>10178</v>
      </c>
      <c r="B1958">
        <v>21</v>
      </c>
      <c r="C1958">
        <v>72.12</v>
      </c>
      <c r="D1958">
        <v>11</v>
      </c>
      <c r="E1958">
        <v>1514.52</v>
      </c>
      <c r="F1958" s="4">
        <v>37844</v>
      </c>
      <c r="G1958" t="s">
        <v>93</v>
      </c>
      <c r="H1958">
        <v>4</v>
      </c>
      <c r="I1958">
        <v>11</v>
      </c>
      <c r="J1958">
        <v>2003</v>
      </c>
      <c r="K1958" t="s">
        <v>697</v>
      </c>
      <c r="L1958">
        <v>83</v>
      </c>
      <c r="M1958" t="s">
        <v>831</v>
      </c>
      <c r="N1958" t="s">
        <v>445</v>
      </c>
      <c r="O1958" t="s">
        <v>446</v>
      </c>
      <c r="P1958" t="s">
        <v>447</v>
      </c>
      <c r="R1958" t="s">
        <v>448</v>
      </c>
      <c r="T1958">
        <v>31000</v>
      </c>
      <c r="U1958" t="s">
        <v>109</v>
      </c>
      <c r="V1958" t="s">
        <v>110</v>
      </c>
      <c r="W1958" t="s">
        <v>449</v>
      </c>
      <c r="X1958" t="s">
        <v>450</v>
      </c>
      <c r="Y1958" t="s">
        <v>104</v>
      </c>
    </row>
    <row r="1959" spans="1:25">
      <c r="A1959">
        <v>10186</v>
      </c>
      <c r="B1959">
        <v>36</v>
      </c>
      <c r="C1959">
        <v>85.54</v>
      </c>
      <c r="D1959">
        <v>8</v>
      </c>
      <c r="E1959">
        <v>3079.44</v>
      </c>
      <c r="F1959" t="s">
        <v>451</v>
      </c>
      <c r="G1959" t="s">
        <v>93</v>
      </c>
      <c r="H1959">
        <v>4</v>
      </c>
      <c r="I1959">
        <v>11</v>
      </c>
      <c r="J1959">
        <v>2003</v>
      </c>
      <c r="K1959" t="s">
        <v>697</v>
      </c>
      <c r="L1959">
        <v>83</v>
      </c>
      <c r="M1959" t="s">
        <v>831</v>
      </c>
      <c r="N1959" t="s">
        <v>452</v>
      </c>
      <c r="O1959" t="s">
        <v>453</v>
      </c>
      <c r="P1959" t="s">
        <v>454</v>
      </c>
      <c r="R1959" t="s">
        <v>436</v>
      </c>
      <c r="T1959" t="s">
        <v>455</v>
      </c>
      <c r="U1959" t="s">
        <v>252</v>
      </c>
      <c r="V1959" t="s">
        <v>110</v>
      </c>
      <c r="W1959" t="s">
        <v>456</v>
      </c>
      <c r="X1959" t="s">
        <v>457</v>
      </c>
      <c r="Y1959" t="s">
        <v>119</v>
      </c>
    </row>
    <row r="1960" spans="1:25">
      <c r="A1960">
        <v>10197</v>
      </c>
      <c r="B1960">
        <v>22</v>
      </c>
      <c r="C1960">
        <v>86.38</v>
      </c>
      <c r="D1960">
        <v>5</v>
      </c>
      <c r="E1960">
        <v>1900.36</v>
      </c>
      <c r="F1960" t="s">
        <v>458</v>
      </c>
      <c r="G1960" t="s">
        <v>93</v>
      </c>
      <c r="H1960">
        <v>4</v>
      </c>
      <c r="I1960">
        <v>11</v>
      </c>
      <c r="J1960">
        <v>2003</v>
      </c>
      <c r="K1960" t="s">
        <v>697</v>
      </c>
      <c r="L1960">
        <v>83</v>
      </c>
      <c r="M1960" t="s">
        <v>831</v>
      </c>
      <c r="N1960" t="s">
        <v>459</v>
      </c>
      <c r="O1960" t="s">
        <v>460</v>
      </c>
      <c r="P1960" t="s">
        <v>461</v>
      </c>
      <c r="R1960" t="s">
        <v>462</v>
      </c>
      <c r="T1960">
        <v>8022</v>
      </c>
      <c r="U1960" t="s">
        <v>261</v>
      </c>
      <c r="V1960" t="s">
        <v>110</v>
      </c>
      <c r="W1960" t="s">
        <v>463</v>
      </c>
      <c r="X1960" t="s">
        <v>464</v>
      </c>
      <c r="Y1960" t="s">
        <v>104</v>
      </c>
    </row>
    <row r="1961" spans="1:25">
      <c r="A1961">
        <v>10209</v>
      </c>
      <c r="B1961">
        <v>22</v>
      </c>
      <c r="C1961">
        <v>89.73</v>
      </c>
      <c r="D1961">
        <v>7</v>
      </c>
      <c r="E1961">
        <v>1974.06</v>
      </c>
      <c r="F1961" s="4">
        <v>38231</v>
      </c>
      <c r="G1961" t="s">
        <v>93</v>
      </c>
      <c r="H1961">
        <v>1</v>
      </c>
      <c r="I1961">
        <v>1</v>
      </c>
      <c r="J1961">
        <v>2004</v>
      </c>
      <c r="K1961" t="s">
        <v>697</v>
      </c>
      <c r="L1961">
        <v>83</v>
      </c>
      <c r="M1961" t="s">
        <v>831</v>
      </c>
      <c r="N1961" t="s">
        <v>465</v>
      </c>
      <c r="O1961">
        <v>2155554369</v>
      </c>
      <c r="P1961" t="s">
        <v>466</v>
      </c>
      <c r="R1961" t="s">
        <v>467</v>
      </c>
      <c r="S1961" t="s">
        <v>124</v>
      </c>
      <c r="U1961" t="s">
        <v>100</v>
      </c>
      <c r="V1961" t="s">
        <v>101</v>
      </c>
      <c r="W1961" t="s">
        <v>468</v>
      </c>
      <c r="X1961" t="s">
        <v>176</v>
      </c>
      <c r="Y1961" t="s">
        <v>104</v>
      </c>
    </row>
    <row r="1962" spans="1:25">
      <c r="A1962">
        <v>10222</v>
      </c>
      <c r="B1962">
        <v>46</v>
      </c>
      <c r="C1962">
        <v>80.510000000000005</v>
      </c>
      <c r="D1962">
        <v>11</v>
      </c>
      <c r="E1962">
        <v>3703.46</v>
      </c>
      <c r="F1962" t="s">
        <v>469</v>
      </c>
      <c r="G1962" t="s">
        <v>93</v>
      </c>
      <c r="H1962">
        <v>1</v>
      </c>
      <c r="I1962">
        <v>2</v>
      </c>
      <c r="J1962">
        <v>2004</v>
      </c>
      <c r="K1962" t="s">
        <v>697</v>
      </c>
      <c r="L1962">
        <v>83</v>
      </c>
      <c r="M1962" t="s">
        <v>831</v>
      </c>
      <c r="N1962" t="s">
        <v>470</v>
      </c>
      <c r="O1962">
        <v>7605558146</v>
      </c>
      <c r="P1962" t="s">
        <v>471</v>
      </c>
      <c r="R1962" t="s">
        <v>472</v>
      </c>
      <c r="S1962" t="s">
        <v>124</v>
      </c>
      <c r="T1962">
        <v>91217</v>
      </c>
      <c r="U1962" t="s">
        <v>100</v>
      </c>
      <c r="V1962" t="s">
        <v>101</v>
      </c>
      <c r="W1962" t="s">
        <v>6</v>
      </c>
      <c r="X1962" t="s">
        <v>371</v>
      </c>
      <c r="Y1962" t="s">
        <v>119</v>
      </c>
    </row>
    <row r="1963" spans="1:25">
      <c r="A1963">
        <v>10248</v>
      </c>
      <c r="B1963">
        <v>23</v>
      </c>
      <c r="C1963">
        <v>76.31</v>
      </c>
      <c r="D1963">
        <v>2</v>
      </c>
      <c r="E1963">
        <v>1755.13</v>
      </c>
      <c r="F1963" s="4">
        <v>38173</v>
      </c>
      <c r="G1963" t="s">
        <v>444</v>
      </c>
      <c r="H1963">
        <v>2</v>
      </c>
      <c r="I1963">
        <v>5</v>
      </c>
      <c r="J1963">
        <v>2004</v>
      </c>
      <c r="K1963" t="s">
        <v>697</v>
      </c>
      <c r="L1963">
        <v>83</v>
      </c>
      <c r="M1963" t="s">
        <v>831</v>
      </c>
      <c r="N1963" t="s">
        <v>96</v>
      </c>
      <c r="O1963">
        <v>2125557818</v>
      </c>
      <c r="P1963" t="s">
        <v>97</v>
      </c>
      <c r="R1963" t="s">
        <v>98</v>
      </c>
      <c r="S1963" t="s">
        <v>99</v>
      </c>
      <c r="T1963">
        <v>10022</v>
      </c>
      <c r="U1963" t="s">
        <v>100</v>
      </c>
      <c r="V1963" t="s">
        <v>101</v>
      </c>
      <c r="W1963" t="s">
        <v>102</v>
      </c>
      <c r="X1963" t="s">
        <v>103</v>
      </c>
      <c r="Y1963" t="s">
        <v>104</v>
      </c>
    </row>
    <row r="1964" spans="1:25">
      <c r="A1964">
        <v>10262</v>
      </c>
      <c r="B1964">
        <v>49</v>
      </c>
      <c r="C1964">
        <v>87.21</v>
      </c>
      <c r="D1964">
        <v>16</v>
      </c>
      <c r="E1964">
        <v>4273.29</v>
      </c>
      <c r="F1964" t="s">
        <v>734</v>
      </c>
      <c r="G1964" t="s">
        <v>444</v>
      </c>
      <c r="H1964">
        <v>2</v>
      </c>
      <c r="I1964">
        <v>6</v>
      </c>
      <c r="J1964">
        <v>2004</v>
      </c>
      <c r="K1964" t="s">
        <v>697</v>
      </c>
      <c r="L1964">
        <v>83</v>
      </c>
      <c r="M1964" t="s">
        <v>831</v>
      </c>
      <c r="N1964" t="s">
        <v>257</v>
      </c>
      <c r="O1964" t="s">
        <v>258</v>
      </c>
      <c r="P1964" t="s">
        <v>259</v>
      </c>
      <c r="R1964" t="s">
        <v>260</v>
      </c>
      <c r="T1964">
        <v>28034</v>
      </c>
      <c r="U1964" t="s">
        <v>261</v>
      </c>
      <c r="V1964" t="s">
        <v>110</v>
      </c>
      <c r="W1964" t="s">
        <v>262</v>
      </c>
      <c r="X1964" t="s">
        <v>263</v>
      </c>
      <c r="Y1964" t="s">
        <v>119</v>
      </c>
    </row>
    <row r="1965" spans="1:25">
      <c r="A1965">
        <v>10273</v>
      </c>
      <c r="B1965">
        <v>48</v>
      </c>
      <c r="C1965">
        <v>83.02</v>
      </c>
      <c r="D1965">
        <v>3</v>
      </c>
      <c r="E1965">
        <v>3984.96</v>
      </c>
      <c r="F1965" t="s">
        <v>474</v>
      </c>
      <c r="G1965" t="s">
        <v>93</v>
      </c>
      <c r="H1965">
        <v>3</v>
      </c>
      <c r="I1965">
        <v>7</v>
      </c>
      <c r="J1965">
        <v>2004</v>
      </c>
      <c r="K1965" t="s">
        <v>697</v>
      </c>
      <c r="L1965">
        <v>83</v>
      </c>
      <c r="M1965" t="s">
        <v>831</v>
      </c>
      <c r="N1965" t="s">
        <v>475</v>
      </c>
      <c r="O1965" t="s">
        <v>476</v>
      </c>
      <c r="P1965" t="s">
        <v>477</v>
      </c>
      <c r="R1965" t="s">
        <v>478</v>
      </c>
      <c r="T1965" t="s">
        <v>479</v>
      </c>
      <c r="U1965" t="s">
        <v>480</v>
      </c>
      <c r="V1965" t="s">
        <v>110</v>
      </c>
      <c r="W1965" t="s">
        <v>481</v>
      </c>
      <c r="X1965" t="s">
        <v>482</v>
      </c>
      <c r="Y1965" t="s">
        <v>119</v>
      </c>
    </row>
    <row r="1966" spans="1:25">
      <c r="A1966">
        <v>10283</v>
      </c>
      <c r="B1966">
        <v>33</v>
      </c>
      <c r="C1966">
        <v>72.959999999999994</v>
      </c>
      <c r="D1966">
        <v>5</v>
      </c>
      <c r="E1966">
        <v>2407.6799999999998</v>
      </c>
      <c r="F1966" t="s">
        <v>483</v>
      </c>
      <c r="G1966" t="s">
        <v>93</v>
      </c>
      <c r="H1966">
        <v>3</v>
      </c>
      <c r="I1966">
        <v>8</v>
      </c>
      <c r="J1966">
        <v>2004</v>
      </c>
      <c r="K1966" t="s">
        <v>697</v>
      </c>
      <c r="L1966">
        <v>83</v>
      </c>
      <c r="M1966" t="s">
        <v>831</v>
      </c>
      <c r="N1966" t="s">
        <v>484</v>
      </c>
      <c r="O1966" t="s">
        <v>485</v>
      </c>
      <c r="P1966" t="s">
        <v>486</v>
      </c>
      <c r="R1966" t="s">
        <v>487</v>
      </c>
      <c r="S1966" t="s">
        <v>320</v>
      </c>
      <c r="T1966" t="s">
        <v>488</v>
      </c>
      <c r="U1966" t="s">
        <v>322</v>
      </c>
      <c r="V1966" t="s">
        <v>101</v>
      </c>
      <c r="W1966" t="s">
        <v>489</v>
      </c>
      <c r="X1966" t="s">
        <v>254</v>
      </c>
      <c r="Y1966" t="s">
        <v>104</v>
      </c>
    </row>
    <row r="1967" spans="1:25">
      <c r="A1967">
        <v>10296</v>
      </c>
      <c r="B1967">
        <v>22</v>
      </c>
      <c r="C1967">
        <v>77.150000000000006</v>
      </c>
      <c r="D1967">
        <v>14</v>
      </c>
      <c r="E1967">
        <v>1697.3</v>
      </c>
      <c r="F1967" t="s">
        <v>736</v>
      </c>
      <c r="G1967" t="s">
        <v>93</v>
      </c>
      <c r="H1967">
        <v>3</v>
      </c>
      <c r="I1967">
        <v>9</v>
      </c>
      <c r="J1967">
        <v>2004</v>
      </c>
      <c r="K1967" t="s">
        <v>697</v>
      </c>
      <c r="L1967">
        <v>83</v>
      </c>
      <c r="M1967" t="s">
        <v>831</v>
      </c>
      <c r="N1967" t="s">
        <v>737</v>
      </c>
      <c r="O1967" t="s">
        <v>738</v>
      </c>
      <c r="P1967" t="s">
        <v>739</v>
      </c>
      <c r="R1967" t="s">
        <v>740</v>
      </c>
      <c r="T1967">
        <v>80686</v>
      </c>
      <c r="U1967" t="s">
        <v>566</v>
      </c>
      <c r="V1967" t="s">
        <v>110</v>
      </c>
      <c r="W1967" t="s">
        <v>741</v>
      </c>
      <c r="X1967" t="s">
        <v>176</v>
      </c>
      <c r="Y1967" t="s">
        <v>104</v>
      </c>
    </row>
    <row r="1968" spans="1:25">
      <c r="A1968">
        <v>10307</v>
      </c>
      <c r="B1968">
        <v>22</v>
      </c>
      <c r="C1968">
        <v>91.41</v>
      </c>
      <c r="D1968">
        <v>8</v>
      </c>
      <c r="E1968">
        <v>2011.02</v>
      </c>
      <c r="F1968" t="s">
        <v>494</v>
      </c>
      <c r="G1968" t="s">
        <v>93</v>
      </c>
      <c r="H1968">
        <v>4</v>
      </c>
      <c r="I1968">
        <v>10</v>
      </c>
      <c r="J1968">
        <v>2004</v>
      </c>
      <c r="K1968" t="s">
        <v>697</v>
      </c>
      <c r="L1968">
        <v>83</v>
      </c>
      <c r="M1968" t="s">
        <v>831</v>
      </c>
      <c r="N1968" t="s">
        <v>304</v>
      </c>
      <c r="O1968">
        <v>2155554695</v>
      </c>
      <c r="P1968" t="s">
        <v>305</v>
      </c>
      <c r="R1968" t="s">
        <v>306</v>
      </c>
      <c r="S1968" t="s">
        <v>221</v>
      </c>
      <c r="T1968">
        <v>71270</v>
      </c>
      <c r="U1968" t="s">
        <v>100</v>
      </c>
      <c r="V1968" t="s">
        <v>101</v>
      </c>
      <c r="W1968" t="s">
        <v>307</v>
      </c>
      <c r="X1968" t="s">
        <v>308</v>
      </c>
      <c r="Y1968" t="s">
        <v>104</v>
      </c>
    </row>
    <row r="1969" spans="1:25">
      <c r="A1969">
        <v>10316</v>
      </c>
      <c r="B1969">
        <v>25</v>
      </c>
      <c r="C1969">
        <v>92.25</v>
      </c>
      <c r="D1969">
        <v>16</v>
      </c>
      <c r="E1969">
        <v>2306.25</v>
      </c>
      <c r="F1969" s="4">
        <v>37997</v>
      </c>
      <c r="G1969" t="s">
        <v>93</v>
      </c>
      <c r="H1969">
        <v>4</v>
      </c>
      <c r="I1969">
        <v>11</v>
      </c>
      <c r="J1969">
        <v>2004</v>
      </c>
      <c r="K1969" t="s">
        <v>697</v>
      </c>
      <c r="L1969">
        <v>83</v>
      </c>
      <c r="M1969" t="s">
        <v>831</v>
      </c>
      <c r="N1969" t="s">
        <v>495</v>
      </c>
      <c r="O1969" t="s">
        <v>496</v>
      </c>
      <c r="P1969" t="s">
        <v>497</v>
      </c>
      <c r="R1969" t="s">
        <v>498</v>
      </c>
      <c r="S1969" t="s">
        <v>499</v>
      </c>
      <c r="T1969" t="s">
        <v>500</v>
      </c>
      <c r="U1969" t="s">
        <v>252</v>
      </c>
      <c r="V1969" t="s">
        <v>110</v>
      </c>
      <c r="W1969" t="s">
        <v>501</v>
      </c>
      <c r="X1969" t="s">
        <v>502</v>
      </c>
      <c r="Y1969" t="s">
        <v>104</v>
      </c>
    </row>
    <row r="1970" spans="1:25">
      <c r="A1970">
        <v>10326</v>
      </c>
      <c r="B1970">
        <v>20</v>
      </c>
      <c r="C1970">
        <v>92.25</v>
      </c>
      <c r="D1970">
        <v>2</v>
      </c>
      <c r="E1970">
        <v>1845</v>
      </c>
      <c r="F1970" s="4">
        <v>38241</v>
      </c>
      <c r="G1970" t="s">
        <v>93</v>
      </c>
      <c r="H1970">
        <v>4</v>
      </c>
      <c r="I1970">
        <v>11</v>
      </c>
      <c r="J1970">
        <v>2004</v>
      </c>
      <c r="K1970" t="s">
        <v>697</v>
      </c>
      <c r="L1970">
        <v>83</v>
      </c>
      <c r="M1970" t="s">
        <v>831</v>
      </c>
      <c r="N1970" t="s">
        <v>268</v>
      </c>
      <c r="O1970" t="s">
        <v>269</v>
      </c>
      <c r="P1970" t="s">
        <v>270</v>
      </c>
      <c r="R1970" t="s">
        <v>271</v>
      </c>
      <c r="T1970" t="s">
        <v>272</v>
      </c>
      <c r="U1970" t="s">
        <v>273</v>
      </c>
      <c r="V1970" t="s">
        <v>110</v>
      </c>
      <c r="W1970" t="s">
        <v>274</v>
      </c>
      <c r="X1970" t="s">
        <v>275</v>
      </c>
      <c r="Y1970" t="s">
        <v>104</v>
      </c>
    </row>
    <row r="1971" spans="1:25">
      <c r="A1971">
        <v>10339</v>
      </c>
      <c r="B1971">
        <v>42</v>
      </c>
      <c r="C1971">
        <v>59.36</v>
      </c>
      <c r="D1971">
        <v>16</v>
      </c>
      <c r="E1971">
        <v>2493.12</v>
      </c>
      <c r="F1971" t="s">
        <v>422</v>
      </c>
      <c r="G1971" t="s">
        <v>93</v>
      </c>
      <c r="H1971">
        <v>4</v>
      </c>
      <c r="I1971">
        <v>11</v>
      </c>
      <c r="J1971">
        <v>2004</v>
      </c>
      <c r="K1971" t="s">
        <v>697</v>
      </c>
      <c r="L1971">
        <v>83</v>
      </c>
      <c r="M1971" t="s">
        <v>831</v>
      </c>
      <c r="N1971" t="s">
        <v>338</v>
      </c>
      <c r="O1971" t="s">
        <v>339</v>
      </c>
      <c r="P1971" t="s">
        <v>340</v>
      </c>
      <c r="R1971" t="s">
        <v>341</v>
      </c>
      <c r="S1971" t="s">
        <v>342</v>
      </c>
      <c r="T1971" t="s">
        <v>343</v>
      </c>
      <c r="U1971" t="s">
        <v>288</v>
      </c>
      <c r="V1971" t="s">
        <v>288</v>
      </c>
      <c r="W1971" t="s">
        <v>344</v>
      </c>
      <c r="X1971" t="s">
        <v>345</v>
      </c>
      <c r="Y1971" t="s">
        <v>104</v>
      </c>
    </row>
    <row r="1972" spans="1:25">
      <c r="A1972">
        <v>10350</v>
      </c>
      <c r="B1972">
        <v>25</v>
      </c>
      <c r="C1972">
        <v>60.34</v>
      </c>
      <c r="D1972">
        <v>10</v>
      </c>
      <c r="E1972">
        <v>1508.5</v>
      </c>
      <c r="F1972" s="4">
        <v>38029</v>
      </c>
      <c r="G1972" t="s">
        <v>93</v>
      </c>
      <c r="H1972">
        <v>4</v>
      </c>
      <c r="I1972">
        <v>12</v>
      </c>
      <c r="J1972">
        <v>2004</v>
      </c>
      <c r="K1972" t="s">
        <v>697</v>
      </c>
      <c r="L1972">
        <v>83</v>
      </c>
      <c r="M1972" t="s">
        <v>831</v>
      </c>
      <c r="N1972" t="s">
        <v>257</v>
      </c>
      <c r="O1972" t="s">
        <v>258</v>
      </c>
      <c r="P1972" t="s">
        <v>259</v>
      </c>
      <c r="R1972" t="s">
        <v>260</v>
      </c>
      <c r="T1972">
        <v>28034</v>
      </c>
      <c r="U1972" t="s">
        <v>261</v>
      </c>
      <c r="V1972" t="s">
        <v>110</v>
      </c>
      <c r="W1972" t="s">
        <v>262</v>
      </c>
      <c r="X1972" t="s">
        <v>263</v>
      </c>
      <c r="Y1972" t="s">
        <v>104</v>
      </c>
    </row>
    <row r="1973" spans="1:25">
      <c r="A1973">
        <v>10373</v>
      </c>
      <c r="B1973">
        <v>23</v>
      </c>
      <c r="C1973">
        <v>100</v>
      </c>
      <c r="D1973">
        <v>10</v>
      </c>
      <c r="E1973">
        <v>2394.3000000000002</v>
      </c>
      <c r="F1973" t="s">
        <v>505</v>
      </c>
      <c r="G1973" t="s">
        <v>93</v>
      </c>
      <c r="H1973">
        <v>1</v>
      </c>
      <c r="I1973">
        <v>1</v>
      </c>
      <c r="J1973">
        <v>2005</v>
      </c>
      <c r="K1973" t="s">
        <v>697</v>
      </c>
      <c r="L1973">
        <v>83</v>
      </c>
      <c r="M1973" t="s">
        <v>831</v>
      </c>
      <c r="N1973" t="s">
        <v>506</v>
      </c>
      <c r="O1973" t="s">
        <v>507</v>
      </c>
      <c r="P1973" t="s">
        <v>508</v>
      </c>
      <c r="R1973" t="s">
        <v>509</v>
      </c>
      <c r="T1973">
        <v>90110</v>
      </c>
      <c r="U1973" t="s">
        <v>208</v>
      </c>
      <c r="V1973" t="s">
        <v>110</v>
      </c>
      <c r="W1973" t="s">
        <v>510</v>
      </c>
      <c r="X1973" t="s">
        <v>511</v>
      </c>
      <c r="Y1973" t="s">
        <v>104</v>
      </c>
    </row>
    <row r="1974" spans="1:25">
      <c r="A1974">
        <v>10385</v>
      </c>
      <c r="B1974">
        <v>37</v>
      </c>
      <c r="C1974">
        <v>85.54</v>
      </c>
      <c r="D1974">
        <v>2</v>
      </c>
      <c r="E1974">
        <v>3164.98</v>
      </c>
      <c r="F1974" t="s">
        <v>832</v>
      </c>
      <c r="G1974" t="s">
        <v>93</v>
      </c>
      <c r="H1974">
        <v>1</v>
      </c>
      <c r="I1974">
        <v>2</v>
      </c>
      <c r="J1974">
        <v>2005</v>
      </c>
      <c r="K1974" t="s">
        <v>697</v>
      </c>
      <c r="L1974">
        <v>83</v>
      </c>
      <c r="M1974" t="s">
        <v>831</v>
      </c>
      <c r="N1974" t="s">
        <v>367</v>
      </c>
      <c r="O1974">
        <v>4155551450</v>
      </c>
      <c r="P1974" t="s">
        <v>368</v>
      </c>
      <c r="R1974" t="s">
        <v>369</v>
      </c>
      <c r="S1974" t="s">
        <v>124</v>
      </c>
      <c r="T1974">
        <v>97562</v>
      </c>
      <c r="U1974" t="s">
        <v>100</v>
      </c>
      <c r="V1974" t="s">
        <v>101</v>
      </c>
      <c r="W1974" t="s">
        <v>370</v>
      </c>
      <c r="X1974" t="s">
        <v>371</v>
      </c>
      <c r="Y1974" t="s">
        <v>119</v>
      </c>
    </row>
    <row r="1975" spans="1:25">
      <c r="A1975">
        <v>10396</v>
      </c>
      <c r="B1975">
        <v>37</v>
      </c>
      <c r="C1975">
        <v>90.57</v>
      </c>
      <c r="D1975">
        <v>8</v>
      </c>
      <c r="E1975">
        <v>3351.09</v>
      </c>
      <c r="F1975" t="s">
        <v>658</v>
      </c>
      <c r="G1975" t="s">
        <v>93</v>
      </c>
      <c r="H1975">
        <v>1</v>
      </c>
      <c r="I1975">
        <v>3</v>
      </c>
      <c r="J1975">
        <v>2005</v>
      </c>
      <c r="K1975" t="s">
        <v>697</v>
      </c>
      <c r="L1975">
        <v>83</v>
      </c>
      <c r="M1975" t="s">
        <v>831</v>
      </c>
      <c r="N1975" t="s">
        <v>367</v>
      </c>
      <c r="O1975">
        <v>4155551450</v>
      </c>
      <c r="P1975" t="s">
        <v>368</v>
      </c>
      <c r="R1975" t="s">
        <v>369</v>
      </c>
      <c r="S1975" t="s">
        <v>124</v>
      </c>
      <c r="T1975">
        <v>97562</v>
      </c>
      <c r="U1975" t="s">
        <v>100</v>
      </c>
      <c r="V1975" t="s">
        <v>101</v>
      </c>
      <c r="W1975" t="s">
        <v>370</v>
      </c>
      <c r="X1975" t="s">
        <v>371</v>
      </c>
      <c r="Y1975" t="s">
        <v>119</v>
      </c>
    </row>
    <row r="1976" spans="1:25">
      <c r="A1976">
        <v>10400</v>
      </c>
      <c r="B1976">
        <v>42</v>
      </c>
      <c r="C1976">
        <v>72.959999999999994</v>
      </c>
      <c r="D1976">
        <v>8</v>
      </c>
      <c r="E1976">
        <v>3064.32</v>
      </c>
      <c r="F1976" s="4">
        <v>38356</v>
      </c>
      <c r="G1976" t="s">
        <v>93</v>
      </c>
      <c r="H1976">
        <v>2</v>
      </c>
      <c r="I1976">
        <v>4</v>
      </c>
      <c r="J1976">
        <v>2005</v>
      </c>
      <c r="K1976" t="s">
        <v>697</v>
      </c>
      <c r="L1976">
        <v>83</v>
      </c>
      <c r="M1976" t="s">
        <v>831</v>
      </c>
      <c r="N1976" t="s">
        <v>514</v>
      </c>
      <c r="O1976">
        <v>4085553659</v>
      </c>
      <c r="P1976" t="s">
        <v>515</v>
      </c>
      <c r="R1976" t="s">
        <v>516</v>
      </c>
      <c r="S1976" t="s">
        <v>124</v>
      </c>
      <c r="T1976">
        <v>94217</v>
      </c>
      <c r="U1976" t="s">
        <v>100</v>
      </c>
      <c r="V1976" t="s">
        <v>101</v>
      </c>
      <c r="W1976" t="s">
        <v>175</v>
      </c>
      <c r="X1976" t="s">
        <v>517</v>
      </c>
      <c r="Y1976" t="s">
        <v>119</v>
      </c>
    </row>
    <row r="1977" spans="1:25">
      <c r="A1977">
        <v>10414</v>
      </c>
      <c r="B1977">
        <v>51</v>
      </c>
      <c r="C1977">
        <v>76.31</v>
      </c>
      <c r="D1977">
        <v>2</v>
      </c>
      <c r="E1977">
        <v>3891.81</v>
      </c>
      <c r="F1977" s="4">
        <v>38508</v>
      </c>
      <c r="G1977" t="s">
        <v>518</v>
      </c>
      <c r="H1977">
        <v>2</v>
      </c>
      <c r="I1977">
        <v>5</v>
      </c>
      <c r="J1977">
        <v>2005</v>
      </c>
      <c r="K1977" t="s">
        <v>697</v>
      </c>
      <c r="L1977">
        <v>83</v>
      </c>
      <c r="M1977" t="s">
        <v>831</v>
      </c>
      <c r="N1977" t="s">
        <v>490</v>
      </c>
      <c r="O1977">
        <v>6175559555</v>
      </c>
      <c r="P1977" t="s">
        <v>491</v>
      </c>
      <c r="R1977" t="s">
        <v>492</v>
      </c>
      <c r="S1977" t="s">
        <v>200</v>
      </c>
      <c r="T1977">
        <v>51003</v>
      </c>
      <c r="U1977" t="s">
        <v>100</v>
      </c>
      <c r="V1977" t="s">
        <v>101</v>
      </c>
      <c r="W1977" t="s">
        <v>493</v>
      </c>
      <c r="X1977" t="s">
        <v>136</v>
      </c>
      <c r="Y1977" t="s">
        <v>119</v>
      </c>
    </row>
    <row r="1978" spans="1:25">
      <c r="A1978">
        <v>10108</v>
      </c>
      <c r="B1978">
        <v>40</v>
      </c>
      <c r="C1978">
        <v>100</v>
      </c>
      <c r="D1978">
        <v>1</v>
      </c>
      <c r="E1978">
        <v>5448.8</v>
      </c>
      <c r="F1978" s="4">
        <v>37683</v>
      </c>
      <c r="G1978" t="s">
        <v>93</v>
      </c>
      <c r="H1978">
        <v>1</v>
      </c>
      <c r="I1978">
        <v>3</v>
      </c>
      <c r="J1978">
        <v>2003</v>
      </c>
      <c r="K1978" t="s">
        <v>265</v>
      </c>
      <c r="L1978">
        <v>140</v>
      </c>
      <c r="M1978" t="s">
        <v>833</v>
      </c>
      <c r="N1978" t="s">
        <v>547</v>
      </c>
      <c r="O1978" t="s">
        <v>548</v>
      </c>
      <c r="P1978" t="s">
        <v>549</v>
      </c>
      <c r="R1978" t="s">
        <v>550</v>
      </c>
      <c r="T1978" t="s">
        <v>551</v>
      </c>
      <c r="U1978" t="s">
        <v>552</v>
      </c>
      <c r="V1978" t="s">
        <v>288</v>
      </c>
      <c r="W1978" t="s">
        <v>553</v>
      </c>
      <c r="X1978" t="s">
        <v>554</v>
      </c>
      <c r="Y1978" t="s">
        <v>119</v>
      </c>
    </row>
    <row r="1979" spans="1:25">
      <c r="A1979">
        <v>10122</v>
      </c>
      <c r="B1979">
        <v>43</v>
      </c>
      <c r="C1979">
        <v>100</v>
      </c>
      <c r="D1979">
        <v>5</v>
      </c>
      <c r="E1979">
        <v>5494.97</v>
      </c>
      <c r="F1979" s="4">
        <v>37838</v>
      </c>
      <c r="G1979" t="s">
        <v>93</v>
      </c>
      <c r="H1979">
        <v>2</v>
      </c>
      <c r="I1979">
        <v>5</v>
      </c>
      <c r="J1979">
        <v>2003</v>
      </c>
      <c r="K1979" t="s">
        <v>265</v>
      </c>
      <c r="L1979">
        <v>140</v>
      </c>
      <c r="M1979" t="s">
        <v>833</v>
      </c>
      <c r="N1979" t="s">
        <v>555</v>
      </c>
      <c r="O1979" t="s">
        <v>556</v>
      </c>
      <c r="P1979" t="s">
        <v>557</v>
      </c>
      <c r="R1979" t="s">
        <v>558</v>
      </c>
      <c r="T1979">
        <v>13008</v>
      </c>
      <c r="U1979" t="s">
        <v>109</v>
      </c>
      <c r="V1979" t="s">
        <v>110</v>
      </c>
      <c r="W1979" t="s">
        <v>559</v>
      </c>
      <c r="X1979" t="s">
        <v>560</v>
      </c>
      <c r="Y1979" t="s">
        <v>119</v>
      </c>
    </row>
    <row r="1980" spans="1:25">
      <c r="A1980">
        <v>10135</v>
      </c>
      <c r="B1980">
        <v>47</v>
      </c>
      <c r="C1980">
        <v>100</v>
      </c>
      <c r="D1980">
        <v>2</v>
      </c>
      <c r="E1980">
        <v>6336.07</v>
      </c>
      <c r="F1980" s="4">
        <v>37659</v>
      </c>
      <c r="G1980" t="s">
        <v>93</v>
      </c>
      <c r="H1980">
        <v>3</v>
      </c>
      <c r="I1980">
        <v>7</v>
      </c>
      <c r="J1980">
        <v>2003</v>
      </c>
      <c r="K1980" t="s">
        <v>265</v>
      </c>
      <c r="L1980">
        <v>140</v>
      </c>
      <c r="M1980" t="s">
        <v>833</v>
      </c>
      <c r="N1980" t="s">
        <v>367</v>
      </c>
      <c r="O1980">
        <v>4155551450</v>
      </c>
      <c r="P1980" t="s">
        <v>368</v>
      </c>
      <c r="R1980" t="s">
        <v>369</v>
      </c>
      <c r="S1980" t="s">
        <v>124</v>
      </c>
      <c r="T1980">
        <v>97562</v>
      </c>
      <c r="U1980" t="s">
        <v>100</v>
      </c>
      <c r="V1980" t="s">
        <v>101</v>
      </c>
      <c r="W1980" t="s">
        <v>370</v>
      </c>
      <c r="X1980" t="s">
        <v>371</v>
      </c>
      <c r="Y1980" t="s">
        <v>119</v>
      </c>
    </row>
    <row r="1981" spans="1:25">
      <c r="A1981">
        <v>10147</v>
      </c>
      <c r="B1981">
        <v>23</v>
      </c>
      <c r="C1981">
        <v>100</v>
      </c>
      <c r="D1981">
        <v>2</v>
      </c>
      <c r="E1981">
        <v>2906.97</v>
      </c>
      <c r="F1981" s="4">
        <v>37750</v>
      </c>
      <c r="G1981" t="s">
        <v>93</v>
      </c>
      <c r="H1981">
        <v>3</v>
      </c>
      <c r="I1981">
        <v>9</v>
      </c>
      <c r="J1981">
        <v>2003</v>
      </c>
      <c r="K1981" t="s">
        <v>265</v>
      </c>
      <c r="L1981">
        <v>140</v>
      </c>
      <c r="M1981" t="s">
        <v>833</v>
      </c>
      <c r="N1981" t="s">
        <v>379</v>
      </c>
      <c r="O1981">
        <v>6175558555</v>
      </c>
      <c r="P1981" t="s">
        <v>380</v>
      </c>
      <c r="R1981" t="s">
        <v>381</v>
      </c>
      <c r="S1981" t="s">
        <v>200</v>
      </c>
      <c r="T1981">
        <v>58339</v>
      </c>
      <c r="U1981" t="s">
        <v>100</v>
      </c>
      <c r="V1981" t="s">
        <v>101</v>
      </c>
      <c r="W1981" t="s">
        <v>370</v>
      </c>
      <c r="X1981" t="s">
        <v>382</v>
      </c>
      <c r="Y1981" t="s">
        <v>104</v>
      </c>
    </row>
    <row r="1982" spans="1:25">
      <c r="A1982">
        <v>10160</v>
      </c>
      <c r="B1982">
        <v>35</v>
      </c>
      <c r="C1982">
        <v>100</v>
      </c>
      <c r="D1982">
        <v>3</v>
      </c>
      <c r="E1982">
        <v>4767.7</v>
      </c>
      <c r="F1982" s="4">
        <v>37935</v>
      </c>
      <c r="G1982" t="s">
        <v>93</v>
      </c>
      <c r="H1982">
        <v>4</v>
      </c>
      <c r="I1982">
        <v>10</v>
      </c>
      <c r="J1982">
        <v>2003</v>
      </c>
      <c r="K1982" t="s">
        <v>265</v>
      </c>
      <c r="L1982">
        <v>140</v>
      </c>
      <c r="M1982" t="s">
        <v>833</v>
      </c>
      <c r="N1982" t="s">
        <v>465</v>
      </c>
      <c r="O1982">
        <v>2155554369</v>
      </c>
      <c r="P1982" t="s">
        <v>466</v>
      </c>
      <c r="R1982" t="s">
        <v>467</v>
      </c>
      <c r="S1982" t="s">
        <v>124</v>
      </c>
      <c r="U1982" t="s">
        <v>100</v>
      </c>
      <c r="V1982" t="s">
        <v>101</v>
      </c>
      <c r="W1982" t="s">
        <v>468</v>
      </c>
      <c r="X1982" t="s">
        <v>176</v>
      </c>
      <c r="Y1982" t="s">
        <v>119</v>
      </c>
    </row>
    <row r="1983" spans="1:25">
      <c r="A1983">
        <v>10170</v>
      </c>
      <c r="B1983">
        <v>34</v>
      </c>
      <c r="C1983">
        <v>100</v>
      </c>
      <c r="D1983">
        <v>1</v>
      </c>
      <c r="E1983">
        <v>3819.56</v>
      </c>
      <c r="F1983" s="4">
        <v>37722</v>
      </c>
      <c r="G1983" t="s">
        <v>93</v>
      </c>
      <c r="H1983">
        <v>4</v>
      </c>
      <c r="I1983">
        <v>11</v>
      </c>
      <c r="J1983">
        <v>2003</v>
      </c>
      <c r="K1983" t="s">
        <v>265</v>
      </c>
      <c r="L1983">
        <v>140</v>
      </c>
      <c r="M1983" t="s">
        <v>833</v>
      </c>
      <c r="N1983" t="s">
        <v>527</v>
      </c>
      <c r="O1983" t="s">
        <v>528</v>
      </c>
      <c r="P1983" t="s">
        <v>529</v>
      </c>
      <c r="R1983" t="s">
        <v>530</v>
      </c>
      <c r="T1983">
        <v>8010</v>
      </c>
      <c r="U1983" t="s">
        <v>229</v>
      </c>
      <c r="V1983" t="s">
        <v>110</v>
      </c>
      <c r="W1983" t="s">
        <v>531</v>
      </c>
      <c r="X1983" t="s">
        <v>532</v>
      </c>
      <c r="Y1983" t="s">
        <v>119</v>
      </c>
    </row>
    <row r="1984" spans="1:25">
      <c r="A1984">
        <v>10181</v>
      </c>
      <c r="B1984">
        <v>25</v>
      </c>
      <c r="C1984">
        <v>100</v>
      </c>
      <c r="D1984">
        <v>9</v>
      </c>
      <c r="E1984">
        <v>3861.75</v>
      </c>
      <c r="F1984" s="4">
        <v>37966</v>
      </c>
      <c r="G1984" t="s">
        <v>93</v>
      </c>
      <c r="H1984">
        <v>4</v>
      </c>
      <c r="I1984">
        <v>11</v>
      </c>
      <c r="J1984">
        <v>2003</v>
      </c>
      <c r="K1984" t="s">
        <v>265</v>
      </c>
      <c r="L1984">
        <v>140</v>
      </c>
      <c r="M1984" t="s">
        <v>833</v>
      </c>
      <c r="N1984" t="s">
        <v>144</v>
      </c>
      <c r="O1984" t="s">
        <v>145</v>
      </c>
      <c r="P1984" t="s">
        <v>146</v>
      </c>
      <c r="R1984" t="s">
        <v>147</v>
      </c>
      <c r="T1984" t="s">
        <v>148</v>
      </c>
      <c r="U1984" t="s">
        <v>149</v>
      </c>
      <c r="V1984" t="s">
        <v>110</v>
      </c>
      <c r="W1984" t="s">
        <v>150</v>
      </c>
      <c r="X1984" t="s">
        <v>151</v>
      </c>
      <c r="Y1984" t="s">
        <v>119</v>
      </c>
    </row>
    <row r="1985" spans="1:25">
      <c r="A1985">
        <v>10192</v>
      </c>
      <c r="B1985">
        <v>45</v>
      </c>
      <c r="C1985">
        <v>100</v>
      </c>
      <c r="D1985">
        <v>14</v>
      </c>
      <c r="E1985">
        <v>6319.35</v>
      </c>
      <c r="F1985" t="s">
        <v>561</v>
      </c>
      <c r="G1985" t="s">
        <v>93</v>
      </c>
      <c r="H1985">
        <v>4</v>
      </c>
      <c r="I1985">
        <v>11</v>
      </c>
      <c r="J1985">
        <v>2003</v>
      </c>
      <c r="K1985" t="s">
        <v>265</v>
      </c>
      <c r="L1985">
        <v>140</v>
      </c>
      <c r="M1985" t="s">
        <v>833</v>
      </c>
      <c r="N1985" t="s">
        <v>372</v>
      </c>
      <c r="O1985">
        <v>6035558647</v>
      </c>
      <c r="P1985" t="s">
        <v>373</v>
      </c>
      <c r="R1985" t="s">
        <v>374</v>
      </c>
      <c r="S1985" t="s">
        <v>375</v>
      </c>
      <c r="T1985">
        <v>62005</v>
      </c>
      <c r="U1985" t="s">
        <v>100</v>
      </c>
      <c r="V1985" t="s">
        <v>101</v>
      </c>
      <c r="W1985" t="s">
        <v>125</v>
      </c>
      <c r="X1985" t="s">
        <v>371</v>
      </c>
      <c r="Y1985" t="s">
        <v>119</v>
      </c>
    </row>
    <row r="1986" spans="1:25">
      <c r="A1986">
        <v>10203</v>
      </c>
      <c r="B1986">
        <v>47</v>
      </c>
      <c r="C1986">
        <v>100</v>
      </c>
      <c r="D1986">
        <v>3</v>
      </c>
      <c r="E1986">
        <v>6996.42</v>
      </c>
      <c r="F1986" s="4">
        <v>37664</v>
      </c>
      <c r="G1986" t="s">
        <v>93</v>
      </c>
      <c r="H1986">
        <v>4</v>
      </c>
      <c r="I1986">
        <v>12</v>
      </c>
      <c r="J1986">
        <v>2003</v>
      </c>
      <c r="K1986" t="s">
        <v>265</v>
      </c>
      <c r="L1986">
        <v>140</v>
      </c>
      <c r="M1986" t="s">
        <v>833</v>
      </c>
      <c r="N1986" t="s">
        <v>257</v>
      </c>
      <c r="O1986" t="s">
        <v>258</v>
      </c>
      <c r="P1986" t="s">
        <v>259</v>
      </c>
      <c r="R1986" t="s">
        <v>260</v>
      </c>
      <c r="T1986">
        <v>28034</v>
      </c>
      <c r="U1986" t="s">
        <v>261</v>
      </c>
      <c r="V1986" t="s">
        <v>110</v>
      </c>
      <c r="W1986" t="s">
        <v>262</v>
      </c>
      <c r="X1986" t="s">
        <v>263</v>
      </c>
      <c r="Y1986" t="s">
        <v>119</v>
      </c>
    </row>
    <row r="1987" spans="1:25">
      <c r="A1987">
        <v>10212</v>
      </c>
      <c r="B1987">
        <v>49</v>
      </c>
      <c r="C1987">
        <v>100</v>
      </c>
      <c r="D1987">
        <v>13</v>
      </c>
      <c r="E1987">
        <v>6949.67</v>
      </c>
      <c r="F1987" t="s">
        <v>653</v>
      </c>
      <c r="G1987" t="s">
        <v>93</v>
      </c>
      <c r="H1987">
        <v>1</v>
      </c>
      <c r="I1987">
        <v>1</v>
      </c>
      <c r="J1987">
        <v>2004</v>
      </c>
      <c r="K1987" t="s">
        <v>265</v>
      </c>
      <c r="L1987">
        <v>140</v>
      </c>
      <c r="M1987" t="s">
        <v>833</v>
      </c>
      <c r="N1987" t="s">
        <v>257</v>
      </c>
      <c r="O1987" t="s">
        <v>258</v>
      </c>
      <c r="P1987" t="s">
        <v>259</v>
      </c>
      <c r="R1987" t="s">
        <v>260</v>
      </c>
      <c r="T1987">
        <v>28034</v>
      </c>
      <c r="U1987" t="s">
        <v>261</v>
      </c>
      <c r="V1987" t="s">
        <v>110</v>
      </c>
      <c r="W1987" t="s">
        <v>262</v>
      </c>
      <c r="X1987" t="s">
        <v>263</v>
      </c>
      <c r="Y1987" t="s">
        <v>119</v>
      </c>
    </row>
    <row r="1988" spans="1:25">
      <c r="A1988">
        <v>10225</v>
      </c>
      <c r="B1988">
        <v>40</v>
      </c>
      <c r="C1988">
        <v>100</v>
      </c>
      <c r="D1988">
        <v>4</v>
      </c>
      <c r="E1988">
        <v>4550</v>
      </c>
      <c r="F1988" t="s">
        <v>569</v>
      </c>
      <c r="G1988" t="s">
        <v>93</v>
      </c>
      <c r="H1988">
        <v>1</v>
      </c>
      <c r="I1988">
        <v>2</v>
      </c>
      <c r="J1988">
        <v>2004</v>
      </c>
      <c r="K1988" t="s">
        <v>265</v>
      </c>
      <c r="L1988">
        <v>140</v>
      </c>
      <c r="M1988" t="s">
        <v>833</v>
      </c>
      <c r="N1988" t="s">
        <v>570</v>
      </c>
      <c r="O1988" t="s">
        <v>571</v>
      </c>
      <c r="P1988" t="s">
        <v>572</v>
      </c>
      <c r="R1988" t="s">
        <v>573</v>
      </c>
      <c r="T1988">
        <v>1203</v>
      </c>
      <c r="U1988" t="s">
        <v>574</v>
      </c>
      <c r="V1988" t="s">
        <v>110</v>
      </c>
      <c r="W1988" t="s">
        <v>575</v>
      </c>
      <c r="X1988" t="s">
        <v>176</v>
      </c>
      <c r="Y1988" t="s">
        <v>119</v>
      </c>
    </row>
    <row r="1989" spans="1:25">
      <c r="A1989">
        <v>10239</v>
      </c>
      <c r="B1989">
        <v>29</v>
      </c>
      <c r="C1989">
        <v>100</v>
      </c>
      <c r="D1989">
        <v>3</v>
      </c>
      <c r="E1989">
        <v>4479.63</v>
      </c>
      <c r="F1989" s="4">
        <v>38325</v>
      </c>
      <c r="G1989" t="s">
        <v>93</v>
      </c>
      <c r="H1989">
        <v>2</v>
      </c>
      <c r="I1989">
        <v>4</v>
      </c>
      <c r="J1989">
        <v>2004</v>
      </c>
      <c r="K1989" t="s">
        <v>265</v>
      </c>
      <c r="L1989">
        <v>140</v>
      </c>
      <c r="M1989" t="s">
        <v>833</v>
      </c>
      <c r="N1989" t="s">
        <v>506</v>
      </c>
      <c r="O1989" t="s">
        <v>507</v>
      </c>
      <c r="P1989" t="s">
        <v>508</v>
      </c>
      <c r="R1989" t="s">
        <v>509</v>
      </c>
      <c r="T1989">
        <v>90110</v>
      </c>
      <c r="U1989" t="s">
        <v>208</v>
      </c>
      <c r="V1989" t="s">
        <v>110</v>
      </c>
      <c r="W1989" t="s">
        <v>510</v>
      </c>
      <c r="X1989" t="s">
        <v>511</v>
      </c>
      <c r="Y1989" t="s">
        <v>119</v>
      </c>
    </row>
    <row r="1990" spans="1:25">
      <c r="A1990">
        <v>10253</v>
      </c>
      <c r="B1990">
        <v>39</v>
      </c>
      <c r="C1990">
        <v>100</v>
      </c>
      <c r="D1990">
        <v>8</v>
      </c>
      <c r="E1990">
        <v>5148</v>
      </c>
      <c r="F1990" s="4">
        <v>37992</v>
      </c>
      <c r="G1990" t="s">
        <v>444</v>
      </c>
      <c r="H1990">
        <v>2</v>
      </c>
      <c r="I1990">
        <v>6</v>
      </c>
      <c r="J1990">
        <v>2004</v>
      </c>
      <c r="K1990" t="s">
        <v>265</v>
      </c>
      <c r="L1990">
        <v>140</v>
      </c>
      <c r="M1990" t="s">
        <v>833</v>
      </c>
      <c r="N1990" t="s">
        <v>247</v>
      </c>
      <c r="O1990" t="s">
        <v>248</v>
      </c>
      <c r="P1990" t="s">
        <v>249</v>
      </c>
      <c r="R1990" t="s">
        <v>250</v>
      </c>
      <c r="T1990" t="s">
        <v>251</v>
      </c>
      <c r="U1990" t="s">
        <v>252</v>
      </c>
      <c r="V1990" t="s">
        <v>110</v>
      </c>
      <c r="W1990" t="s">
        <v>253</v>
      </c>
      <c r="X1990" t="s">
        <v>254</v>
      </c>
      <c r="Y1990" t="s">
        <v>119</v>
      </c>
    </row>
    <row r="1991" spans="1:25">
      <c r="A1991">
        <v>10266</v>
      </c>
      <c r="B1991">
        <v>24</v>
      </c>
      <c r="C1991">
        <v>100</v>
      </c>
      <c r="D1991">
        <v>9</v>
      </c>
      <c r="E1991">
        <v>2932.08</v>
      </c>
      <c r="F1991" s="4">
        <v>38145</v>
      </c>
      <c r="G1991" t="s">
        <v>93</v>
      </c>
      <c r="H1991">
        <v>3</v>
      </c>
      <c r="I1991">
        <v>7</v>
      </c>
      <c r="J1991">
        <v>2004</v>
      </c>
      <c r="K1991" t="s">
        <v>265</v>
      </c>
      <c r="L1991">
        <v>140</v>
      </c>
      <c r="M1991" t="s">
        <v>833</v>
      </c>
      <c r="N1991" t="s">
        <v>576</v>
      </c>
      <c r="O1991" t="s">
        <v>577</v>
      </c>
      <c r="P1991" t="s">
        <v>578</v>
      </c>
      <c r="R1991" t="s">
        <v>579</v>
      </c>
      <c r="T1991">
        <v>42100</v>
      </c>
      <c r="U1991" t="s">
        <v>352</v>
      </c>
      <c r="V1991" t="s">
        <v>110</v>
      </c>
      <c r="W1991" t="s">
        <v>580</v>
      </c>
      <c r="X1991" t="s">
        <v>581</v>
      </c>
      <c r="Y1991" t="s">
        <v>104</v>
      </c>
    </row>
    <row r="1992" spans="1:25">
      <c r="A1992">
        <v>10278</v>
      </c>
      <c r="B1992">
        <v>25</v>
      </c>
      <c r="C1992">
        <v>100</v>
      </c>
      <c r="D1992">
        <v>9</v>
      </c>
      <c r="E1992">
        <v>3159.75</v>
      </c>
      <c r="F1992" s="4">
        <v>38146</v>
      </c>
      <c r="G1992" t="s">
        <v>93</v>
      </c>
      <c r="H1992">
        <v>3</v>
      </c>
      <c r="I1992">
        <v>8</v>
      </c>
      <c r="J1992">
        <v>2004</v>
      </c>
      <c r="K1992" t="s">
        <v>265</v>
      </c>
      <c r="L1992">
        <v>140</v>
      </c>
      <c r="M1992" t="s">
        <v>833</v>
      </c>
      <c r="N1992" t="s">
        <v>684</v>
      </c>
      <c r="O1992">
        <v>7025551838</v>
      </c>
      <c r="P1992" t="s">
        <v>685</v>
      </c>
      <c r="R1992" t="s">
        <v>686</v>
      </c>
      <c r="S1992" t="s">
        <v>687</v>
      </c>
      <c r="T1992">
        <v>83030</v>
      </c>
      <c r="U1992" t="s">
        <v>100</v>
      </c>
      <c r="V1992" t="s">
        <v>101</v>
      </c>
      <c r="W1992" t="s">
        <v>188</v>
      </c>
      <c r="X1992" t="s">
        <v>517</v>
      </c>
      <c r="Y1992" t="s">
        <v>119</v>
      </c>
    </row>
    <row r="1993" spans="1:25">
      <c r="A1993">
        <v>10287</v>
      </c>
      <c r="B1993">
        <v>36</v>
      </c>
      <c r="C1993">
        <v>100</v>
      </c>
      <c r="D1993">
        <v>7</v>
      </c>
      <c r="E1993">
        <v>4297.32</v>
      </c>
      <c r="F1993" t="s">
        <v>586</v>
      </c>
      <c r="G1993" t="s">
        <v>93</v>
      </c>
      <c r="H1993">
        <v>3</v>
      </c>
      <c r="I1993">
        <v>8</v>
      </c>
      <c r="J1993">
        <v>2004</v>
      </c>
      <c r="K1993" t="s">
        <v>265</v>
      </c>
      <c r="L1993">
        <v>140</v>
      </c>
      <c r="M1993" t="s">
        <v>833</v>
      </c>
      <c r="N1993" t="s">
        <v>570</v>
      </c>
      <c r="O1993" t="s">
        <v>571</v>
      </c>
      <c r="P1993" t="s">
        <v>572</v>
      </c>
      <c r="R1993" t="s">
        <v>573</v>
      </c>
      <c r="T1993">
        <v>1203</v>
      </c>
      <c r="U1993" t="s">
        <v>574</v>
      </c>
      <c r="V1993" t="s">
        <v>110</v>
      </c>
      <c r="W1993" t="s">
        <v>575</v>
      </c>
      <c r="X1993" t="s">
        <v>176</v>
      </c>
      <c r="Y1993" t="s">
        <v>119</v>
      </c>
    </row>
    <row r="1994" spans="1:25">
      <c r="A1994">
        <v>10301</v>
      </c>
      <c r="B1994">
        <v>50</v>
      </c>
      <c r="C1994">
        <v>100</v>
      </c>
      <c r="D1994">
        <v>11</v>
      </c>
      <c r="E1994">
        <v>7723.5</v>
      </c>
      <c r="F1994" s="4">
        <v>37751</v>
      </c>
      <c r="G1994" t="s">
        <v>93</v>
      </c>
      <c r="H1994">
        <v>4</v>
      </c>
      <c r="I1994">
        <v>10</v>
      </c>
      <c r="J1994">
        <v>2003</v>
      </c>
      <c r="K1994" t="s">
        <v>265</v>
      </c>
      <c r="L1994">
        <v>140</v>
      </c>
      <c r="M1994" t="s">
        <v>833</v>
      </c>
      <c r="N1994" t="s">
        <v>688</v>
      </c>
      <c r="O1994" t="s">
        <v>689</v>
      </c>
      <c r="P1994" t="s">
        <v>690</v>
      </c>
      <c r="R1994" t="s">
        <v>691</v>
      </c>
      <c r="T1994" t="s">
        <v>692</v>
      </c>
      <c r="U1994" t="s">
        <v>149</v>
      </c>
      <c r="V1994" t="s">
        <v>110</v>
      </c>
      <c r="W1994" t="s">
        <v>693</v>
      </c>
      <c r="X1994" t="s">
        <v>694</v>
      </c>
      <c r="Y1994" t="s">
        <v>232</v>
      </c>
    </row>
    <row r="1995" spans="1:25">
      <c r="A1995">
        <v>10310</v>
      </c>
      <c r="B1995">
        <v>45</v>
      </c>
      <c r="C1995">
        <v>100</v>
      </c>
      <c r="D1995">
        <v>5</v>
      </c>
      <c r="E1995">
        <v>5497.65</v>
      </c>
      <c r="F1995" t="s">
        <v>592</v>
      </c>
      <c r="G1995" t="s">
        <v>93</v>
      </c>
      <c r="H1995">
        <v>4</v>
      </c>
      <c r="I1995">
        <v>10</v>
      </c>
      <c r="J1995">
        <v>2004</v>
      </c>
      <c r="K1995" t="s">
        <v>265</v>
      </c>
      <c r="L1995">
        <v>140</v>
      </c>
      <c r="M1995" t="s">
        <v>833</v>
      </c>
      <c r="N1995" t="s">
        <v>562</v>
      </c>
      <c r="O1995" t="s">
        <v>563</v>
      </c>
      <c r="P1995" t="s">
        <v>564</v>
      </c>
      <c r="R1995" t="s">
        <v>565</v>
      </c>
      <c r="T1995">
        <v>50739</v>
      </c>
      <c r="U1995" t="s">
        <v>566</v>
      </c>
      <c r="V1995" t="s">
        <v>110</v>
      </c>
      <c r="W1995" t="s">
        <v>567</v>
      </c>
      <c r="X1995" t="s">
        <v>568</v>
      </c>
      <c r="Y1995" t="s">
        <v>119</v>
      </c>
    </row>
    <row r="1996" spans="1:25">
      <c r="A1996">
        <v>10321</v>
      </c>
      <c r="B1996">
        <v>26</v>
      </c>
      <c r="C1996">
        <v>100</v>
      </c>
      <c r="D1996">
        <v>13</v>
      </c>
      <c r="E1996">
        <v>4052.88</v>
      </c>
      <c r="F1996" s="4">
        <v>38088</v>
      </c>
      <c r="G1996" t="s">
        <v>93</v>
      </c>
      <c r="H1996">
        <v>4</v>
      </c>
      <c r="I1996">
        <v>11</v>
      </c>
      <c r="J1996">
        <v>2004</v>
      </c>
      <c r="K1996" t="s">
        <v>265</v>
      </c>
      <c r="L1996">
        <v>140</v>
      </c>
      <c r="M1996" t="s">
        <v>833</v>
      </c>
      <c r="N1996" t="s">
        <v>242</v>
      </c>
      <c r="O1996">
        <v>5085552555</v>
      </c>
      <c r="P1996" t="s">
        <v>243</v>
      </c>
      <c r="R1996" t="s">
        <v>244</v>
      </c>
      <c r="S1996" t="s">
        <v>200</v>
      </c>
      <c r="T1996">
        <v>50553</v>
      </c>
      <c r="U1996" t="s">
        <v>100</v>
      </c>
      <c r="V1996" t="s">
        <v>101</v>
      </c>
      <c r="W1996" t="s">
        <v>245</v>
      </c>
      <c r="X1996" t="s">
        <v>246</v>
      </c>
      <c r="Y1996" t="s">
        <v>119</v>
      </c>
    </row>
    <row r="1997" spans="1:25">
      <c r="A1997">
        <v>10331</v>
      </c>
      <c r="B1997">
        <v>21</v>
      </c>
      <c r="C1997">
        <v>100</v>
      </c>
      <c r="D1997">
        <v>1</v>
      </c>
      <c r="E1997">
        <v>3135.93</v>
      </c>
      <c r="F1997" t="s">
        <v>695</v>
      </c>
      <c r="G1997" t="s">
        <v>93</v>
      </c>
      <c r="H1997">
        <v>4</v>
      </c>
      <c r="I1997">
        <v>11</v>
      </c>
      <c r="J1997">
        <v>2004</v>
      </c>
      <c r="K1997" t="s">
        <v>265</v>
      </c>
      <c r="L1997">
        <v>140</v>
      </c>
      <c r="M1997" t="s">
        <v>833</v>
      </c>
      <c r="N1997" t="s">
        <v>410</v>
      </c>
      <c r="O1997">
        <v>2155559857</v>
      </c>
      <c r="P1997" t="s">
        <v>411</v>
      </c>
      <c r="R1997" t="s">
        <v>306</v>
      </c>
      <c r="S1997" t="s">
        <v>221</v>
      </c>
      <c r="T1997">
        <v>71270</v>
      </c>
      <c r="U1997" t="s">
        <v>100</v>
      </c>
      <c r="V1997" t="s">
        <v>101</v>
      </c>
      <c r="W1997" t="s">
        <v>201</v>
      </c>
      <c r="X1997" t="s">
        <v>412</v>
      </c>
      <c r="Y1997" t="s">
        <v>119</v>
      </c>
    </row>
    <row r="1998" spans="1:25">
      <c r="A1998">
        <v>10342</v>
      </c>
      <c r="B1998">
        <v>42</v>
      </c>
      <c r="C1998">
        <v>100</v>
      </c>
      <c r="D1998">
        <v>6</v>
      </c>
      <c r="E1998">
        <v>5013.54</v>
      </c>
      <c r="F1998" t="s">
        <v>224</v>
      </c>
      <c r="G1998" t="s">
        <v>93</v>
      </c>
      <c r="H1998">
        <v>4</v>
      </c>
      <c r="I1998">
        <v>11</v>
      </c>
      <c r="J1998">
        <v>2004</v>
      </c>
      <c r="K1998" t="s">
        <v>265</v>
      </c>
      <c r="L1998">
        <v>140</v>
      </c>
      <c r="M1998" t="s">
        <v>833</v>
      </c>
      <c r="N1998" t="s">
        <v>162</v>
      </c>
      <c r="O1998" t="s">
        <v>163</v>
      </c>
      <c r="P1998" t="s">
        <v>164</v>
      </c>
      <c r="Q1998" t="s">
        <v>165</v>
      </c>
      <c r="R1998" t="s">
        <v>166</v>
      </c>
      <c r="S1998" t="s">
        <v>167</v>
      </c>
      <c r="T1998">
        <v>3004</v>
      </c>
      <c r="U1998" t="s">
        <v>168</v>
      </c>
      <c r="V1998" t="s">
        <v>169</v>
      </c>
      <c r="W1998" t="s">
        <v>170</v>
      </c>
      <c r="X1998" t="s">
        <v>171</v>
      </c>
      <c r="Y1998" t="s">
        <v>119</v>
      </c>
    </row>
    <row r="1999" spans="1:25">
      <c r="A1999">
        <v>10355</v>
      </c>
      <c r="B1999">
        <v>32</v>
      </c>
      <c r="C1999">
        <v>100</v>
      </c>
      <c r="D1999">
        <v>8</v>
      </c>
      <c r="E1999">
        <v>5302.72</v>
      </c>
      <c r="F1999" s="4">
        <v>38180</v>
      </c>
      <c r="G1999" t="s">
        <v>93</v>
      </c>
      <c r="H1999">
        <v>4</v>
      </c>
      <c r="I1999">
        <v>12</v>
      </c>
      <c r="J1999">
        <v>2004</v>
      </c>
      <c r="K1999" t="s">
        <v>265</v>
      </c>
      <c r="L1999">
        <v>140</v>
      </c>
      <c r="M1999" t="s">
        <v>833</v>
      </c>
      <c r="N1999" t="s">
        <v>257</v>
      </c>
      <c r="O1999" t="s">
        <v>258</v>
      </c>
      <c r="P1999" t="s">
        <v>259</v>
      </c>
      <c r="R1999" t="s">
        <v>260</v>
      </c>
      <c r="T1999">
        <v>28034</v>
      </c>
      <c r="U1999" t="s">
        <v>261</v>
      </c>
      <c r="V1999" t="s">
        <v>110</v>
      </c>
      <c r="W1999" t="s">
        <v>262</v>
      </c>
      <c r="X1999" t="s">
        <v>263</v>
      </c>
      <c r="Y1999" t="s">
        <v>119</v>
      </c>
    </row>
    <row r="2000" spans="1:25">
      <c r="A2000">
        <v>10363</v>
      </c>
      <c r="B2000">
        <v>31</v>
      </c>
      <c r="C2000">
        <v>94.58</v>
      </c>
      <c r="D2000">
        <v>1</v>
      </c>
      <c r="E2000">
        <v>2931.98</v>
      </c>
      <c r="F2000" s="4">
        <v>38504</v>
      </c>
      <c r="G2000" t="s">
        <v>93</v>
      </c>
      <c r="H2000">
        <v>1</v>
      </c>
      <c r="I2000">
        <v>1</v>
      </c>
      <c r="J2000">
        <v>2005</v>
      </c>
      <c r="K2000" t="s">
        <v>265</v>
      </c>
      <c r="L2000">
        <v>140</v>
      </c>
      <c r="M2000" t="s">
        <v>833</v>
      </c>
      <c r="N2000" t="s">
        <v>593</v>
      </c>
      <c r="O2000" t="s">
        <v>594</v>
      </c>
      <c r="P2000" t="s">
        <v>595</v>
      </c>
      <c r="R2000" t="s">
        <v>596</v>
      </c>
      <c r="T2000" t="s">
        <v>597</v>
      </c>
      <c r="U2000" t="s">
        <v>208</v>
      </c>
      <c r="V2000" t="s">
        <v>110</v>
      </c>
      <c r="W2000" t="s">
        <v>598</v>
      </c>
      <c r="X2000" t="s">
        <v>599</v>
      </c>
      <c r="Y2000" t="s">
        <v>104</v>
      </c>
    </row>
    <row r="2001" spans="1:25">
      <c r="A2001">
        <v>10378</v>
      </c>
      <c r="B2001">
        <v>33</v>
      </c>
      <c r="C2001">
        <v>53.27</v>
      </c>
      <c r="D2001">
        <v>3</v>
      </c>
      <c r="E2001">
        <v>1757.91</v>
      </c>
      <c r="F2001" s="4">
        <v>38627</v>
      </c>
      <c r="G2001" t="s">
        <v>93</v>
      </c>
      <c r="H2001">
        <v>1</v>
      </c>
      <c r="I2001">
        <v>2</v>
      </c>
      <c r="J2001">
        <v>2005</v>
      </c>
      <c r="K2001" t="s">
        <v>265</v>
      </c>
      <c r="L2001">
        <v>140</v>
      </c>
      <c r="M2001" t="s">
        <v>833</v>
      </c>
      <c r="N2001" t="s">
        <v>257</v>
      </c>
      <c r="O2001" t="s">
        <v>258</v>
      </c>
      <c r="P2001" t="s">
        <v>259</v>
      </c>
      <c r="R2001" t="s">
        <v>260</v>
      </c>
      <c r="T2001">
        <v>28034</v>
      </c>
      <c r="U2001" t="s">
        <v>261</v>
      </c>
      <c r="V2001" t="s">
        <v>110</v>
      </c>
      <c r="W2001" t="s">
        <v>262</v>
      </c>
      <c r="X2001" t="s">
        <v>263</v>
      </c>
      <c r="Y2001" t="s">
        <v>104</v>
      </c>
    </row>
    <row r="2002" spans="1:25">
      <c r="A2002">
        <v>10390</v>
      </c>
      <c r="B2002">
        <v>45</v>
      </c>
      <c r="C2002">
        <v>100</v>
      </c>
      <c r="D2002">
        <v>8</v>
      </c>
      <c r="E2002">
        <v>6763.05</v>
      </c>
      <c r="F2002" s="4">
        <v>38445</v>
      </c>
      <c r="G2002" t="s">
        <v>93</v>
      </c>
      <c r="H2002">
        <v>1</v>
      </c>
      <c r="I2002">
        <v>3</v>
      </c>
      <c r="J2002">
        <v>2005</v>
      </c>
      <c r="K2002" t="s">
        <v>265</v>
      </c>
      <c r="L2002">
        <v>140</v>
      </c>
      <c r="M2002" t="s">
        <v>833</v>
      </c>
      <c r="N2002" t="s">
        <v>367</v>
      </c>
      <c r="O2002">
        <v>4155551450</v>
      </c>
      <c r="P2002" t="s">
        <v>368</v>
      </c>
      <c r="R2002" t="s">
        <v>369</v>
      </c>
      <c r="S2002" t="s">
        <v>124</v>
      </c>
      <c r="T2002">
        <v>97562</v>
      </c>
      <c r="U2002" t="s">
        <v>100</v>
      </c>
      <c r="V2002" t="s">
        <v>101</v>
      </c>
      <c r="W2002" t="s">
        <v>370</v>
      </c>
      <c r="X2002" t="s">
        <v>371</v>
      </c>
      <c r="Y2002" t="s">
        <v>119</v>
      </c>
    </row>
    <row r="2003" spans="1:25">
      <c r="A2003">
        <v>10405</v>
      </c>
      <c r="B2003">
        <v>76</v>
      </c>
      <c r="C2003">
        <v>100</v>
      </c>
      <c r="D2003">
        <v>3</v>
      </c>
      <c r="E2003">
        <v>11739.7</v>
      </c>
      <c r="F2003" t="s">
        <v>673</v>
      </c>
      <c r="G2003" t="s">
        <v>93</v>
      </c>
      <c r="H2003">
        <v>2</v>
      </c>
      <c r="I2003">
        <v>4</v>
      </c>
      <c r="J2003">
        <v>2005</v>
      </c>
      <c r="K2003" t="s">
        <v>265</v>
      </c>
      <c r="L2003">
        <v>140</v>
      </c>
      <c r="M2003" t="s">
        <v>833</v>
      </c>
      <c r="N2003" t="s">
        <v>674</v>
      </c>
      <c r="O2003" t="s">
        <v>675</v>
      </c>
      <c r="P2003" t="s">
        <v>676</v>
      </c>
      <c r="R2003" t="s">
        <v>677</v>
      </c>
      <c r="T2003">
        <v>67000</v>
      </c>
      <c r="U2003" t="s">
        <v>109</v>
      </c>
      <c r="V2003" t="s">
        <v>110</v>
      </c>
      <c r="W2003" t="s">
        <v>678</v>
      </c>
      <c r="X2003" t="s">
        <v>679</v>
      </c>
      <c r="Y2003" t="s">
        <v>232</v>
      </c>
    </row>
    <row r="2004" spans="1:25">
      <c r="A2004">
        <v>10419</v>
      </c>
      <c r="B2004">
        <v>70</v>
      </c>
      <c r="C2004">
        <v>100</v>
      </c>
      <c r="D2004">
        <v>8</v>
      </c>
      <c r="E2004">
        <v>9240</v>
      </c>
      <c r="F2004" t="s">
        <v>600</v>
      </c>
      <c r="G2004" t="s">
        <v>93</v>
      </c>
      <c r="H2004">
        <v>2</v>
      </c>
      <c r="I2004">
        <v>5</v>
      </c>
      <c r="J2004">
        <v>2005</v>
      </c>
      <c r="K2004" t="s">
        <v>265</v>
      </c>
      <c r="L2004">
        <v>140</v>
      </c>
      <c r="M2004" t="s">
        <v>833</v>
      </c>
      <c r="N2004" t="s">
        <v>225</v>
      </c>
      <c r="O2004" t="s">
        <v>226</v>
      </c>
      <c r="P2004" t="s">
        <v>227</v>
      </c>
      <c r="R2004" t="s">
        <v>228</v>
      </c>
      <c r="T2004">
        <v>5020</v>
      </c>
      <c r="U2004" t="s">
        <v>229</v>
      </c>
      <c r="V2004" t="s">
        <v>110</v>
      </c>
      <c r="W2004" t="s">
        <v>230</v>
      </c>
      <c r="X2004" t="s">
        <v>231</v>
      </c>
      <c r="Y2004" t="s">
        <v>232</v>
      </c>
    </row>
    <row r="2005" spans="1:25">
      <c r="A2005">
        <v>10106</v>
      </c>
      <c r="B2005">
        <v>50</v>
      </c>
      <c r="C2005">
        <v>64.83</v>
      </c>
      <c r="D2005">
        <v>11</v>
      </c>
      <c r="E2005">
        <v>3241.5</v>
      </c>
      <c r="F2005" t="s">
        <v>725</v>
      </c>
      <c r="G2005" t="s">
        <v>93</v>
      </c>
      <c r="H2005">
        <v>1</v>
      </c>
      <c r="I2005">
        <v>2</v>
      </c>
      <c r="J2005">
        <v>2003</v>
      </c>
      <c r="K2005" t="s">
        <v>726</v>
      </c>
      <c r="L2005">
        <v>68</v>
      </c>
      <c r="M2005" t="s">
        <v>834</v>
      </c>
      <c r="N2005" t="s">
        <v>703</v>
      </c>
      <c r="O2005" t="s">
        <v>704</v>
      </c>
      <c r="P2005" t="s">
        <v>705</v>
      </c>
      <c r="R2005" t="s">
        <v>706</v>
      </c>
      <c r="T2005">
        <v>24100</v>
      </c>
      <c r="U2005" t="s">
        <v>352</v>
      </c>
      <c r="V2005" t="s">
        <v>110</v>
      </c>
      <c r="W2005" t="s">
        <v>707</v>
      </c>
      <c r="X2005" t="s">
        <v>708</v>
      </c>
      <c r="Y2005" t="s">
        <v>119</v>
      </c>
    </row>
    <row r="2006" spans="1:25">
      <c r="A2006">
        <v>10119</v>
      </c>
      <c r="B2006">
        <v>28</v>
      </c>
      <c r="C2006">
        <v>70.290000000000006</v>
      </c>
      <c r="D2006">
        <v>2</v>
      </c>
      <c r="E2006">
        <v>1968.12</v>
      </c>
      <c r="F2006" t="s">
        <v>432</v>
      </c>
      <c r="G2006" t="s">
        <v>93</v>
      </c>
      <c r="H2006">
        <v>2</v>
      </c>
      <c r="I2006">
        <v>4</v>
      </c>
      <c r="J2006">
        <v>2003</v>
      </c>
      <c r="K2006" t="s">
        <v>726</v>
      </c>
      <c r="L2006">
        <v>68</v>
      </c>
      <c r="M2006" t="s">
        <v>834</v>
      </c>
      <c r="N2006" t="s">
        <v>225</v>
      </c>
      <c r="O2006" t="s">
        <v>226</v>
      </c>
      <c r="P2006" t="s">
        <v>227</v>
      </c>
      <c r="R2006" t="s">
        <v>228</v>
      </c>
      <c r="T2006">
        <v>5020</v>
      </c>
      <c r="U2006" t="s">
        <v>229</v>
      </c>
      <c r="V2006" t="s">
        <v>110</v>
      </c>
      <c r="W2006" t="s">
        <v>230</v>
      </c>
      <c r="X2006" t="s">
        <v>231</v>
      </c>
      <c r="Y2006" t="s">
        <v>104</v>
      </c>
    </row>
    <row r="2007" spans="1:25">
      <c r="A2007">
        <v>10131</v>
      </c>
      <c r="B2007">
        <v>50</v>
      </c>
      <c r="C2007">
        <v>81.89</v>
      </c>
      <c r="D2007">
        <v>3</v>
      </c>
      <c r="E2007">
        <v>4094.5</v>
      </c>
      <c r="F2007" t="s">
        <v>728</v>
      </c>
      <c r="G2007" t="s">
        <v>93</v>
      </c>
      <c r="H2007">
        <v>2</v>
      </c>
      <c r="I2007">
        <v>6</v>
      </c>
      <c r="J2007">
        <v>2003</v>
      </c>
      <c r="K2007" t="s">
        <v>726</v>
      </c>
      <c r="L2007">
        <v>68</v>
      </c>
      <c r="M2007" t="s">
        <v>834</v>
      </c>
      <c r="N2007" t="s">
        <v>729</v>
      </c>
      <c r="O2007">
        <v>2035554407</v>
      </c>
      <c r="P2007" t="s">
        <v>730</v>
      </c>
      <c r="R2007" t="s">
        <v>656</v>
      </c>
      <c r="S2007" t="s">
        <v>187</v>
      </c>
      <c r="T2007">
        <v>97561</v>
      </c>
      <c r="U2007" t="s">
        <v>100</v>
      </c>
      <c r="V2007" t="s">
        <v>101</v>
      </c>
      <c r="W2007" t="s">
        <v>731</v>
      </c>
      <c r="X2007" t="s">
        <v>732</v>
      </c>
      <c r="Y2007" t="s">
        <v>119</v>
      </c>
    </row>
    <row r="2008" spans="1:25">
      <c r="A2008">
        <v>10143</v>
      </c>
      <c r="B2008">
        <v>28</v>
      </c>
      <c r="C2008">
        <v>66.19</v>
      </c>
      <c r="D2008">
        <v>6</v>
      </c>
      <c r="E2008">
        <v>1853.32</v>
      </c>
      <c r="F2008" s="4">
        <v>37902</v>
      </c>
      <c r="G2008" t="s">
        <v>93</v>
      </c>
      <c r="H2008">
        <v>3</v>
      </c>
      <c r="I2008">
        <v>8</v>
      </c>
      <c r="J2008">
        <v>2003</v>
      </c>
      <c r="K2008" t="s">
        <v>726</v>
      </c>
      <c r="L2008">
        <v>68</v>
      </c>
      <c r="M2008" t="s">
        <v>834</v>
      </c>
      <c r="N2008" t="s">
        <v>439</v>
      </c>
      <c r="O2008">
        <v>5085559555</v>
      </c>
      <c r="P2008" t="s">
        <v>440</v>
      </c>
      <c r="R2008" t="s">
        <v>244</v>
      </c>
      <c r="S2008" t="s">
        <v>200</v>
      </c>
      <c r="T2008">
        <v>50553</v>
      </c>
      <c r="U2008" t="s">
        <v>100</v>
      </c>
      <c r="V2008" t="s">
        <v>101</v>
      </c>
      <c r="W2008" t="s">
        <v>441</v>
      </c>
      <c r="X2008" t="s">
        <v>442</v>
      </c>
      <c r="Y2008" t="s">
        <v>104</v>
      </c>
    </row>
    <row r="2009" spans="1:25">
      <c r="A2009">
        <v>10155</v>
      </c>
      <c r="B2009">
        <v>44</v>
      </c>
      <c r="C2009">
        <v>77.11</v>
      </c>
      <c r="D2009">
        <v>4</v>
      </c>
      <c r="E2009">
        <v>3392.84</v>
      </c>
      <c r="F2009" s="4">
        <v>37782</v>
      </c>
      <c r="G2009" t="s">
        <v>93</v>
      </c>
      <c r="H2009">
        <v>4</v>
      </c>
      <c r="I2009">
        <v>10</v>
      </c>
      <c r="J2009">
        <v>2003</v>
      </c>
      <c r="K2009" t="s">
        <v>726</v>
      </c>
      <c r="L2009">
        <v>68</v>
      </c>
      <c r="M2009" t="s">
        <v>834</v>
      </c>
      <c r="N2009" t="s">
        <v>204</v>
      </c>
      <c r="O2009" t="s">
        <v>205</v>
      </c>
      <c r="P2009" t="s">
        <v>206</v>
      </c>
      <c r="R2009" t="s">
        <v>207</v>
      </c>
      <c r="T2009">
        <v>21240</v>
      </c>
      <c r="U2009" t="s">
        <v>208</v>
      </c>
      <c r="V2009" t="s">
        <v>110</v>
      </c>
      <c r="W2009" t="s">
        <v>209</v>
      </c>
      <c r="X2009" t="s">
        <v>210</v>
      </c>
      <c r="Y2009" t="s">
        <v>119</v>
      </c>
    </row>
    <row r="2010" spans="1:25">
      <c r="A2010">
        <v>10168</v>
      </c>
      <c r="B2010">
        <v>27</v>
      </c>
      <c r="C2010">
        <v>73.02</v>
      </c>
      <c r="D2010">
        <v>18</v>
      </c>
      <c r="E2010">
        <v>1971.54</v>
      </c>
      <c r="F2010" t="s">
        <v>131</v>
      </c>
      <c r="G2010" t="s">
        <v>93</v>
      </c>
      <c r="H2010">
        <v>4</v>
      </c>
      <c r="I2010">
        <v>10</v>
      </c>
      <c r="J2010">
        <v>2003</v>
      </c>
      <c r="K2010" t="s">
        <v>726</v>
      </c>
      <c r="L2010">
        <v>68</v>
      </c>
      <c r="M2010" t="s">
        <v>834</v>
      </c>
      <c r="N2010" t="s">
        <v>132</v>
      </c>
      <c r="O2010">
        <v>6505556809</v>
      </c>
      <c r="P2010" t="s">
        <v>133</v>
      </c>
      <c r="R2010" t="s">
        <v>134</v>
      </c>
      <c r="S2010" t="s">
        <v>124</v>
      </c>
      <c r="T2010">
        <v>94217</v>
      </c>
      <c r="U2010" t="s">
        <v>100</v>
      </c>
      <c r="V2010" t="s">
        <v>101</v>
      </c>
      <c r="W2010" t="s">
        <v>135</v>
      </c>
      <c r="X2010" t="s">
        <v>136</v>
      </c>
      <c r="Y2010" t="s">
        <v>104</v>
      </c>
    </row>
    <row r="2011" spans="1:25">
      <c r="A2011">
        <v>10178</v>
      </c>
      <c r="B2011">
        <v>30</v>
      </c>
      <c r="C2011">
        <v>72.33</v>
      </c>
      <c r="D2011">
        <v>3</v>
      </c>
      <c r="E2011">
        <v>2169.9</v>
      </c>
      <c r="F2011" s="4">
        <v>37844</v>
      </c>
      <c r="G2011" t="s">
        <v>93</v>
      </c>
      <c r="H2011">
        <v>4</v>
      </c>
      <c r="I2011">
        <v>11</v>
      </c>
      <c r="J2011">
        <v>2003</v>
      </c>
      <c r="K2011" t="s">
        <v>726</v>
      </c>
      <c r="L2011">
        <v>68</v>
      </c>
      <c r="M2011" t="s">
        <v>834</v>
      </c>
      <c r="N2011" t="s">
        <v>445</v>
      </c>
      <c r="O2011" t="s">
        <v>446</v>
      </c>
      <c r="P2011" t="s">
        <v>447</v>
      </c>
      <c r="R2011" t="s">
        <v>448</v>
      </c>
      <c r="T2011">
        <v>31000</v>
      </c>
      <c r="U2011" t="s">
        <v>109</v>
      </c>
      <c r="V2011" t="s">
        <v>110</v>
      </c>
      <c r="W2011" t="s">
        <v>449</v>
      </c>
      <c r="X2011" t="s">
        <v>450</v>
      </c>
      <c r="Y2011" t="s">
        <v>104</v>
      </c>
    </row>
    <row r="2012" spans="1:25">
      <c r="A2012">
        <v>10198</v>
      </c>
      <c r="B2012">
        <v>43</v>
      </c>
      <c r="C2012">
        <v>66.19</v>
      </c>
      <c r="D2012">
        <v>3</v>
      </c>
      <c r="E2012">
        <v>2846.17</v>
      </c>
      <c r="F2012" t="s">
        <v>733</v>
      </c>
      <c r="G2012" t="s">
        <v>93</v>
      </c>
      <c r="H2012">
        <v>4</v>
      </c>
      <c r="I2012">
        <v>11</v>
      </c>
      <c r="J2012">
        <v>2003</v>
      </c>
      <c r="K2012" t="s">
        <v>726</v>
      </c>
      <c r="L2012">
        <v>68</v>
      </c>
      <c r="M2012" t="s">
        <v>834</v>
      </c>
      <c r="N2012" t="s">
        <v>547</v>
      </c>
      <c r="O2012" t="s">
        <v>548</v>
      </c>
      <c r="P2012" t="s">
        <v>549</v>
      </c>
      <c r="R2012" t="s">
        <v>550</v>
      </c>
      <c r="T2012" t="s">
        <v>551</v>
      </c>
      <c r="U2012" t="s">
        <v>552</v>
      </c>
      <c r="V2012" t="s">
        <v>288</v>
      </c>
      <c r="W2012" t="s">
        <v>553</v>
      </c>
      <c r="X2012" t="s">
        <v>554</v>
      </c>
      <c r="Y2012" t="s">
        <v>104</v>
      </c>
    </row>
    <row r="2013" spans="1:25">
      <c r="A2013">
        <v>10210</v>
      </c>
      <c r="B2013">
        <v>29</v>
      </c>
      <c r="C2013">
        <v>69.599999999999994</v>
      </c>
      <c r="D2013">
        <v>16</v>
      </c>
      <c r="E2013">
        <v>2018.4</v>
      </c>
      <c r="F2013" s="4">
        <v>38322</v>
      </c>
      <c r="G2013" t="s">
        <v>93</v>
      </c>
      <c r="H2013">
        <v>1</v>
      </c>
      <c r="I2013">
        <v>1</v>
      </c>
      <c r="J2013">
        <v>2004</v>
      </c>
      <c r="K2013" t="s">
        <v>726</v>
      </c>
      <c r="L2013">
        <v>68</v>
      </c>
      <c r="M2013" t="s">
        <v>834</v>
      </c>
      <c r="N2013" t="s">
        <v>403</v>
      </c>
      <c r="O2013" t="s">
        <v>404</v>
      </c>
      <c r="P2013" t="s">
        <v>405</v>
      </c>
      <c r="R2013" t="s">
        <v>406</v>
      </c>
      <c r="S2013" t="s">
        <v>406</v>
      </c>
      <c r="T2013" t="s">
        <v>407</v>
      </c>
      <c r="U2013" t="s">
        <v>288</v>
      </c>
      <c r="V2013" t="s">
        <v>288</v>
      </c>
      <c r="W2013" t="s">
        <v>408</v>
      </c>
      <c r="X2013" t="s">
        <v>409</v>
      </c>
      <c r="Y2013" t="s">
        <v>104</v>
      </c>
    </row>
    <row r="2014" spans="1:25">
      <c r="A2014">
        <v>10222</v>
      </c>
      <c r="B2014">
        <v>48</v>
      </c>
      <c r="C2014">
        <v>56.64</v>
      </c>
      <c r="D2014">
        <v>3</v>
      </c>
      <c r="E2014">
        <v>2718.72</v>
      </c>
      <c r="F2014" t="s">
        <v>469</v>
      </c>
      <c r="G2014" t="s">
        <v>93</v>
      </c>
      <c r="H2014">
        <v>1</v>
      </c>
      <c r="I2014">
        <v>2</v>
      </c>
      <c r="J2014">
        <v>2004</v>
      </c>
      <c r="K2014" t="s">
        <v>726</v>
      </c>
      <c r="L2014">
        <v>68</v>
      </c>
      <c r="M2014" t="s">
        <v>834</v>
      </c>
      <c r="N2014" t="s">
        <v>470</v>
      </c>
      <c r="O2014">
        <v>7605558146</v>
      </c>
      <c r="P2014" t="s">
        <v>471</v>
      </c>
      <c r="R2014" t="s">
        <v>472</v>
      </c>
      <c r="S2014" t="s">
        <v>124</v>
      </c>
      <c r="T2014">
        <v>91217</v>
      </c>
      <c r="U2014" t="s">
        <v>100</v>
      </c>
      <c r="V2014" t="s">
        <v>101</v>
      </c>
      <c r="W2014" t="s">
        <v>6</v>
      </c>
      <c r="X2014" t="s">
        <v>371</v>
      </c>
      <c r="Y2014" t="s">
        <v>104</v>
      </c>
    </row>
    <row r="2015" spans="1:25">
      <c r="A2015">
        <v>10235</v>
      </c>
      <c r="B2015">
        <v>33</v>
      </c>
      <c r="C2015">
        <v>60.05</v>
      </c>
      <c r="D2015">
        <v>12</v>
      </c>
      <c r="E2015">
        <v>1981.65</v>
      </c>
      <c r="F2015" s="4">
        <v>38021</v>
      </c>
      <c r="G2015" t="s">
        <v>93</v>
      </c>
      <c r="H2015">
        <v>2</v>
      </c>
      <c r="I2015">
        <v>4</v>
      </c>
      <c r="J2015">
        <v>2004</v>
      </c>
      <c r="K2015" t="s">
        <v>726</v>
      </c>
      <c r="L2015">
        <v>68</v>
      </c>
      <c r="M2015" t="s">
        <v>834</v>
      </c>
      <c r="N2015" t="s">
        <v>484</v>
      </c>
      <c r="O2015" t="s">
        <v>485</v>
      </c>
      <c r="P2015" t="s">
        <v>486</v>
      </c>
      <c r="R2015" t="s">
        <v>487</v>
      </c>
      <c r="S2015" t="s">
        <v>320</v>
      </c>
      <c r="T2015" t="s">
        <v>488</v>
      </c>
      <c r="U2015" t="s">
        <v>322</v>
      </c>
      <c r="V2015" t="s">
        <v>101</v>
      </c>
      <c r="W2015" t="s">
        <v>489</v>
      </c>
      <c r="X2015" t="s">
        <v>254</v>
      </c>
      <c r="Y2015" t="s">
        <v>104</v>
      </c>
    </row>
    <row r="2016" spans="1:25">
      <c r="A2016">
        <v>10250</v>
      </c>
      <c r="B2016">
        <v>40</v>
      </c>
      <c r="C2016">
        <v>75.06</v>
      </c>
      <c r="D2016">
        <v>13</v>
      </c>
      <c r="E2016">
        <v>3002.4</v>
      </c>
      <c r="F2016" s="4">
        <v>38296</v>
      </c>
      <c r="G2016" t="s">
        <v>93</v>
      </c>
      <c r="H2016">
        <v>2</v>
      </c>
      <c r="I2016">
        <v>5</v>
      </c>
      <c r="J2016">
        <v>2004</v>
      </c>
      <c r="K2016" t="s">
        <v>726</v>
      </c>
      <c r="L2016">
        <v>68</v>
      </c>
      <c r="M2016" t="s">
        <v>834</v>
      </c>
      <c r="N2016" t="s">
        <v>514</v>
      </c>
      <c r="O2016">
        <v>4085553659</v>
      </c>
      <c r="P2016" t="s">
        <v>515</v>
      </c>
      <c r="R2016" t="s">
        <v>516</v>
      </c>
      <c r="S2016" t="s">
        <v>124</v>
      </c>
      <c r="T2016">
        <v>94217</v>
      </c>
      <c r="U2016" t="s">
        <v>100</v>
      </c>
      <c r="V2016" t="s">
        <v>101</v>
      </c>
      <c r="W2016" t="s">
        <v>175</v>
      </c>
      <c r="X2016" t="s">
        <v>517</v>
      </c>
      <c r="Y2016" t="s">
        <v>119</v>
      </c>
    </row>
    <row r="2017" spans="1:25">
      <c r="A2017">
        <v>10262</v>
      </c>
      <c r="B2017">
        <v>48</v>
      </c>
      <c r="C2017">
        <v>61.42</v>
      </c>
      <c r="D2017">
        <v>8</v>
      </c>
      <c r="E2017">
        <v>2948.16</v>
      </c>
      <c r="F2017" t="s">
        <v>734</v>
      </c>
      <c r="G2017" t="s">
        <v>444</v>
      </c>
      <c r="H2017">
        <v>2</v>
      </c>
      <c r="I2017">
        <v>6</v>
      </c>
      <c r="J2017">
        <v>2004</v>
      </c>
      <c r="K2017" t="s">
        <v>726</v>
      </c>
      <c r="L2017">
        <v>68</v>
      </c>
      <c r="M2017" t="s">
        <v>834</v>
      </c>
      <c r="N2017" t="s">
        <v>257</v>
      </c>
      <c r="O2017" t="s">
        <v>258</v>
      </c>
      <c r="P2017" t="s">
        <v>259</v>
      </c>
      <c r="R2017" t="s">
        <v>260</v>
      </c>
      <c r="T2017">
        <v>28034</v>
      </c>
      <c r="U2017" t="s">
        <v>261</v>
      </c>
      <c r="V2017" t="s">
        <v>110</v>
      </c>
      <c r="W2017" t="s">
        <v>262</v>
      </c>
      <c r="X2017" t="s">
        <v>263</v>
      </c>
      <c r="Y2017" t="s">
        <v>104</v>
      </c>
    </row>
    <row r="2018" spans="1:25">
      <c r="A2018">
        <v>10275</v>
      </c>
      <c r="B2018">
        <v>41</v>
      </c>
      <c r="C2018">
        <v>81.89</v>
      </c>
      <c r="D2018">
        <v>18</v>
      </c>
      <c r="E2018">
        <v>3357.49</v>
      </c>
      <c r="F2018" t="s">
        <v>189</v>
      </c>
      <c r="G2018" t="s">
        <v>93</v>
      </c>
      <c r="H2018">
        <v>3</v>
      </c>
      <c r="I2018">
        <v>7</v>
      </c>
      <c r="J2018">
        <v>2004</v>
      </c>
      <c r="K2018" t="s">
        <v>726</v>
      </c>
      <c r="L2018">
        <v>68</v>
      </c>
      <c r="M2018" t="s">
        <v>834</v>
      </c>
      <c r="N2018" t="s">
        <v>190</v>
      </c>
      <c r="O2018" t="s">
        <v>191</v>
      </c>
      <c r="P2018" t="s">
        <v>192</v>
      </c>
      <c r="R2018" t="s">
        <v>193</v>
      </c>
      <c r="T2018">
        <v>44000</v>
      </c>
      <c r="U2018" t="s">
        <v>109</v>
      </c>
      <c r="V2018" t="s">
        <v>110</v>
      </c>
      <c r="W2018" t="s">
        <v>194</v>
      </c>
      <c r="X2018" t="s">
        <v>195</v>
      </c>
      <c r="Y2018" t="s">
        <v>119</v>
      </c>
    </row>
    <row r="2019" spans="1:25">
      <c r="A2019">
        <v>10284</v>
      </c>
      <c r="B2019">
        <v>21</v>
      </c>
      <c r="C2019">
        <v>55.96</v>
      </c>
      <c r="D2019">
        <v>10</v>
      </c>
      <c r="E2019">
        <v>1175.1600000000001</v>
      </c>
      <c r="F2019" t="s">
        <v>735</v>
      </c>
      <c r="G2019" t="s">
        <v>93</v>
      </c>
      <c r="H2019">
        <v>3</v>
      </c>
      <c r="I2019">
        <v>8</v>
      </c>
      <c r="J2019">
        <v>2004</v>
      </c>
      <c r="K2019" t="s">
        <v>726</v>
      </c>
      <c r="L2019">
        <v>68</v>
      </c>
      <c r="M2019" t="s">
        <v>834</v>
      </c>
      <c r="N2019" t="s">
        <v>688</v>
      </c>
      <c r="O2019" t="s">
        <v>689</v>
      </c>
      <c r="P2019" t="s">
        <v>690</v>
      </c>
      <c r="R2019" t="s">
        <v>691</v>
      </c>
      <c r="T2019" t="s">
        <v>692</v>
      </c>
      <c r="U2019" t="s">
        <v>149</v>
      </c>
      <c r="V2019" t="s">
        <v>110</v>
      </c>
      <c r="W2019" t="s">
        <v>693</v>
      </c>
      <c r="X2019" t="s">
        <v>694</v>
      </c>
      <c r="Y2019" t="s">
        <v>104</v>
      </c>
    </row>
    <row r="2020" spans="1:25">
      <c r="A2020">
        <v>10296</v>
      </c>
      <c r="B2020">
        <v>32</v>
      </c>
      <c r="C2020">
        <v>71.650000000000006</v>
      </c>
      <c r="D2020">
        <v>6</v>
      </c>
      <c r="E2020">
        <v>2292.8000000000002</v>
      </c>
      <c r="F2020" t="s">
        <v>736</v>
      </c>
      <c r="G2020" t="s">
        <v>93</v>
      </c>
      <c r="H2020">
        <v>3</v>
      </c>
      <c r="I2020">
        <v>9</v>
      </c>
      <c r="J2020">
        <v>2004</v>
      </c>
      <c r="K2020" t="s">
        <v>726</v>
      </c>
      <c r="L2020">
        <v>68</v>
      </c>
      <c r="M2020" t="s">
        <v>834</v>
      </c>
      <c r="N2020" t="s">
        <v>737</v>
      </c>
      <c r="O2020" t="s">
        <v>738</v>
      </c>
      <c r="P2020" t="s">
        <v>739</v>
      </c>
      <c r="R2020" t="s">
        <v>740</v>
      </c>
      <c r="T2020">
        <v>80686</v>
      </c>
      <c r="U2020" t="s">
        <v>566</v>
      </c>
      <c r="V2020" t="s">
        <v>110</v>
      </c>
      <c r="W2020" t="s">
        <v>741</v>
      </c>
      <c r="X2020" t="s">
        <v>176</v>
      </c>
      <c r="Y2020" t="s">
        <v>104</v>
      </c>
    </row>
    <row r="2021" spans="1:25">
      <c r="A2021">
        <v>10308</v>
      </c>
      <c r="B2021">
        <v>43</v>
      </c>
      <c r="C2021">
        <v>76.430000000000007</v>
      </c>
      <c r="D2021">
        <v>16</v>
      </c>
      <c r="E2021">
        <v>3286.49</v>
      </c>
      <c r="F2021" t="s">
        <v>211</v>
      </c>
      <c r="G2021" t="s">
        <v>93</v>
      </c>
      <c r="H2021">
        <v>4</v>
      </c>
      <c r="I2021">
        <v>10</v>
      </c>
      <c r="J2021">
        <v>2004</v>
      </c>
      <c r="K2021" t="s">
        <v>726</v>
      </c>
      <c r="L2021">
        <v>68</v>
      </c>
      <c r="M2021" t="s">
        <v>834</v>
      </c>
      <c r="N2021" t="s">
        <v>419</v>
      </c>
      <c r="O2021">
        <v>9145554562</v>
      </c>
      <c r="P2021" t="s">
        <v>420</v>
      </c>
      <c r="R2021" t="s">
        <v>421</v>
      </c>
      <c r="S2021" t="s">
        <v>99</v>
      </c>
      <c r="T2021">
        <v>24067</v>
      </c>
      <c r="U2021" t="s">
        <v>100</v>
      </c>
      <c r="V2021" t="s">
        <v>101</v>
      </c>
      <c r="W2021" t="s">
        <v>175</v>
      </c>
      <c r="X2021" t="s">
        <v>329</v>
      </c>
      <c r="Y2021" t="s">
        <v>119</v>
      </c>
    </row>
    <row r="2022" spans="1:25">
      <c r="A2022">
        <v>10316</v>
      </c>
      <c r="B2022">
        <v>30</v>
      </c>
      <c r="C2022">
        <v>77.790000000000006</v>
      </c>
      <c r="D2022">
        <v>8</v>
      </c>
      <c r="E2022">
        <v>2333.6999999999998</v>
      </c>
      <c r="F2022" s="4">
        <v>37997</v>
      </c>
      <c r="G2022" t="s">
        <v>93</v>
      </c>
      <c r="H2022">
        <v>4</v>
      </c>
      <c r="I2022">
        <v>11</v>
      </c>
      <c r="J2022">
        <v>2004</v>
      </c>
      <c r="K2022" t="s">
        <v>726</v>
      </c>
      <c r="L2022">
        <v>68</v>
      </c>
      <c r="M2022" t="s">
        <v>834</v>
      </c>
      <c r="N2022" t="s">
        <v>495</v>
      </c>
      <c r="O2022" t="s">
        <v>496</v>
      </c>
      <c r="P2022" t="s">
        <v>497</v>
      </c>
      <c r="R2022" t="s">
        <v>498</v>
      </c>
      <c r="S2022" t="s">
        <v>499</v>
      </c>
      <c r="T2022" t="s">
        <v>500</v>
      </c>
      <c r="U2022" t="s">
        <v>252</v>
      </c>
      <c r="V2022" t="s">
        <v>110</v>
      </c>
      <c r="W2022" t="s">
        <v>501</v>
      </c>
      <c r="X2022" t="s">
        <v>502</v>
      </c>
      <c r="Y2022" t="s">
        <v>104</v>
      </c>
    </row>
    <row r="2023" spans="1:25">
      <c r="A2023">
        <v>10328</v>
      </c>
      <c r="B2023">
        <v>35</v>
      </c>
      <c r="C2023">
        <v>76.430000000000007</v>
      </c>
      <c r="D2023">
        <v>3</v>
      </c>
      <c r="E2023">
        <v>2675.05</v>
      </c>
      <c r="F2023" s="4">
        <v>38332</v>
      </c>
      <c r="G2023" t="s">
        <v>93</v>
      </c>
      <c r="H2023">
        <v>4</v>
      </c>
      <c r="I2023">
        <v>11</v>
      </c>
      <c r="J2023">
        <v>2004</v>
      </c>
      <c r="K2023" t="s">
        <v>726</v>
      </c>
      <c r="L2023">
        <v>68</v>
      </c>
      <c r="M2023" t="s">
        <v>834</v>
      </c>
      <c r="N2023" t="s">
        <v>703</v>
      </c>
      <c r="O2023" t="s">
        <v>704</v>
      </c>
      <c r="P2023" t="s">
        <v>705</v>
      </c>
      <c r="R2023" t="s">
        <v>706</v>
      </c>
      <c r="T2023">
        <v>24100</v>
      </c>
      <c r="U2023" t="s">
        <v>352</v>
      </c>
      <c r="V2023" t="s">
        <v>110</v>
      </c>
      <c r="W2023" t="s">
        <v>707</v>
      </c>
      <c r="X2023" t="s">
        <v>708</v>
      </c>
      <c r="Y2023" t="s">
        <v>104</v>
      </c>
    </row>
    <row r="2024" spans="1:25">
      <c r="A2024">
        <v>10339</v>
      </c>
      <c r="B2024">
        <v>45</v>
      </c>
      <c r="C2024">
        <v>96.92</v>
      </c>
      <c r="D2024">
        <v>11</v>
      </c>
      <c r="E2024">
        <v>4361.3999999999996</v>
      </c>
      <c r="F2024" t="s">
        <v>422</v>
      </c>
      <c r="G2024" t="s">
        <v>93</v>
      </c>
      <c r="H2024">
        <v>4</v>
      </c>
      <c r="I2024">
        <v>11</v>
      </c>
      <c r="J2024">
        <v>2004</v>
      </c>
      <c r="K2024" t="s">
        <v>726</v>
      </c>
      <c r="L2024">
        <v>68</v>
      </c>
      <c r="M2024" t="s">
        <v>834</v>
      </c>
      <c r="N2024" t="s">
        <v>338</v>
      </c>
      <c r="O2024" t="s">
        <v>339</v>
      </c>
      <c r="P2024" t="s">
        <v>340</v>
      </c>
      <c r="R2024" t="s">
        <v>341</v>
      </c>
      <c r="S2024" t="s">
        <v>342</v>
      </c>
      <c r="T2024" t="s">
        <v>343</v>
      </c>
      <c r="U2024" t="s">
        <v>288</v>
      </c>
      <c r="V2024" t="s">
        <v>288</v>
      </c>
      <c r="W2024" t="s">
        <v>344</v>
      </c>
      <c r="X2024" t="s">
        <v>345</v>
      </c>
      <c r="Y2024" t="s">
        <v>119</v>
      </c>
    </row>
    <row r="2025" spans="1:25">
      <c r="A2025">
        <v>10351</v>
      </c>
      <c r="B2025">
        <v>34</v>
      </c>
      <c r="C2025">
        <v>59.37</v>
      </c>
      <c r="D2025">
        <v>3</v>
      </c>
      <c r="E2025">
        <v>2018.58</v>
      </c>
      <c r="F2025" s="4">
        <v>38058</v>
      </c>
      <c r="G2025" t="s">
        <v>93</v>
      </c>
      <c r="H2025">
        <v>4</v>
      </c>
      <c r="I2025">
        <v>12</v>
      </c>
      <c r="J2025">
        <v>2004</v>
      </c>
      <c r="K2025" t="s">
        <v>726</v>
      </c>
      <c r="L2025">
        <v>68</v>
      </c>
      <c r="M2025" t="s">
        <v>834</v>
      </c>
      <c r="N2025" t="s">
        <v>433</v>
      </c>
      <c r="O2025" t="s">
        <v>434</v>
      </c>
      <c r="P2025" t="s">
        <v>435</v>
      </c>
      <c r="R2025" t="s">
        <v>436</v>
      </c>
      <c r="T2025" t="s">
        <v>437</v>
      </c>
      <c r="U2025" t="s">
        <v>252</v>
      </c>
      <c r="V2025" t="s">
        <v>110</v>
      </c>
      <c r="W2025" t="s">
        <v>130</v>
      </c>
      <c r="X2025" t="s">
        <v>438</v>
      </c>
      <c r="Y2025" t="s">
        <v>104</v>
      </c>
    </row>
    <row r="2026" spans="1:25">
      <c r="A2026">
        <v>10361</v>
      </c>
      <c r="B2026">
        <v>26</v>
      </c>
      <c r="C2026">
        <v>100</v>
      </c>
      <c r="D2026">
        <v>7</v>
      </c>
      <c r="E2026">
        <v>3710.98</v>
      </c>
      <c r="F2026" t="s">
        <v>233</v>
      </c>
      <c r="G2026" t="s">
        <v>93</v>
      </c>
      <c r="H2026">
        <v>4</v>
      </c>
      <c r="I2026">
        <v>12</v>
      </c>
      <c r="J2026">
        <v>2004</v>
      </c>
      <c r="K2026" t="s">
        <v>726</v>
      </c>
      <c r="L2026">
        <v>68</v>
      </c>
      <c r="M2026" t="s">
        <v>834</v>
      </c>
      <c r="N2026" t="s">
        <v>234</v>
      </c>
      <c r="O2026" t="s">
        <v>235</v>
      </c>
      <c r="P2026" t="s">
        <v>236</v>
      </c>
      <c r="Q2026" t="s">
        <v>237</v>
      </c>
      <c r="R2026" t="s">
        <v>238</v>
      </c>
      <c r="S2026" t="s">
        <v>239</v>
      </c>
      <c r="T2026">
        <v>2067</v>
      </c>
      <c r="U2026" t="s">
        <v>168</v>
      </c>
      <c r="V2026" t="s">
        <v>169</v>
      </c>
      <c r="W2026" t="s">
        <v>240</v>
      </c>
      <c r="X2026" t="s">
        <v>241</v>
      </c>
      <c r="Y2026" t="s">
        <v>119</v>
      </c>
    </row>
    <row r="2027" spans="1:25">
      <c r="A2027">
        <v>10373</v>
      </c>
      <c r="B2027">
        <v>39</v>
      </c>
      <c r="C2027">
        <v>73</v>
      </c>
      <c r="D2027">
        <v>13</v>
      </c>
      <c r="E2027">
        <v>2847</v>
      </c>
      <c r="F2027" t="s">
        <v>505</v>
      </c>
      <c r="G2027" t="s">
        <v>93</v>
      </c>
      <c r="H2027">
        <v>1</v>
      </c>
      <c r="I2027">
        <v>1</v>
      </c>
      <c r="J2027">
        <v>2005</v>
      </c>
      <c r="K2027" t="s">
        <v>726</v>
      </c>
      <c r="L2027">
        <v>68</v>
      </c>
      <c r="M2027" t="s">
        <v>834</v>
      </c>
      <c r="N2027" t="s">
        <v>506</v>
      </c>
      <c r="O2027" t="s">
        <v>507</v>
      </c>
      <c r="P2027" t="s">
        <v>508</v>
      </c>
      <c r="R2027" t="s">
        <v>509</v>
      </c>
      <c r="T2027">
        <v>90110</v>
      </c>
      <c r="U2027" t="s">
        <v>208</v>
      </c>
      <c r="V2027" t="s">
        <v>110</v>
      </c>
      <c r="W2027" t="s">
        <v>510</v>
      </c>
      <c r="X2027" t="s">
        <v>511</v>
      </c>
      <c r="Y2027" t="s">
        <v>104</v>
      </c>
    </row>
    <row r="2028" spans="1:25">
      <c r="A2028">
        <v>10386</v>
      </c>
      <c r="B2028">
        <v>41</v>
      </c>
      <c r="C2028">
        <v>73.319999999999993</v>
      </c>
      <c r="D2028">
        <v>12</v>
      </c>
      <c r="E2028">
        <v>3006.12</v>
      </c>
      <c r="F2028" s="4">
        <v>38355</v>
      </c>
      <c r="G2028" t="s">
        <v>526</v>
      </c>
      <c r="H2028">
        <v>1</v>
      </c>
      <c r="I2028">
        <v>3</v>
      </c>
      <c r="J2028">
        <v>2005</v>
      </c>
      <c r="K2028" t="s">
        <v>726</v>
      </c>
      <c r="L2028">
        <v>68</v>
      </c>
      <c r="M2028" t="s">
        <v>834</v>
      </c>
      <c r="N2028" t="s">
        <v>257</v>
      </c>
      <c r="O2028" t="s">
        <v>258</v>
      </c>
      <c r="P2028" t="s">
        <v>259</v>
      </c>
      <c r="R2028" t="s">
        <v>260</v>
      </c>
      <c r="T2028">
        <v>28034</v>
      </c>
      <c r="U2028" t="s">
        <v>261</v>
      </c>
      <c r="V2028" t="s">
        <v>110</v>
      </c>
      <c r="W2028" t="s">
        <v>262</v>
      </c>
      <c r="X2028" t="s">
        <v>263</v>
      </c>
      <c r="Y2028" t="s">
        <v>119</v>
      </c>
    </row>
    <row r="2029" spans="1:25">
      <c r="A2029">
        <v>10398</v>
      </c>
      <c r="B2029">
        <v>41</v>
      </c>
      <c r="C2029">
        <v>68.239999999999995</v>
      </c>
      <c r="D2029">
        <v>2</v>
      </c>
      <c r="E2029">
        <v>2797.84</v>
      </c>
      <c r="F2029" t="s">
        <v>750</v>
      </c>
      <c r="G2029" t="s">
        <v>93</v>
      </c>
      <c r="H2029">
        <v>1</v>
      </c>
      <c r="I2029">
        <v>3</v>
      </c>
      <c r="J2029">
        <v>2005</v>
      </c>
      <c r="K2029" t="s">
        <v>726</v>
      </c>
      <c r="L2029">
        <v>68</v>
      </c>
      <c r="M2029" t="s">
        <v>834</v>
      </c>
      <c r="N2029" t="s">
        <v>105</v>
      </c>
      <c r="O2029" t="s">
        <v>106</v>
      </c>
      <c r="P2029" t="s">
        <v>107</v>
      </c>
      <c r="R2029" t="s">
        <v>108</v>
      </c>
      <c r="T2029">
        <v>51100</v>
      </c>
      <c r="U2029" t="s">
        <v>109</v>
      </c>
      <c r="V2029" t="s">
        <v>110</v>
      </c>
      <c r="W2029" t="s">
        <v>111</v>
      </c>
      <c r="X2029" t="s">
        <v>112</v>
      </c>
      <c r="Y2029" t="s">
        <v>104</v>
      </c>
    </row>
    <row r="2030" spans="1:25">
      <c r="A2030">
        <v>10401</v>
      </c>
      <c r="B2030">
        <v>64</v>
      </c>
      <c r="C2030">
        <v>60.05</v>
      </c>
      <c r="D2030">
        <v>12</v>
      </c>
      <c r="E2030">
        <v>3843.2</v>
      </c>
      <c r="F2030" s="4">
        <v>38415</v>
      </c>
      <c r="G2030" t="s">
        <v>518</v>
      </c>
      <c r="H2030">
        <v>2</v>
      </c>
      <c r="I2030">
        <v>4</v>
      </c>
      <c r="J2030">
        <v>2005</v>
      </c>
      <c r="K2030" t="s">
        <v>726</v>
      </c>
      <c r="L2030">
        <v>68</v>
      </c>
      <c r="M2030" t="s">
        <v>834</v>
      </c>
      <c r="N2030" t="s">
        <v>178</v>
      </c>
      <c r="O2030">
        <v>2015559350</v>
      </c>
      <c r="P2030" t="s">
        <v>179</v>
      </c>
      <c r="R2030" t="s">
        <v>180</v>
      </c>
      <c r="S2030" t="s">
        <v>181</v>
      </c>
      <c r="T2030">
        <v>94019</v>
      </c>
      <c r="U2030" t="s">
        <v>100</v>
      </c>
      <c r="V2030" t="s">
        <v>101</v>
      </c>
      <c r="W2030" t="s">
        <v>130</v>
      </c>
      <c r="X2030" t="s">
        <v>182</v>
      </c>
      <c r="Y2030" t="s">
        <v>119</v>
      </c>
    </row>
    <row r="2031" spans="1:25">
      <c r="A2031">
        <v>10416</v>
      </c>
      <c r="B2031">
        <v>18</v>
      </c>
      <c r="C2031">
        <v>75.06</v>
      </c>
      <c r="D2031">
        <v>13</v>
      </c>
      <c r="E2031">
        <v>1351.08</v>
      </c>
      <c r="F2031" s="4">
        <v>38630</v>
      </c>
      <c r="G2031" t="s">
        <v>93</v>
      </c>
      <c r="H2031">
        <v>2</v>
      </c>
      <c r="I2031">
        <v>5</v>
      </c>
      <c r="J2031">
        <v>2005</v>
      </c>
      <c r="K2031" t="s">
        <v>726</v>
      </c>
      <c r="L2031">
        <v>68</v>
      </c>
      <c r="M2031" t="s">
        <v>834</v>
      </c>
      <c r="N2031" t="s">
        <v>576</v>
      </c>
      <c r="O2031" t="s">
        <v>577</v>
      </c>
      <c r="P2031" t="s">
        <v>578</v>
      </c>
      <c r="R2031" t="s">
        <v>579</v>
      </c>
      <c r="T2031">
        <v>42100</v>
      </c>
      <c r="U2031" t="s">
        <v>352</v>
      </c>
      <c r="V2031" t="s">
        <v>110</v>
      </c>
      <c r="W2031" t="s">
        <v>580</v>
      </c>
      <c r="X2031" t="s">
        <v>581</v>
      </c>
      <c r="Y2031" t="s">
        <v>104</v>
      </c>
    </row>
    <row r="2032" spans="1:25">
      <c r="A2032">
        <v>10100</v>
      </c>
      <c r="B2032">
        <v>49</v>
      </c>
      <c r="C2032">
        <v>34.47</v>
      </c>
      <c r="D2032">
        <v>1</v>
      </c>
      <c r="E2032">
        <v>1689.03</v>
      </c>
      <c r="F2032" s="4">
        <v>37773</v>
      </c>
      <c r="G2032" t="s">
        <v>93</v>
      </c>
      <c r="H2032">
        <v>1</v>
      </c>
      <c r="I2032">
        <v>1</v>
      </c>
      <c r="J2032">
        <v>2003</v>
      </c>
      <c r="K2032" t="s">
        <v>697</v>
      </c>
      <c r="L2032">
        <v>41</v>
      </c>
      <c r="M2032" t="s">
        <v>835</v>
      </c>
      <c r="N2032" t="s">
        <v>372</v>
      </c>
      <c r="O2032">
        <v>6035558647</v>
      </c>
      <c r="P2032" t="s">
        <v>373</v>
      </c>
      <c r="R2032" t="s">
        <v>374</v>
      </c>
      <c r="S2032" t="s">
        <v>375</v>
      </c>
      <c r="T2032">
        <v>62005</v>
      </c>
      <c r="U2032" t="s">
        <v>100</v>
      </c>
      <c r="V2032" t="s">
        <v>101</v>
      </c>
      <c r="W2032" t="s">
        <v>125</v>
      </c>
      <c r="X2032" t="s">
        <v>371</v>
      </c>
      <c r="Y2032" t="s">
        <v>104</v>
      </c>
    </row>
    <row r="2033" spans="1:25">
      <c r="A2033">
        <v>10110</v>
      </c>
      <c r="B2033">
        <v>48</v>
      </c>
      <c r="C2033">
        <v>34.47</v>
      </c>
      <c r="D2033">
        <v>5</v>
      </c>
      <c r="E2033">
        <v>1654.56</v>
      </c>
      <c r="F2033" t="s">
        <v>720</v>
      </c>
      <c r="G2033" t="s">
        <v>93</v>
      </c>
      <c r="H2033">
        <v>1</v>
      </c>
      <c r="I2033">
        <v>3</v>
      </c>
      <c r="J2033">
        <v>2003</v>
      </c>
      <c r="K2033" t="s">
        <v>697</v>
      </c>
      <c r="L2033">
        <v>41</v>
      </c>
      <c r="M2033" t="s">
        <v>835</v>
      </c>
      <c r="N2033" t="s">
        <v>624</v>
      </c>
      <c r="O2033" t="s">
        <v>625</v>
      </c>
      <c r="P2033" t="s">
        <v>626</v>
      </c>
      <c r="R2033" t="s">
        <v>627</v>
      </c>
      <c r="T2033" t="s">
        <v>628</v>
      </c>
      <c r="U2033" t="s">
        <v>252</v>
      </c>
      <c r="V2033" t="s">
        <v>110</v>
      </c>
      <c r="W2033" t="s">
        <v>629</v>
      </c>
      <c r="X2033" t="s">
        <v>167</v>
      </c>
      <c r="Y2033" t="s">
        <v>104</v>
      </c>
    </row>
    <row r="2034" spans="1:25">
      <c r="A2034">
        <v>10124</v>
      </c>
      <c r="B2034">
        <v>46</v>
      </c>
      <c r="C2034">
        <v>33.229999999999997</v>
      </c>
      <c r="D2034">
        <v>4</v>
      </c>
      <c r="E2034">
        <v>1528.58</v>
      </c>
      <c r="F2034" t="s">
        <v>700</v>
      </c>
      <c r="G2034" t="s">
        <v>93</v>
      </c>
      <c r="H2034">
        <v>2</v>
      </c>
      <c r="I2034">
        <v>5</v>
      </c>
      <c r="J2034">
        <v>2003</v>
      </c>
      <c r="K2034" t="s">
        <v>697</v>
      </c>
      <c r="L2034">
        <v>41</v>
      </c>
      <c r="M2034" t="s">
        <v>835</v>
      </c>
      <c r="N2034" t="s">
        <v>684</v>
      </c>
      <c r="O2034">
        <v>7025551838</v>
      </c>
      <c r="P2034" t="s">
        <v>685</v>
      </c>
      <c r="R2034" t="s">
        <v>686</v>
      </c>
      <c r="S2034" t="s">
        <v>687</v>
      </c>
      <c r="T2034">
        <v>83030</v>
      </c>
      <c r="U2034" t="s">
        <v>100</v>
      </c>
      <c r="V2034" t="s">
        <v>101</v>
      </c>
      <c r="W2034" t="s">
        <v>188</v>
      </c>
      <c r="X2034" t="s">
        <v>517</v>
      </c>
      <c r="Y2034" t="s">
        <v>104</v>
      </c>
    </row>
    <row r="2035" spans="1:25">
      <c r="A2035">
        <v>10149</v>
      </c>
      <c r="B2035">
        <v>26</v>
      </c>
      <c r="C2035">
        <v>38.979999999999997</v>
      </c>
      <c r="D2035">
        <v>9</v>
      </c>
      <c r="E2035">
        <v>1013.48</v>
      </c>
      <c r="F2035" s="4">
        <v>37964</v>
      </c>
      <c r="G2035" t="s">
        <v>93</v>
      </c>
      <c r="H2035">
        <v>3</v>
      </c>
      <c r="I2035">
        <v>9</v>
      </c>
      <c r="J2035">
        <v>2003</v>
      </c>
      <c r="K2035" t="s">
        <v>697</v>
      </c>
      <c r="L2035">
        <v>41</v>
      </c>
      <c r="M2035" t="s">
        <v>835</v>
      </c>
      <c r="N2035" t="s">
        <v>668</v>
      </c>
      <c r="O2035">
        <v>4155554312</v>
      </c>
      <c r="P2035" t="s">
        <v>669</v>
      </c>
      <c r="R2035" t="s">
        <v>670</v>
      </c>
      <c r="S2035" t="s">
        <v>124</v>
      </c>
      <c r="T2035">
        <v>94217</v>
      </c>
      <c r="U2035" t="s">
        <v>100</v>
      </c>
      <c r="V2035" t="s">
        <v>101</v>
      </c>
      <c r="W2035" t="s">
        <v>671</v>
      </c>
      <c r="X2035" t="s">
        <v>517</v>
      </c>
      <c r="Y2035" t="s">
        <v>104</v>
      </c>
    </row>
    <row r="2036" spans="1:25">
      <c r="A2036">
        <v>10162</v>
      </c>
      <c r="B2036">
        <v>37</v>
      </c>
      <c r="C2036">
        <v>38.979999999999997</v>
      </c>
      <c r="D2036">
        <v>7</v>
      </c>
      <c r="E2036">
        <v>1442.26</v>
      </c>
      <c r="F2036" t="s">
        <v>702</v>
      </c>
      <c r="G2036" t="s">
        <v>93</v>
      </c>
      <c r="H2036">
        <v>4</v>
      </c>
      <c r="I2036">
        <v>10</v>
      </c>
      <c r="J2036">
        <v>2003</v>
      </c>
      <c r="K2036" t="s">
        <v>697</v>
      </c>
      <c r="L2036">
        <v>41</v>
      </c>
      <c r="M2036" t="s">
        <v>835</v>
      </c>
      <c r="N2036" t="s">
        <v>127</v>
      </c>
      <c r="O2036">
        <v>6505551386</v>
      </c>
      <c r="P2036" t="s">
        <v>128</v>
      </c>
      <c r="R2036" t="s">
        <v>129</v>
      </c>
      <c r="S2036" t="s">
        <v>124</v>
      </c>
      <c r="U2036" t="s">
        <v>100</v>
      </c>
      <c r="V2036" t="s">
        <v>101</v>
      </c>
      <c r="W2036" t="s">
        <v>130</v>
      </c>
      <c r="X2036" t="s">
        <v>126</v>
      </c>
      <c r="Y2036" t="s">
        <v>104</v>
      </c>
    </row>
    <row r="2037" spans="1:25">
      <c r="A2037">
        <v>10173</v>
      </c>
      <c r="B2037">
        <v>35</v>
      </c>
      <c r="C2037">
        <v>33.229999999999997</v>
      </c>
      <c r="D2037">
        <v>11</v>
      </c>
      <c r="E2037">
        <v>1163.05</v>
      </c>
      <c r="F2037" s="4">
        <v>37752</v>
      </c>
      <c r="G2037" t="s">
        <v>93</v>
      </c>
      <c r="H2037">
        <v>4</v>
      </c>
      <c r="I2037">
        <v>11</v>
      </c>
      <c r="J2037">
        <v>2003</v>
      </c>
      <c r="K2037" t="s">
        <v>697</v>
      </c>
      <c r="L2037">
        <v>41</v>
      </c>
      <c r="M2037" t="s">
        <v>835</v>
      </c>
      <c r="N2037" t="s">
        <v>703</v>
      </c>
      <c r="O2037" t="s">
        <v>704</v>
      </c>
      <c r="P2037" t="s">
        <v>705</v>
      </c>
      <c r="R2037" t="s">
        <v>706</v>
      </c>
      <c r="T2037">
        <v>24100</v>
      </c>
      <c r="U2037" t="s">
        <v>352</v>
      </c>
      <c r="V2037" t="s">
        <v>110</v>
      </c>
      <c r="W2037" t="s">
        <v>707</v>
      </c>
      <c r="X2037" t="s">
        <v>708</v>
      </c>
      <c r="Y2037" t="s">
        <v>104</v>
      </c>
    </row>
    <row r="2038" spans="1:25">
      <c r="A2038">
        <v>10182</v>
      </c>
      <c r="B2038">
        <v>23</v>
      </c>
      <c r="C2038">
        <v>42.26</v>
      </c>
      <c r="D2038">
        <v>8</v>
      </c>
      <c r="E2038">
        <v>971.98</v>
      </c>
      <c r="F2038" s="4">
        <v>37966</v>
      </c>
      <c r="G2038" t="s">
        <v>93</v>
      </c>
      <c r="H2038">
        <v>4</v>
      </c>
      <c r="I2038">
        <v>11</v>
      </c>
      <c r="J2038">
        <v>2003</v>
      </c>
      <c r="K2038" t="s">
        <v>697</v>
      </c>
      <c r="L2038">
        <v>41</v>
      </c>
      <c r="M2038" t="s">
        <v>835</v>
      </c>
      <c r="N2038" t="s">
        <v>367</v>
      </c>
      <c r="O2038">
        <v>4155551450</v>
      </c>
      <c r="P2038" t="s">
        <v>368</v>
      </c>
      <c r="R2038" t="s">
        <v>369</v>
      </c>
      <c r="S2038" t="s">
        <v>124</v>
      </c>
      <c r="T2038">
        <v>97562</v>
      </c>
      <c r="U2038" t="s">
        <v>100</v>
      </c>
      <c r="V2038" t="s">
        <v>101</v>
      </c>
      <c r="W2038" t="s">
        <v>370</v>
      </c>
      <c r="X2038" t="s">
        <v>371</v>
      </c>
      <c r="Y2038" t="s">
        <v>104</v>
      </c>
    </row>
    <row r="2039" spans="1:25">
      <c r="A2039">
        <v>10193</v>
      </c>
      <c r="B2039">
        <v>22</v>
      </c>
      <c r="C2039">
        <v>41.03</v>
      </c>
      <c r="D2039">
        <v>12</v>
      </c>
      <c r="E2039">
        <v>902.66</v>
      </c>
      <c r="F2039" t="s">
        <v>709</v>
      </c>
      <c r="G2039" t="s">
        <v>93</v>
      </c>
      <c r="H2039">
        <v>4</v>
      </c>
      <c r="I2039">
        <v>11</v>
      </c>
      <c r="J2039">
        <v>2003</v>
      </c>
      <c r="K2039" t="s">
        <v>697</v>
      </c>
      <c r="L2039">
        <v>41</v>
      </c>
      <c r="M2039" t="s">
        <v>835</v>
      </c>
      <c r="N2039" t="s">
        <v>710</v>
      </c>
      <c r="O2039" t="s">
        <v>711</v>
      </c>
      <c r="P2039" t="s">
        <v>712</v>
      </c>
      <c r="R2039" t="s">
        <v>713</v>
      </c>
      <c r="S2039" t="s">
        <v>167</v>
      </c>
      <c r="T2039">
        <v>3150</v>
      </c>
      <c r="U2039" t="s">
        <v>168</v>
      </c>
      <c r="V2039" t="s">
        <v>169</v>
      </c>
      <c r="W2039" t="s">
        <v>714</v>
      </c>
      <c r="X2039" t="s">
        <v>715</v>
      </c>
      <c r="Y2039" t="s">
        <v>104</v>
      </c>
    </row>
    <row r="2040" spans="1:25">
      <c r="A2040">
        <v>10204</v>
      </c>
      <c r="B2040">
        <v>39</v>
      </c>
      <c r="C2040">
        <v>33.229999999999997</v>
      </c>
      <c r="D2040">
        <v>2</v>
      </c>
      <c r="E2040">
        <v>1295.97</v>
      </c>
      <c r="F2040" s="4">
        <v>37664</v>
      </c>
      <c r="G2040" t="s">
        <v>93</v>
      </c>
      <c r="H2040">
        <v>4</v>
      </c>
      <c r="I2040">
        <v>12</v>
      </c>
      <c r="J2040">
        <v>2003</v>
      </c>
      <c r="K2040" t="s">
        <v>697</v>
      </c>
      <c r="L2040">
        <v>41</v>
      </c>
      <c r="M2040" t="s">
        <v>835</v>
      </c>
      <c r="N2040" t="s">
        <v>603</v>
      </c>
      <c r="O2040">
        <v>2125557413</v>
      </c>
      <c r="P2040" t="s">
        <v>604</v>
      </c>
      <c r="Q2040" t="s">
        <v>605</v>
      </c>
      <c r="R2040" t="s">
        <v>98</v>
      </c>
      <c r="S2040" t="s">
        <v>99</v>
      </c>
      <c r="T2040">
        <v>10022</v>
      </c>
      <c r="U2040" t="s">
        <v>100</v>
      </c>
      <c r="V2040" t="s">
        <v>101</v>
      </c>
      <c r="W2040" t="s">
        <v>125</v>
      </c>
      <c r="X2040" t="s">
        <v>606</v>
      </c>
      <c r="Y2040" t="s">
        <v>104</v>
      </c>
    </row>
    <row r="2041" spans="1:25">
      <c r="A2041">
        <v>10214</v>
      </c>
      <c r="B2041">
        <v>44</v>
      </c>
      <c r="C2041">
        <v>34.880000000000003</v>
      </c>
      <c r="D2041">
        <v>5</v>
      </c>
      <c r="E2041">
        <v>1534.72</v>
      </c>
      <c r="F2041" t="s">
        <v>752</v>
      </c>
      <c r="G2041" t="s">
        <v>93</v>
      </c>
      <c r="H2041">
        <v>1</v>
      </c>
      <c r="I2041">
        <v>1</v>
      </c>
      <c r="J2041">
        <v>2004</v>
      </c>
      <c r="K2041" t="s">
        <v>697</v>
      </c>
      <c r="L2041">
        <v>41</v>
      </c>
      <c r="M2041" t="s">
        <v>835</v>
      </c>
      <c r="N2041" t="s">
        <v>277</v>
      </c>
      <c r="O2041" t="s">
        <v>278</v>
      </c>
      <c r="P2041" t="s">
        <v>279</v>
      </c>
      <c r="R2041" t="s">
        <v>260</v>
      </c>
      <c r="T2041">
        <v>28023</v>
      </c>
      <c r="U2041" t="s">
        <v>261</v>
      </c>
      <c r="V2041" t="s">
        <v>110</v>
      </c>
      <c r="W2041" t="s">
        <v>280</v>
      </c>
      <c r="X2041" t="s">
        <v>281</v>
      </c>
      <c r="Y2041" t="s">
        <v>104</v>
      </c>
    </row>
    <row r="2042" spans="1:25">
      <c r="A2042">
        <v>10227</v>
      </c>
      <c r="B2042">
        <v>27</v>
      </c>
      <c r="C2042">
        <v>43.9</v>
      </c>
      <c r="D2042">
        <v>8</v>
      </c>
      <c r="E2042">
        <v>1185.3</v>
      </c>
      <c r="F2042" s="4">
        <v>38020</v>
      </c>
      <c r="G2042" t="s">
        <v>93</v>
      </c>
      <c r="H2042">
        <v>1</v>
      </c>
      <c r="I2042">
        <v>3</v>
      </c>
      <c r="J2042">
        <v>2004</v>
      </c>
      <c r="K2042" t="s">
        <v>697</v>
      </c>
      <c r="L2042">
        <v>41</v>
      </c>
      <c r="M2042" t="s">
        <v>835</v>
      </c>
      <c r="N2042" t="s">
        <v>310</v>
      </c>
      <c r="O2042" t="s">
        <v>311</v>
      </c>
      <c r="P2042" t="s">
        <v>312</v>
      </c>
      <c r="R2042" t="s">
        <v>313</v>
      </c>
      <c r="T2042">
        <v>69004</v>
      </c>
      <c r="U2042" t="s">
        <v>109</v>
      </c>
      <c r="V2042" t="s">
        <v>110</v>
      </c>
      <c r="W2042" t="s">
        <v>314</v>
      </c>
      <c r="X2042" t="s">
        <v>315</v>
      </c>
      <c r="Y2042" t="s">
        <v>104</v>
      </c>
    </row>
    <row r="2043" spans="1:25">
      <c r="A2043">
        <v>10242</v>
      </c>
      <c r="B2043">
        <v>46</v>
      </c>
      <c r="C2043">
        <v>36.93</v>
      </c>
      <c r="D2043">
        <v>1</v>
      </c>
      <c r="E2043">
        <v>1698.78</v>
      </c>
      <c r="F2043" t="s">
        <v>836</v>
      </c>
      <c r="G2043" t="s">
        <v>93</v>
      </c>
      <c r="H2043">
        <v>2</v>
      </c>
      <c r="I2043">
        <v>4</v>
      </c>
      <c r="J2043">
        <v>2004</v>
      </c>
      <c r="K2043" t="s">
        <v>697</v>
      </c>
      <c r="L2043">
        <v>41</v>
      </c>
      <c r="M2043" t="s">
        <v>835</v>
      </c>
      <c r="N2043" t="s">
        <v>643</v>
      </c>
      <c r="O2043">
        <v>2125551957</v>
      </c>
      <c r="P2043" t="s">
        <v>644</v>
      </c>
      <c r="Q2043" t="s">
        <v>645</v>
      </c>
      <c r="R2043" t="s">
        <v>98</v>
      </c>
      <c r="S2043" t="s">
        <v>99</v>
      </c>
      <c r="T2043">
        <v>10022</v>
      </c>
      <c r="U2043" t="s">
        <v>100</v>
      </c>
      <c r="V2043" t="s">
        <v>101</v>
      </c>
      <c r="W2043" t="s">
        <v>646</v>
      </c>
      <c r="X2043" t="s">
        <v>647</v>
      </c>
      <c r="Y2043" t="s">
        <v>104</v>
      </c>
    </row>
    <row r="2044" spans="1:25">
      <c r="A2044">
        <v>10280</v>
      </c>
      <c r="B2044">
        <v>33</v>
      </c>
      <c r="C2044">
        <v>41.85</v>
      </c>
      <c r="D2044">
        <v>14</v>
      </c>
      <c r="E2044">
        <v>1381.05</v>
      </c>
      <c r="F2044" t="s">
        <v>347</v>
      </c>
      <c r="G2044" t="s">
        <v>93</v>
      </c>
      <c r="H2044">
        <v>3</v>
      </c>
      <c r="I2044">
        <v>8</v>
      </c>
      <c r="J2044">
        <v>2004</v>
      </c>
      <c r="K2044" t="s">
        <v>697</v>
      </c>
      <c r="L2044">
        <v>41</v>
      </c>
      <c r="M2044" t="s">
        <v>835</v>
      </c>
      <c r="N2044" t="s">
        <v>348</v>
      </c>
      <c r="O2044" t="s">
        <v>349</v>
      </c>
      <c r="P2044" t="s">
        <v>350</v>
      </c>
      <c r="R2044" t="s">
        <v>351</v>
      </c>
      <c r="T2044">
        <v>10100</v>
      </c>
      <c r="U2044" t="s">
        <v>352</v>
      </c>
      <c r="V2044" t="s">
        <v>110</v>
      </c>
      <c r="W2044" t="s">
        <v>353</v>
      </c>
      <c r="X2044" t="s">
        <v>354</v>
      </c>
      <c r="Y2044" t="s">
        <v>104</v>
      </c>
    </row>
    <row r="2045" spans="1:25">
      <c r="A2045">
        <v>10288</v>
      </c>
      <c r="B2045">
        <v>33</v>
      </c>
      <c r="C2045">
        <v>40.619999999999997</v>
      </c>
      <c r="D2045">
        <v>3</v>
      </c>
      <c r="E2045">
        <v>1340.46</v>
      </c>
      <c r="F2045" s="4">
        <v>37995</v>
      </c>
      <c r="G2045" t="s">
        <v>93</v>
      </c>
      <c r="H2045">
        <v>3</v>
      </c>
      <c r="I2045">
        <v>9</v>
      </c>
      <c r="J2045">
        <v>2004</v>
      </c>
      <c r="K2045" t="s">
        <v>697</v>
      </c>
      <c r="L2045">
        <v>41</v>
      </c>
      <c r="M2045" t="s">
        <v>835</v>
      </c>
      <c r="N2045" t="s">
        <v>536</v>
      </c>
      <c r="O2045" t="s">
        <v>537</v>
      </c>
      <c r="P2045" t="s">
        <v>538</v>
      </c>
      <c r="Q2045" t="s">
        <v>539</v>
      </c>
      <c r="R2045" t="s">
        <v>287</v>
      </c>
      <c r="T2045">
        <v>69045</v>
      </c>
      <c r="U2045" t="s">
        <v>287</v>
      </c>
      <c r="V2045" t="s">
        <v>169</v>
      </c>
      <c r="W2045" t="s">
        <v>540</v>
      </c>
      <c r="X2045" t="s">
        <v>541</v>
      </c>
      <c r="Y2045" t="s">
        <v>104</v>
      </c>
    </row>
    <row r="2046" spans="1:25">
      <c r="A2046">
        <v>10303</v>
      </c>
      <c r="B2046">
        <v>24</v>
      </c>
      <c r="C2046">
        <v>40.21</v>
      </c>
      <c r="D2046">
        <v>1</v>
      </c>
      <c r="E2046">
        <v>965.04</v>
      </c>
      <c r="F2046" s="4">
        <v>38148</v>
      </c>
      <c r="G2046" t="s">
        <v>93</v>
      </c>
      <c r="H2046">
        <v>4</v>
      </c>
      <c r="I2046">
        <v>10</v>
      </c>
      <c r="J2046">
        <v>2004</v>
      </c>
      <c r="K2046" t="s">
        <v>697</v>
      </c>
      <c r="L2046">
        <v>41</v>
      </c>
      <c r="M2046" t="s">
        <v>835</v>
      </c>
      <c r="N2046" t="s">
        <v>662</v>
      </c>
      <c r="O2046" t="s">
        <v>663</v>
      </c>
      <c r="P2046" t="s">
        <v>664</v>
      </c>
      <c r="R2046" t="s">
        <v>665</v>
      </c>
      <c r="T2046">
        <v>41101</v>
      </c>
      <c r="U2046" t="s">
        <v>261</v>
      </c>
      <c r="V2046" t="s">
        <v>110</v>
      </c>
      <c r="W2046" t="s">
        <v>666</v>
      </c>
      <c r="X2046" t="s">
        <v>667</v>
      </c>
      <c r="Y2046" t="s">
        <v>104</v>
      </c>
    </row>
    <row r="2047" spans="1:25">
      <c r="A2047">
        <v>10312</v>
      </c>
      <c r="B2047">
        <v>31</v>
      </c>
      <c r="C2047">
        <v>35.29</v>
      </c>
      <c r="D2047">
        <v>15</v>
      </c>
      <c r="E2047">
        <v>1093.99</v>
      </c>
      <c r="F2047" t="s">
        <v>366</v>
      </c>
      <c r="G2047" t="s">
        <v>93</v>
      </c>
      <c r="H2047">
        <v>4</v>
      </c>
      <c r="I2047">
        <v>10</v>
      </c>
      <c r="J2047">
        <v>2004</v>
      </c>
      <c r="K2047" t="s">
        <v>697</v>
      </c>
      <c r="L2047">
        <v>41</v>
      </c>
      <c r="M2047" t="s">
        <v>835</v>
      </c>
      <c r="N2047" t="s">
        <v>367</v>
      </c>
      <c r="O2047">
        <v>4155551450</v>
      </c>
      <c r="P2047" t="s">
        <v>368</v>
      </c>
      <c r="R2047" t="s">
        <v>369</v>
      </c>
      <c r="S2047" t="s">
        <v>124</v>
      </c>
      <c r="T2047">
        <v>97562</v>
      </c>
      <c r="U2047" t="s">
        <v>100</v>
      </c>
      <c r="V2047" t="s">
        <v>101</v>
      </c>
      <c r="W2047" t="s">
        <v>370</v>
      </c>
      <c r="X2047" t="s">
        <v>371</v>
      </c>
      <c r="Y2047" t="s">
        <v>104</v>
      </c>
    </row>
    <row r="2048" spans="1:25">
      <c r="A2048">
        <v>10332</v>
      </c>
      <c r="B2048">
        <v>41</v>
      </c>
      <c r="C2048">
        <v>77.239999999999995</v>
      </c>
      <c r="D2048">
        <v>14</v>
      </c>
      <c r="E2048">
        <v>3166.84</v>
      </c>
      <c r="F2048" t="s">
        <v>695</v>
      </c>
      <c r="G2048" t="s">
        <v>93</v>
      </c>
      <c r="H2048">
        <v>4</v>
      </c>
      <c r="I2048">
        <v>11</v>
      </c>
      <c r="J2048">
        <v>2004</v>
      </c>
      <c r="K2048" t="s">
        <v>697</v>
      </c>
      <c r="L2048">
        <v>41</v>
      </c>
      <c r="M2048" t="s">
        <v>835</v>
      </c>
      <c r="N2048" t="s">
        <v>624</v>
      </c>
      <c r="O2048" t="s">
        <v>625</v>
      </c>
      <c r="P2048" t="s">
        <v>626</v>
      </c>
      <c r="R2048" t="s">
        <v>627</v>
      </c>
      <c r="T2048" t="s">
        <v>628</v>
      </c>
      <c r="U2048" t="s">
        <v>252</v>
      </c>
      <c r="V2048" t="s">
        <v>110</v>
      </c>
      <c r="W2048" t="s">
        <v>629</v>
      </c>
      <c r="X2048" t="s">
        <v>167</v>
      </c>
      <c r="Y2048" t="s">
        <v>119</v>
      </c>
    </row>
    <row r="2049" spans="1:25">
      <c r="A2049">
        <v>10346</v>
      </c>
      <c r="B2049">
        <v>22</v>
      </c>
      <c r="C2049">
        <v>97.44</v>
      </c>
      <c r="D2049">
        <v>4</v>
      </c>
      <c r="E2049">
        <v>2143.6799999999998</v>
      </c>
      <c r="F2049" t="s">
        <v>377</v>
      </c>
      <c r="G2049" t="s">
        <v>93</v>
      </c>
      <c r="H2049">
        <v>4</v>
      </c>
      <c r="I2049">
        <v>11</v>
      </c>
      <c r="J2049">
        <v>2004</v>
      </c>
      <c r="K2049" t="s">
        <v>697</v>
      </c>
      <c r="L2049">
        <v>41</v>
      </c>
      <c r="M2049" t="s">
        <v>835</v>
      </c>
      <c r="N2049" t="s">
        <v>684</v>
      </c>
      <c r="O2049">
        <v>7025551838</v>
      </c>
      <c r="P2049" t="s">
        <v>685</v>
      </c>
      <c r="R2049" t="s">
        <v>686</v>
      </c>
      <c r="S2049" t="s">
        <v>687</v>
      </c>
      <c r="T2049">
        <v>83030</v>
      </c>
      <c r="U2049" t="s">
        <v>100</v>
      </c>
      <c r="V2049" t="s">
        <v>101</v>
      </c>
      <c r="W2049" t="s">
        <v>188</v>
      </c>
      <c r="X2049" t="s">
        <v>517</v>
      </c>
      <c r="Y2049" t="s">
        <v>104</v>
      </c>
    </row>
    <row r="2050" spans="1:25">
      <c r="A2050">
        <v>10368</v>
      </c>
      <c r="B2050">
        <v>46</v>
      </c>
      <c r="C2050">
        <v>37.340000000000003</v>
      </c>
      <c r="D2050">
        <v>3</v>
      </c>
      <c r="E2050">
        <v>1717.64</v>
      </c>
      <c r="F2050" t="s">
        <v>820</v>
      </c>
      <c r="G2050" t="s">
        <v>93</v>
      </c>
      <c r="H2050">
        <v>1</v>
      </c>
      <c r="I2050">
        <v>1</v>
      </c>
      <c r="J2050">
        <v>2005</v>
      </c>
      <c r="K2050" t="s">
        <v>697</v>
      </c>
      <c r="L2050">
        <v>41</v>
      </c>
      <c r="M2050" t="s">
        <v>835</v>
      </c>
      <c r="N2050" t="s">
        <v>367</v>
      </c>
      <c r="O2050">
        <v>4155551450</v>
      </c>
      <c r="P2050" t="s">
        <v>368</v>
      </c>
      <c r="R2050" t="s">
        <v>369</v>
      </c>
      <c r="S2050" t="s">
        <v>124</v>
      </c>
      <c r="T2050">
        <v>97562</v>
      </c>
      <c r="U2050" t="s">
        <v>100</v>
      </c>
      <c r="V2050" t="s">
        <v>101</v>
      </c>
      <c r="W2050" t="s">
        <v>370</v>
      </c>
      <c r="X2050" t="s">
        <v>371</v>
      </c>
      <c r="Y2050" t="s">
        <v>104</v>
      </c>
    </row>
    <row r="2051" spans="1:25">
      <c r="A2051">
        <v>10380</v>
      </c>
      <c r="B2051">
        <v>43</v>
      </c>
      <c r="C2051">
        <v>95.03</v>
      </c>
      <c r="D2051">
        <v>12</v>
      </c>
      <c r="E2051">
        <v>4086.29</v>
      </c>
      <c r="F2051" t="s">
        <v>717</v>
      </c>
      <c r="G2051" t="s">
        <v>93</v>
      </c>
      <c r="H2051">
        <v>1</v>
      </c>
      <c r="I2051">
        <v>2</v>
      </c>
      <c r="J2051">
        <v>2005</v>
      </c>
      <c r="K2051" t="s">
        <v>697</v>
      </c>
      <c r="L2051">
        <v>41</v>
      </c>
      <c r="M2051" t="s">
        <v>835</v>
      </c>
      <c r="N2051" t="s">
        <v>257</v>
      </c>
      <c r="O2051" t="s">
        <v>258</v>
      </c>
      <c r="P2051" t="s">
        <v>259</v>
      </c>
      <c r="R2051" t="s">
        <v>260</v>
      </c>
      <c r="T2051">
        <v>28034</v>
      </c>
      <c r="U2051" t="s">
        <v>261</v>
      </c>
      <c r="V2051" t="s">
        <v>110</v>
      </c>
      <c r="W2051" t="s">
        <v>262</v>
      </c>
      <c r="X2051" t="s">
        <v>263</v>
      </c>
      <c r="Y2051" t="s">
        <v>119</v>
      </c>
    </row>
    <row r="2052" spans="1:25">
      <c r="A2052">
        <v>10408</v>
      </c>
      <c r="B2052">
        <v>15</v>
      </c>
      <c r="C2052">
        <v>36.93</v>
      </c>
      <c r="D2052">
        <v>1</v>
      </c>
      <c r="E2052">
        <v>553.95000000000005</v>
      </c>
      <c r="F2052" t="s">
        <v>724</v>
      </c>
      <c r="G2052" t="s">
        <v>93</v>
      </c>
      <c r="H2052">
        <v>2</v>
      </c>
      <c r="I2052">
        <v>4</v>
      </c>
      <c r="J2052">
        <v>2005</v>
      </c>
      <c r="K2052" t="s">
        <v>697</v>
      </c>
      <c r="L2052">
        <v>41</v>
      </c>
      <c r="M2052" t="s">
        <v>835</v>
      </c>
      <c r="N2052" t="s">
        <v>338</v>
      </c>
      <c r="O2052" t="s">
        <v>339</v>
      </c>
      <c r="P2052" t="s">
        <v>340</v>
      </c>
      <c r="R2052" t="s">
        <v>341</v>
      </c>
      <c r="S2052" t="s">
        <v>342</v>
      </c>
      <c r="T2052" t="s">
        <v>343</v>
      </c>
      <c r="U2052" t="s">
        <v>288</v>
      </c>
      <c r="V2052" t="s">
        <v>288</v>
      </c>
      <c r="W2052" t="s">
        <v>344</v>
      </c>
      <c r="X2052" t="s">
        <v>345</v>
      </c>
      <c r="Y2052" t="s">
        <v>104</v>
      </c>
    </row>
    <row r="2053" spans="1:25">
      <c r="A2053">
        <v>10420</v>
      </c>
      <c r="B2053">
        <v>15</v>
      </c>
      <c r="C2053">
        <v>43.49</v>
      </c>
      <c r="D2053">
        <v>3</v>
      </c>
      <c r="E2053">
        <v>652.35</v>
      </c>
      <c r="F2053" t="s">
        <v>754</v>
      </c>
      <c r="G2053" t="s">
        <v>400</v>
      </c>
      <c r="H2053">
        <v>2</v>
      </c>
      <c r="I2053">
        <v>5</v>
      </c>
      <c r="J2053">
        <v>2005</v>
      </c>
      <c r="K2053" t="s">
        <v>697</v>
      </c>
      <c r="L2053">
        <v>41</v>
      </c>
      <c r="M2053" t="s">
        <v>835</v>
      </c>
      <c r="N2053" t="s">
        <v>234</v>
      </c>
      <c r="O2053" t="s">
        <v>235</v>
      </c>
      <c r="P2053" t="s">
        <v>236</v>
      </c>
      <c r="Q2053" t="s">
        <v>237</v>
      </c>
      <c r="R2053" t="s">
        <v>238</v>
      </c>
      <c r="S2053" t="s">
        <v>239</v>
      </c>
      <c r="T2053">
        <v>2067</v>
      </c>
      <c r="U2053" t="s">
        <v>168</v>
      </c>
      <c r="V2053" t="s">
        <v>169</v>
      </c>
      <c r="W2053" t="s">
        <v>240</v>
      </c>
      <c r="X2053" t="s">
        <v>241</v>
      </c>
      <c r="Y2053" t="s">
        <v>104</v>
      </c>
    </row>
    <row r="2054" spans="1:25">
      <c r="A2054">
        <v>10104</v>
      </c>
      <c r="B2054">
        <v>26</v>
      </c>
      <c r="C2054">
        <v>100</v>
      </c>
      <c r="D2054">
        <v>5</v>
      </c>
      <c r="E2054">
        <v>2921.62</v>
      </c>
      <c r="F2054" t="s">
        <v>648</v>
      </c>
      <c r="G2054" t="s">
        <v>93</v>
      </c>
      <c r="H2054">
        <v>1</v>
      </c>
      <c r="I2054">
        <v>1</v>
      </c>
      <c r="J2054">
        <v>2003</v>
      </c>
      <c r="K2054" t="s">
        <v>265</v>
      </c>
      <c r="L2054">
        <v>118</v>
      </c>
      <c r="M2054" t="s">
        <v>837</v>
      </c>
      <c r="N2054" t="s">
        <v>257</v>
      </c>
      <c r="O2054" t="s">
        <v>258</v>
      </c>
      <c r="P2054" t="s">
        <v>259</v>
      </c>
      <c r="R2054" t="s">
        <v>260</v>
      </c>
      <c r="T2054">
        <v>28034</v>
      </c>
      <c r="U2054" t="s">
        <v>261</v>
      </c>
      <c r="V2054" t="s">
        <v>110</v>
      </c>
      <c r="W2054" t="s">
        <v>262</v>
      </c>
      <c r="X2054" t="s">
        <v>263</v>
      </c>
      <c r="Y2054" t="s">
        <v>104</v>
      </c>
    </row>
    <row r="2055" spans="1:25">
      <c r="A2055">
        <v>10115</v>
      </c>
      <c r="B2055">
        <v>44</v>
      </c>
      <c r="C2055">
        <v>100</v>
      </c>
      <c r="D2055">
        <v>1</v>
      </c>
      <c r="E2055">
        <v>5568.64</v>
      </c>
      <c r="F2055" s="4">
        <v>37715</v>
      </c>
      <c r="G2055" t="s">
        <v>93</v>
      </c>
      <c r="H2055">
        <v>2</v>
      </c>
      <c r="I2055">
        <v>4</v>
      </c>
      <c r="J2055">
        <v>2003</v>
      </c>
      <c r="K2055" t="s">
        <v>265</v>
      </c>
      <c r="L2055">
        <v>118</v>
      </c>
      <c r="M2055" t="s">
        <v>837</v>
      </c>
      <c r="N2055" t="s">
        <v>292</v>
      </c>
      <c r="O2055">
        <v>2125558493</v>
      </c>
      <c r="P2055" t="s">
        <v>293</v>
      </c>
      <c r="Q2055" t="s">
        <v>294</v>
      </c>
      <c r="R2055" t="s">
        <v>98</v>
      </c>
      <c r="S2055" t="s">
        <v>99</v>
      </c>
      <c r="T2055">
        <v>10022</v>
      </c>
      <c r="U2055" t="s">
        <v>100</v>
      </c>
      <c r="V2055" t="s">
        <v>101</v>
      </c>
      <c r="W2055" t="s">
        <v>201</v>
      </c>
      <c r="X2055" t="s">
        <v>295</v>
      </c>
      <c r="Y2055" t="s">
        <v>119</v>
      </c>
    </row>
    <row r="2056" spans="1:25">
      <c r="A2056">
        <v>10127</v>
      </c>
      <c r="B2056">
        <v>20</v>
      </c>
      <c r="C2056">
        <v>96.99</v>
      </c>
      <c r="D2056">
        <v>7</v>
      </c>
      <c r="E2056">
        <v>1939.8</v>
      </c>
      <c r="F2056" s="4">
        <v>37686</v>
      </c>
      <c r="G2056" t="s">
        <v>93</v>
      </c>
      <c r="H2056">
        <v>2</v>
      </c>
      <c r="I2056">
        <v>6</v>
      </c>
      <c r="J2056">
        <v>2003</v>
      </c>
      <c r="K2056" t="s">
        <v>265</v>
      </c>
      <c r="L2056">
        <v>118</v>
      </c>
      <c r="M2056" t="s">
        <v>837</v>
      </c>
      <c r="N2056" t="s">
        <v>603</v>
      </c>
      <c r="O2056">
        <v>2125557413</v>
      </c>
      <c r="P2056" t="s">
        <v>604</v>
      </c>
      <c r="Q2056" t="s">
        <v>605</v>
      </c>
      <c r="R2056" t="s">
        <v>98</v>
      </c>
      <c r="S2056" t="s">
        <v>99</v>
      </c>
      <c r="T2056">
        <v>10022</v>
      </c>
      <c r="U2056" t="s">
        <v>100</v>
      </c>
      <c r="V2056" t="s">
        <v>101</v>
      </c>
      <c r="W2056" t="s">
        <v>125</v>
      </c>
      <c r="X2056" t="s">
        <v>606</v>
      </c>
      <c r="Y2056" t="s">
        <v>104</v>
      </c>
    </row>
    <row r="2057" spans="1:25">
      <c r="A2057">
        <v>10141</v>
      </c>
      <c r="B2057">
        <v>40</v>
      </c>
      <c r="C2057">
        <v>94.62</v>
      </c>
      <c r="D2057">
        <v>1</v>
      </c>
      <c r="E2057">
        <v>3784.8</v>
      </c>
      <c r="F2057" s="4">
        <v>37629</v>
      </c>
      <c r="G2057" t="s">
        <v>93</v>
      </c>
      <c r="H2057">
        <v>3</v>
      </c>
      <c r="I2057">
        <v>8</v>
      </c>
      <c r="J2057">
        <v>2003</v>
      </c>
      <c r="K2057" t="s">
        <v>265</v>
      </c>
      <c r="L2057">
        <v>118</v>
      </c>
      <c r="M2057" t="s">
        <v>837</v>
      </c>
      <c r="N2057" t="s">
        <v>593</v>
      </c>
      <c r="O2057" t="s">
        <v>594</v>
      </c>
      <c r="P2057" t="s">
        <v>595</v>
      </c>
      <c r="R2057" t="s">
        <v>596</v>
      </c>
      <c r="T2057" t="s">
        <v>597</v>
      </c>
      <c r="U2057" t="s">
        <v>208</v>
      </c>
      <c r="V2057" t="s">
        <v>110</v>
      </c>
      <c r="W2057" t="s">
        <v>598</v>
      </c>
      <c r="X2057" t="s">
        <v>599</v>
      </c>
      <c r="Y2057" t="s">
        <v>119</v>
      </c>
    </row>
    <row r="2058" spans="1:25">
      <c r="A2058">
        <v>10152</v>
      </c>
      <c r="B2058">
        <v>23</v>
      </c>
      <c r="C2058">
        <v>100</v>
      </c>
      <c r="D2058">
        <v>3</v>
      </c>
      <c r="E2058">
        <v>2802.09</v>
      </c>
      <c r="F2058" t="s">
        <v>798</v>
      </c>
      <c r="G2058" t="s">
        <v>93</v>
      </c>
      <c r="H2058">
        <v>3</v>
      </c>
      <c r="I2058">
        <v>9</v>
      </c>
      <c r="J2058">
        <v>2003</v>
      </c>
      <c r="K2058" t="s">
        <v>265</v>
      </c>
      <c r="L2058">
        <v>118</v>
      </c>
      <c r="M2058" t="s">
        <v>837</v>
      </c>
      <c r="N2058" t="s">
        <v>296</v>
      </c>
      <c r="O2058" t="s">
        <v>297</v>
      </c>
      <c r="P2058" t="s">
        <v>298</v>
      </c>
      <c r="R2058" t="s">
        <v>299</v>
      </c>
      <c r="S2058" t="s">
        <v>300</v>
      </c>
      <c r="T2058">
        <v>4101</v>
      </c>
      <c r="U2058" t="s">
        <v>168</v>
      </c>
      <c r="V2058" t="s">
        <v>169</v>
      </c>
      <c r="W2058" t="s">
        <v>301</v>
      </c>
      <c r="X2058" t="s">
        <v>302</v>
      </c>
      <c r="Y2058" t="s">
        <v>104</v>
      </c>
    </row>
    <row r="2059" spans="1:25">
      <c r="A2059">
        <v>10165</v>
      </c>
      <c r="B2059">
        <v>24</v>
      </c>
      <c r="C2059">
        <v>99.36</v>
      </c>
      <c r="D2059">
        <v>8</v>
      </c>
      <c r="E2059">
        <v>2384.64</v>
      </c>
      <c r="F2059" t="s">
        <v>608</v>
      </c>
      <c r="G2059" t="s">
        <v>93</v>
      </c>
      <c r="H2059">
        <v>4</v>
      </c>
      <c r="I2059">
        <v>10</v>
      </c>
      <c r="J2059">
        <v>2003</v>
      </c>
      <c r="K2059" t="s">
        <v>265</v>
      </c>
      <c r="L2059">
        <v>118</v>
      </c>
      <c r="M2059" t="s">
        <v>837</v>
      </c>
      <c r="N2059" t="s">
        <v>284</v>
      </c>
      <c r="O2059" t="s">
        <v>285</v>
      </c>
      <c r="P2059" t="s">
        <v>286</v>
      </c>
      <c r="R2059" t="s">
        <v>287</v>
      </c>
      <c r="T2059">
        <v>79903</v>
      </c>
      <c r="U2059" t="s">
        <v>287</v>
      </c>
      <c r="V2059" t="s">
        <v>288</v>
      </c>
      <c r="W2059" t="s">
        <v>289</v>
      </c>
      <c r="X2059" t="s">
        <v>290</v>
      </c>
      <c r="Y2059" t="s">
        <v>104</v>
      </c>
    </row>
    <row r="2060" spans="1:25">
      <c r="A2060">
        <v>10176</v>
      </c>
      <c r="B2060">
        <v>29</v>
      </c>
      <c r="C2060">
        <v>100</v>
      </c>
      <c r="D2060">
        <v>7</v>
      </c>
      <c r="E2060">
        <v>2915.66</v>
      </c>
      <c r="F2060" s="4">
        <v>37783</v>
      </c>
      <c r="G2060" t="s">
        <v>93</v>
      </c>
      <c r="H2060">
        <v>4</v>
      </c>
      <c r="I2060">
        <v>11</v>
      </c>
      <c r="J2060">
        <v>2003</v>
      </c>
      <c r="K2060" t="s">
        <v>265</v>
      </c>
      <c r="L2060">
        <v>118</v>
      </c>
      <c r="M2060" t="s">
        <v>837</v>
      </c>
      <c r="N2060" t="s">
        <v>576</v>
      </c>
      <c r="O2060" t="s">
        <v>577</v>
      </c>
      <c r="P2060" t="s">
        <v>578</v>
      </c>
      <c r="R2060" t="s">
        <v>579</v>
      </c>
      <c r="T2060">
        <v>42100</v>
      </c>
      <c r="U2060" t="s">
        <v>352</v>
      </c>
      <c r="V2060" t="s">
        <v>110</v>
      </c>
      <c r="W2060" t="s">
        <v>580</v>
      </c>
      <c r="X2060" t="s">
        <v>581</v>
      </c>
      <c r="Y2060" t="s">
        <v>104</v>
      </c>
    </row>
    <row r="2061" spans="1:25">
      <c r="A2061">
        <v>10184</v>
      </c>
      <c r="B2061">
        <v>49</v>
      </c>
      <c r="C2061">
        <v>100</v>
      </c>
      <c r="D2061">
        <v>2</v>
      </c>
      <c r="E2061">
        <v>5795.72</v>
      </c>
      <c r="F2061" t="s">
        <v>451</v>
      </c>
      <c r="G2061" t="s">
        <v>93</v>
      </c>
      <c r="H2061">
        <v>4</v>
      </c>
      <c r="I2061">
        <v>11</v>
      </c>
      <c r="J2061">
        <v>2003</v>
      </c>
      <c r="K2061" t="s">
        <v>265</v>
      </c>
      <c r="L2061">
        <v>118</v>
      </c>
      <c r="M2061" t="s">
        <v>837</v>
      </c>
      <c r="N2061" t="s">
        <v>662</v>
      </c>
      <c r="O2061" t="s">
        <v>663</v>
      </c>
      <c r="P2061" t="s">
        <v>664</v>
      </c>
      <c r="R2061" t="s">
        <v>665</v>
      </c>
      <c r="T2061">
        <v>41101</v>
      </c>
      <c r="U2061" t="s">
        <v>261</v>
      </c>
      <c r="V2061" t="s">
        <v>110</v>
      </c>
      <c r="W2061" t="s">
        <v>666</v>
      </c>
      <c r="X2061" t="s">
        <v>667</v>
      </c>
      <c r="Y2061" t="s">
        <v>119</v>
      </c>
    </row>
    <row r="2062" spans="1:25">
      <c r="A2062">
        <v>10195</v>
      </c>
      <c r="B2062">
        <v>34</v>
      </c>
      <c r="C2062">
        <v>100</v>
      </c>
      <c r="D2062">
        <v>2</v>
      </c>
      <c r="E2062">
        <v>3699.88</v>
      </c>
      <c r="F2062" t="s">
        <v>309</v>
      </c>
      <c r="G2062" t="s">
        <v>93</v>
      </c>
      <c r="H2062">
        <v>4</v>
      </c>
      <c r="I2062">
        <v>11</v>
      </c>
      <c r="J2062">
        <v>2003</v>
      </c>
      <c r="K2062" t="s">
        <v>265</v>
      </c>
      <c r="L2062">
        <v>118</v>
      </c>
      <c r="M2062" t="s">
        <v>837</v>
      </c>
      <c r="N2062" t="s">
        <v>419</v>
      </c>
      <c r="O2062">
        <v>9145554562</v>
      </c>
      <c r="P2062" t="s">
        <v>420</v>
      </c>
      <c r="R2062" t="s">
        <v>421</v>
      </c>
      <c r="S2062" t="s">
        <v>99</v>
      </c>
      <c r="T2062">
        <v>24067</v>
      </c>
      <c r="U2062" t="s">
        <v>100</v>
      </c>
      <c r="V2062" t="s">
        <v>101</v>
      </c>
      <c r="W2062" t="s">
        <v>175</v>
      </c>
      <c r="X2062" t="s">
        <v>329</v>
      </c>
      <c r="Y2062" t="s">
        <v>119</v>
      </c>
    </row>
    <row r="2063" spans="1:25">
      <c r="A2063">
        <v>10207</v>
      </c>
      <c r="B2063">
        <v>28</v>
      </c>
      <c r="C2063">
        <v>100</v>
      </c>
      <c r="D2063">
        <v>3</v>
      </c>
      <c r="E2063">
        <v>2980.6</v>
      </c>
      <c r="F2063" s="4">
        <v>37876</v>
      </c>
      <c r="G2063" t="s">
        <v>93</v>
      </c>
      <c r="H2063">
        <v>4</v>
      </c>
      <c r="I2063">
        <v>12</v>
      </c>
      <c r="J2063">
        <v>2003</v>
      </c>
      <c r="K2063" t="s">
        <v>265</v>
      </c>
      <c r="L2063">
        <v>118</v>
      </c>
      <c r="M2063" t="s">
        <v>837</v>
      </c>
      <c r="N2063" t="s">
        <v>533</v>
      </c>
      <c r="O2063">
        <v>6175552555</v>
      </c>
      <c r="P2063" t="s">
        <v>534</v>
      </c>
      <c r="R2063" t="s">
        <v>492</v>
      </c>
      <c r="S2063" t="s">
        <v>200</v>
      </c>
      <c r="T2063">
        <v>51003</v>
      </c>
      <c r="U2063" t="s">
        <v>100</v>
      </c>
      <c r="V2063" t="s">
        <v>101</v>
      </c>
      <c r="W2063" t="s">
        <v>535</v>
      </c>
      <c r="X2063" t="s">
        <v>371</v>
      </c>
      <c r="Y2063" t="s">
        <v>104</v>
      </c>
    </row>
    <row r="2064" spans="1:25">
      <c r="A2064">
        <v>10220</v>
      </c>
      <c r="B2064">
        <v>37</v>
      </c>
      <c r="C2064">
        <v>100</v>
      </c>
      <c r="D2064">
        <v>7</v>
      </c>
      <c r="E2064">
        <v>5032.74</v>
      </c>
      <c r="F2064" s="4">
        <v>38323</v>
      </c>
      <c r="G2064" t="s">
        <v>93</v>
      </c>
      <c r="H2064">
        <v>1</v>
      </c>
      <c r="I2064">
        <v>2</v>
      </c>
      <c r="J2064">
        <v>2004</v>
      </c>
      <c r="K2064" t="s">
        <v>265</v>
      </c>
      <c r="L2064">
        <v>118</v>
      </c>
      <c r="M2064" t="s">
        <v>837</v>
      </c>
      <c r="N2064" t="s">
        <v>609</v>
      </c>
      <c r="O2064" t="s">
        <v>610</v>
      </c>
      <c r="P2064" t="s">
        <v>611</v>
      </c>
      <c r="Q2064" t="s">
        <v>612</v>
      </c>
      <c r="R2064" t="s">
        <v>613</v>
      </c>
      <c r="T2064">
        <v>2</v>
      </c>
      <c r="U2064" t="s">
        <v>614</v>
      </c>
      <c r="V2064" t="s">
        <v>110</v>
      </c>
      <c r="W2064" t="s">
        <v>615</v>
      </c>
      <c r="X2064" t="s">
        <v>616</v>
      </c>
      <c r="Y2064" t="s">
        <v>119</v>
      </c>
    </row>
    <row r="2065" spans="1:25">
      <c r="A2065">
        <v>10230</v>
      </c>
      <c r="B2065">
        <v>45</v>
      </c>
      <c r="C2065">
        <v>100</v>
      </c>
      <c r="D2065">
        <v>5</v>
      </c>
      <c r="E2065">
        <v>4737.1499999999996</v>
      </c>
      <c r="F2065" t="s">
        <v>650</v>
      </c>
      <c r="G2065" t="s">
        <v>93</v>
      </c>
      <c r="H2065">
        <v>1</v>
      </c>
      <c r="I2065">
        <v>3</v>
      </c>
      <c r="J2065">
        <v>2004</v>
      </c>
      <c r="K2065" t="s">
        <v>265</v>
      </c>
      <c r="L2065">
        <v>118</v>
      </c>
      <c r="M2065" t="s">
        <v>837</v>
      </c>
      <c r="N2065" t="s">
        <v>587</v>
      </c>
      <c r="O2065" t="s">
        <v>588</v>
      </c>
      <c r="P2065" t="s">
        <v>589</v>
      </c>
      <c r="R2065" t="s">
        <v>590</v>
      </c>
      <c r="T2065">
        <v>60528</v>
      </c>
      <c r="U2065" t="s">
        <v>566</v>
      </c>
      <c r="V2065" t="s">
        <v>110</v>
      </c>
      <c r="W2065" t="s">
        <v>591</v>
      </c>
      <c r="X2065" t="s">
        <v>532</v>
      </c>
      <c r="Y2065" t="s">
        <v>119</v>
      </c>
    </row>
    <row r="2066" spans="1:25">
      <c r="A2066">
        <v>10246</v>
      </c>
      <c r="B2066">
        <v>46</v>
      </c>
      <c r="C2066">
        <v>100</v>
      </c>
      <c r="D2066">
        <v>1</v>
      </c>
      <c r="E2066">
        <v>6311.2</v>
      </c>
      <c r="F2066" s="4">
        <v>38112</v>
      </c>
      <c r="G2066" t="s">
        <v>93</v>
      </c>
      <c r="H2066">
        <v>2</v>
      </c>
      <c r="I2066">
        <v>5</v>
      </c>
      <c r="J2066">
        <v>2004</v>
      </c>
      <c r="K2066" t="s">
        <v>265</v>
      </c>
      <c r="L2066">
        <v>118</v>
      </c>
      <c r="M2066" t="s">
        <v>837</v>
      </c>
      <c r="N2066" t="s">
        <v>257</v>
      </c>
      <c r="O2066" t="s">
        <v>258</v>
      </c>
      <c r="P2066" t="s">
        <v>259</v>
      </c>
      <c r="R2066" t="s">
        <v>260</v>
      </c>
      <c r="T2066">
        <v>28034</v>
      </c>
      <c r="U2066" t="s">
        <v>261</v>
      </c>
      <c r="V2066" t="s">
        <v>110</v>
      </c>
      <c r="W2066" t="s">
        <v>262</v>
      </c>
      <c r="X2066" t="s">
        <v>263</v>
      </c>
      <c r="Y2066" t="s">
        <v>119</v>
      </c>
    </row>
    <row r="2067" spans="1:25">
      <c r="A2067">
        <v>10271</v>
      </c>
      <c r="B2067">
        <v>22</v>
      </c>
      <c r="C2067">
        <v>100</v>
      </c>
      <c r="D2067">
        <v>1</v>
      </c>
      <c r="E2067">
        <v>3070.54</v>
      </c>
      <c r="F2067" t="s">
        <v>623</v>
      </c>
      <c r="G2067" t="s">
        <v>93</v>
      </c>
      <c r="H2067">
        <v>3</v>
      </c>
      <c r="I2067">
        <v>7</v>
      </c>
      <c r="J2067">
        <v>2004</v>
      </c>
      <c r="K2067" t="s">
        <v>265</v>
      </c>
      <c r="L2067">
        <v>118</v>
      </c>
      <c r="M2067" t="s">
        <v>837</v>
      </c>
      <c r="N2067" t="s">
        <v>367</v>
      </c>
      <c r="O2067">
        <v>4155551450</v>
      </c>
      <c r="P2067" t="s">
        <v>368</v>
      </c>
      <c r="R2067" t="s">
        <v>369</v>
      </c>
      <c r="S2067" t="s">
        <v>124</v>
      </c>
      <c r="T2067">
        <v>97562</v>
      </c>
      <c r="U2067" t="s">
        <v>100</v>
      </c>
      <c r="V2067" t="s">
        <v>101</v>
      </c>
      <c r="W2067" t="s">
        <v>370</v>
      </c>
      <c r="X2067" t="s">
        <v>371</v>
      </c>
      <c r="Y2067" t="s">
        <v>119</v>
      </c>
    </row>
    <row r="2068" spans="1:25">
      <c r="A2068">
        <v>10282</v>
      </c>
      <c r="B2068">
        <v>39</v>
      </c>
      <c r="C2068">
        <v>100</v>
      </c>
      <c r="D2068">
        <v>10</v>
      </c>
      <c r="E2068">
        <v>4797.3900000000003</v>
      </c>
      <c r="F2068" t="s">
        <v>483</v>
      </c>
      <c r="G2068" t="s">
        <v>93</v>
      </c>
      <c r="H2068">
        <v>3</v>
      </c>
      <c r="I2068">
        <v>8</v>
      </c>
      <c r="J2068">
        <v>2004</v>
      </c>
      <c r="K2068" t="s">
        <v>265</v>
      </c>
      <c r="L2068">
        <v>118</v>
      </c>
      <c r="M2068" t="s">
        <v>837</v>
      </c>
      <c r="N2068" t="s">
        <v>367</v>
      </c>
      <c r="O2068">
        <v>4155551450</v>
      </c>
      <c r="P2068" t="s">
        <v>368</v>
      </c>
      <c r="R2068" t="s">
        <v>369</v>
      </c>
      <c r="S2068" t="s">
        <v>124</v>
      </c>
      <c r="T2068">
        <v>97562</v>
      </c>
      <c r="U2068" t="s">
        <v>100</v>
      </c>
      <c r="V2068" t="s">
        <v>101</v>
      </c>
      <c r="W2068" t="s">
        <v>370</v>
      </c>
      <c r="X2068" t="s">
        <v>371</v>
      </c>
      <c r="Y2068" t="s">
        <v>119</v>
      </c>
    </row>
    <row r="2069" spans="1:25">
      <c r="A2069">
        <v>10292</v>
      </c>
      <c r="B2069">
        <v>27</v>
      </c>
      <c r="C2069">
        <v>100</v>
      </c>
      <c r="D2069">
        <v>4</v>
      </c>
      <c r="E2069">
        <v>3832.38</v>
      </c>
      <c r="F2069" s="4">
        <v>38208</v>
      </c>
      <c r="G2069" t="s">
        <v>93</v>
      </c>
      <c r="H2069">
        <v>3</v>
      </c>
      <c r="I2069">
        <v>9</v>
      </c>
      <c r="J2069">
        <v>2004</v>
      </c>
      <c r="K2069" t="s">
        <v>265</v>
      </c>
      <c r="L2069">
        <v>118</v>
      </c>
      <c r="M2069" t="s">
        <v>837</v>
      </c>
      <c r="N2069" t="s">
        <v>96</v>
      </c>
      <c r="O2069">
        <v>2125557818</v>
      </c>
      <c r="P2069" t="s">
        <v>97</v>
      </c>
      <c r="R2069" t="s">
        <v>98</v>
      </c>
      <c r="S2069" t="s">
        <v>99</v>
      </c>
      <c r="T2069">
        <v>10022</v>
      </c>
      <c r="U2069" t="s">
        <v>100</v>
      </c>
      <c r="V2069" t="s">
        <v>101</v>
      </c>
      <c r="W2069" t="s">
        <v>102</v>
      </c>
      <c r="X2069" t="s">
        <v>103</v>
      </c>
      <c r="Y2069" t="s">
        <v>119</v>
      </c>
    </row>
    <row r="2070" spans="1:25">
      <c r="A2070">
        <v>10305</v>
      </c>
      <c r="B2070">
        <v>36</v>
      </c>
      <c r="C2070">
        <v>100</v>
      </c>
      <c r="D2070">
        <v>1</v>
      </c>
      <c r="E2070">
        <v>4641.4799999999996</v>
      </c>
      <c r="F2070" t="s">
        <v>543</v>
      </c>
      <c r="G2070" t="s">
        <v>93</v>
      </c>
      <c r="H2070">
        <v>4</v>
      </c>
      <c r="I2070">
        <v>10</v>
      </c>
      <c r="J2070">
        <v>2004</v>
      </c>
      <c r="K2070" t="s">
        <v>265</v>
      </c>
      <c r="L2070">
        <v>118</v>
      </c>
      <c r="M2070" t="s">
        <v>837</v>
      </c>
      <c r="N2070" t="s">
        <v>197</v>
      </c>
      <c r="O2070">
        <v>6175558555</v>
      </c>
      <c r="P2070" t="s">
        <v>198</v>
      </c>
      <c r="R2070" t="s">
        <v>199</v>
      </c>
      <c r="S2070" t="s">
        <v>200</v>
      </c>
      <c r="T2070">
        <v>51247</v>
      </c>
      <c r="U2070" t="s">
        <v>100</v>
      </c>
      <c r="V2070" t="s">
        <v>101</v>
      </c>
      <c r="W2070" t="s">
        <v>201</v>
      </c>
      <c r="X2070" t="s">
        <v>202</v>
      </c>
      <c r="Y2070" t="s">
        <v>119</v>
      </c>
    </row>
    <row r="2071" spans="1:25">
      <c r="A2071">
        <v>10314</v>
      </c>
      <c r="B2071">
        <v>38</v>
      </c>
      <c r="C2071">
        <v>100</v>
      </c>
      <c r="D2071">
        <v>10</v>
      </c>
      <c r="E2071">
        <v>4000.26</v>
      </c>
      <c r="F2071" t="s">
        <v>544</v>
      </c>
      <c r="G2071" t="s">
        <v>93</v>
      </c>
      <c r="H2071">
        <v>4</v>
      </c>
      <c r="I2071">
        <v>10</v>
      </c>
      <c r="J2071">
        <v>2004</v>
      </c>
      <c r="K2071" t="s">
        <v>265</v>
      </c>
      <c r="L2071">
        <v>118</v>
      </c>
      <c r="M2071" t="s">
        <v>837</v>
      </c>
      <c r="N2071" t="s">
        <v>630</v>
      </c>
      <c r="O2071" t="s">
        <v>631</v>
      </c>
      <c r="P2071" t="s">
        <v>632</v>
      </c>
      <c r="R2071" t="s">
        <v>633</v>
      </c>
      <c r="T2071">
        <v>8200</v>
      </c>
      <c r="U2071" t="s">
        <v>429</v>
      </c>
      <c r="V2071" t="s">
        <v>110</v>
      </c>
      <c r="W2071" t="s">
        <v>634</v>
      </c>
      <c r="X2071" t="s">
        <v>635</v>
      </c>
      <c r="Y2071" t="s">
        <v>119</v>
      </c>
    </row>
    <row r="2072" spans="1:25">
      <c r="A2072">
        <v>10325</v>
      </c>
      <c r="B2072">
        <v>44</v>
      </c>
      <c r="C2072">
        <v>100</v>
      </c>
      <c r="D2072">
        <v>5</v>
      </c>
      <c r="E2072">
        <v>5325.76</v>
      </c>
      <c r="F2072" s="4">
        <v>38118</v>
      </c>
      <c r="G2072" t="s">
        <v>93</v>
      </c>
      <c r="H2072">
        <v>4</v>
      </c>
      <c r="I2072">
        <v>11</v>
      </c>
      <c r="J2072">
        <v>2004</v>
      </c>
      <c r="K2072" t="s">
        <v>265</v>
      </c>
      <c r="L2072">
        <v>118</v>
      </c>
      <c r="M2072" t="s">
        <v>837</v>
      </c>
      <c r="N2072" t="s">
        <v>212</v>
      </c>
      <c r="O2072" t="s">
        <v>213</v>
      </c>
      <c r="P2072" t="s">
        <v>214</v>
      </c>
      <c r="R2072" t="s">
        <v>215</v>
      </c>
      <c r="T2072">
        <v>4110</v>
      </c>
      <c r="U2072" t="s">
        <v>149</v>
      </c>
      <c r="V2072" t="s">
        <v>110</v>
      </c>
      <c r="W2072" t="s">
        <v>216</v>
      </c>
      <c r="X2072" t="s">
        <v>217</v>
      </c>
      <c r="Y2072" t="s">
        <v>119</v>
      </c>
    </row>
    <row r="2073" spans="1:25">
      <c r="A2073">
        <v>10336</v>
      </c>
      <c r="B2073">
        <v>31</v>
      </c>
      <c r="C2073">
        <v>100</v>
      </c>
      <c r="D2073">
        <v>5</v>
      </c>
      <c r="E2073">
        <v>4618.6899999999996</v>
      </c>
      <c r="F2073" t="s">
        <v>636</v>
      </c>
      <c r="G2073" t="s">
        <v>93</v>
      </c>
      <c r="H2073">
        <v>4</v>
      </c>
      <c r="I2073">
        <v>11</v>
      </c>
      <c r="J2073">
        <v>2004</v>
      </c>
      <c r="K2073" t="s">
        <v>265</v>
      </c>
      <c r="L2073">
        <v>118</v>
      </c>
      <c r="M2073" t="s">
        <v>837</v>
      </c>
      <c r="N2073" t="s">
        <v>520</v>
      </c>
      <c r="O2073" t="s">
        <v>521</v>
      </c>
      <c r="P2073" t="s">
        <v>522</v>
      </c>
      <c r="R2073" t="s">
        <v>116</v>
      </c>
      <c r="T2073">
        <v>75012</v>
      </c>
      <c r="U2073" t="s">
        <v>109</v>
      </c>
      <c r="V2073" t="s">
        <v>110</v>
      </c>
      <c r="W2073" t="s">
        <v>523</v>
      </c>
      <c r="X2073" t="s">
        <v>524</v>
      </c>
      <c r="Y2073" t="s">
        <v>119</v>
      </c>
    </row>
    <row r="2074" spans="1:25">
      <c r="A2074">
        <v>10349</v>
      </c>
      <c r="B2074">
        <v>23</v>
      </c>
      <c r="C2074">
        <v>100</v>
      </c>
      <c r="D2074">
        <v>2</v>
      </c>
      <c r="E2074">
        <v>3182.97</v>
      </c>
      <c r="F2074" s="4">
        <v>37998</v>
      </c>
      <c r="G2074" t="s">
        <v>93</v>
      </c>
      <c r="H2074">
        <v>4</v>
      </c>
      <c r="I2074">
        <v>12</v>
      </c>
      <c r="J2074">
        <v>2004</v>
      </c>
      <c r="K2074" t="s">
        <v>265</v>
      </c>
      <c r="L2074">
        <v>118</v>
      </c>
      <c r="M2074" t="s">
        <v>837</v>
      </c>
      <c r="N2074" t="s">
        <v>603</v>
      </c>
      <c r="O2074">
        <v>2125557413</v>
      </c>
      <c r="P2074" t="s">
        <v>604</v>
      </c>
      <c r="Q2074" t="s">
        <v>605</v>
      </c>
      <c r="R2074" t="s">
        <v>98</v>
      </c>
      <c r="S2074" t="s">
        <v>99</v>
      </c>
      <c r="T2074">
        <v>10022</v>
      </c>
      <c r="U2074" t="s">
        <v>100</v>
      </c>
      <c r="V2074" t="s">
        <v>101</v>
      </c>
      <c r="W2074" t="s">
        <v>125</v>
      </c>
      <c r="X2074" t="s">
        <v>606</v>
      </c>
      <c r="Y2074" t="s">
        <v>119</v>
      </c>
    </row>
    <row r="2075" spans="1:25">
      <c r="A2075">
        <v>10359</v>
      </c>
      <c r="B2075">
        <v>22</v>
      </c>
      <c r="C2075">
        <v>100</v>
      </c>
      <c r="D2075">
        <v>7</v>
      </c>
      <c r="E2075">
        <v>2603.04</v>
      </c>
      <c r="F2075" t="s">
        <v>504</v>
      </c>
      <c r="G2075" t="s">
        <v>93</v>
      </c>
      <c r="H2075">
        <v>4</v>
      </c>
      <c r="I2075">
        <v>12</v>
      </c>
      <c r="J2075">
        <v>2004</v>
      </c>
      <c r="K2075" t="s">
        <v>265</v>
      </c>
      <c r="L2075">
        <v>118</v>
      </c>
      <c r="M2075" t="s">
        <v>837</v>
      </c>
      <c r="N2075" t="s">
        <v>105</v>
      </c>
      <c r="O2075" t="s">
        <v>106</v>
      </c>
      <c r="P2075" t="s">
        <v>107</v>
      </c>
      <c r="R2075" t="s">
        <v>108</v>
      </c>
      <c r="T2075">
        <v>51100</v>
      </c>
      <c r="U2075" t="s">
        <v>109</v>
      </c>
      <c r="V2075" t="s">
        <v>110</v>
      </c>
      <c r="W2075" t="s">
        <v>111</v>
      </c>
      <c r="X2075" t="s">
        <v>112</v>
      </c>
      <c r="Y2075" t="s">
        <v>104</v>
      </c>
    </row>
    <row r="2076" spans="1:25">
      <c r="A2076">
        <v>10371</v>
      </c>
      <c r="B2076">
        <v>28</v>
      </c>
      <c r="C2076">
        <v>50.32</v>
      </c>
      <c r="D2076">
        <v>9</v>
      </c>
      <c r="E2076">
        <v>1408.96</v>
      </c>
      <c r="F2076" t="s">
        <v>637</v>
      </c>
      <c r="G2076" t="s">
        <v>93</v>
      </c>
      <c r="H2076">
        <v>1</v>
      </c>
      <c r="I2076">
        <v>1</v>
      </c>
      <c r="J2076">
        <v>2005</v>
      </c>
      <c r="K2076" t="s">
        <v>265</v>
      </c>
      <c r="L2076">
        <v>118</v>
      </c>
      <c r="M2076" t="s">
        <v>837</v>
      </c>
      <c r="N2076" t="s">
        <v>367</v>
      </c>
      <c r="O2076">
        <v>4155551450</v>
      </c>
      <c r="P2076" t="s">
        <v>368</v>
      </c>
      <c r="R2076" t="s">
        <v>369</v>
      </c>
      <c r="S2076" t="s">
        <v>124</v>
      </c>
      <c r="T2076">
        <v>97562</v>
      </c>
      <c r="U2076" t="s">
        <v>100</v>
      </c>
      <c r="V2076" t="s">
        <v>101</v>
      </c>
      <c r="W2076" t="s">
        <v>370</v>
      </c>
      <c r="X2076" t="s">
        <v>371</v>
      </c>
      <c r="Y2076" t="s">
        <v>104</v>
      </c>
    </row>
    <row r="2077" spans="1:25">
      <c r="A2077">
        <v>10383</v>
      </c>
      <c r="B2077">
        <v>21</v>
      </c>
      <c r="C2077">
        <v>93.91</v>
      </c>
      <c r="D2077">
        <v>4</v>
      </c>
      <c r="E2077">
        <v>1972.11</v>
      </c>
      <c r="F2077" t="s">
        <v>760</v>
      </c>
      <c r="G2077" t="s">
        <v>93</v>
      </c>
      <c r="H2077">
        <v>1</v>
      </c>
      <c r="I2077">
        <v>2</v>
      </c>
      <c r="J2077">
        <v>2005</v>
      </c>
      <c r="K2077" t="s">
        <v>265</v>
      </c>
      <c r="L2077">
        <v>118</v>
      </c>
      <c r="M2077" t="s">
        <v>837</v>
      </c>
      <c r="N2077" t="s">
        <v>257</v>
      </c>
      <c r="O2077" t="s">
        <v>258</v>
      </c>
      <c r="P2077" t="s">
        <v>259</v>
      </c>
      <c r="R2077" t="s">
        <v>260</v>
      </c>
      <c r="T2077">
        <v>28034</v>
      </c>
      <c r="U2077" t="s">
        <v>261</v>
      </c>
      <c r="V2077" t="s">
        <v>110</v>
      </c>
      <c r="W2077" t="s">
        <v>262</v>
      </c>
      <c r="X2077" t="s">
        <v>263</v>
      </c>
      <c r="Y2077" t="s">
        <v>104</v>
      </c>
    </row>
    <row r="2078" spans="1:25">
      <c r="A2078">
        <v>10394</v>
      </c>
      <c r="B2078">
        <v>37</v>
      </c>
      <c r="C2078">
        <v>100</v>
      </c>
      <c r="D2078">
        <v>7</v>
      </c>
      <c r="E2078">
        <v>5207.75</v>
      </c>
      <c r="F2078" t="s">
        <v>784</v>
      </c>
      <c r="G2078" t="s">
        <v>93</v>
      </c>
      <c r="H2078">
        <v>1</v>
      </c>
      <c r="I2078">
        <v>3</v>
      </c>
      <c r="J2078">
        <v>2005</v>
      </c>
      <c r="K2078" t="s">
        <v>265</v>
      </c>
      <c r="L2078">
        <v>118</v>
      </c>
      <c r="M2078" t="s">
        <v>837</v>
      </c>
      <c r="N2078" t="s">
        <v>257</v>
      </c>
      <c r="O2078" t="s">
        <v>258</v>
      </c>
      <c r="P2078" t="s">
        <v>259</v>
      </c>
      <c r="R2078" t="s">
        <v>260</v>
      </c>
      <c r="T2078">
        <v>28034</v>
      </c>
      <c r="U2078" t="s">
        <v>261</v>
      </c>
      <c r="V2078" t="s">
        <v>110</v>
      </c>
      <c r="W2078" t="s">
        <v>262</v>
      </c>
      <c r="X2078" t="s">
        <v>263</v>
      </c>
      <c r="Y2078" t="s">
        <v>119</v>
      </c>
    </row>
    <row r="2079" spans="1:25">
      <c r="A2079">
        <v>10412</v>
      </c>
      <c r="B2079">
        <v>31</v>
      </c>
      <c r="C2079">
        <v>100</v>
      </c>
      <c r="D2079">
        <v>1</v>
      </c>
      <c r="E2079">
        <v>4253.2</v>
      </c>
      <c r="F2079" s="4">
        <v>38416</v>
      </c>
      <c r="G2079" t="s">
        <v>93</v>
      </c>
      <c r="H2079">
        <v>2</v>
      </c>
      <c r="I2079">
        <v>5</v>
      </c>
      <c r="J2079">
        <v>2005</v>
      </c>
      <c r="K2079" t="s">
        <v>265</v>
      </c>
      <c r="L2079">
        <v>118</v>
      </c>
      <c r="M2079" t="s">
        <v>837</v>
      </c>
      <c r="N2079" t="s">
        <v>257</v>
      </c>
      <c r="O2079" t="s">
        <v>258</v>
      </c>
      <c r="P2079" t="s">
        <v>259</v>
      </c>
      <c r="R2079" t="s">
        <v>260</v>
      </c>
      <c r="T2079">
        <v>28034</v>
      </c>
      <c r="U2079" t="s">
        <v>261</v>
      </c>
      <c r="V2079" t="s">
        <v>110</v>
      </c>
      <c r="W2079" t="s">
        <v>262</v>
      </c>
      <c r="X2079" t="s">
        <v>263</v>
      </c>
      <c r="Y2079" t="s">
        <v>119</v>
      </c>
    </row>
    <row r="2080" spans="1:25">
      <c r="A2080">
        <v>10103</v>
      </c>
      <c r="B2080">
        <v>25</v>
      </c>
      <c r="C2080">
        <v>100</v>
      </c>
      <c r="D2080">
        <v>15</v>
      </c>
      <c r="E2080">
        <v>2873</v>
      </c>
      <c r="F2080" t="s">
        <v>264</v>
      </c>
      <c r="G2080" t="s">
        <v>93</v>
      </c>
      <c r="H2080">
        <v>1</v>
      </c>
      <c r="I2080">
        <v>1</v>
      </c>
      <c r="J2080">
        <v>2003</v>
      </c>
      <c r="K2080" t="s">
        <v>697</v>
      </c>
      <c r="L2080">
        <v>97</v>
      </c>
      <c r="M2080" t="s">
        <v>838</v>
      </c>
      <c r="N2080" t="s">
        <v>212</v>
      </c>
      <c r="O2080" t="s">
        <v>213</v>
      </c>
      <c r="P2080" t="s">
        <v>214</v>
      </c>
      <c r="R2080" t="s">
        <v>215</v>
      </c>
      <c r="T2080">
        <v>4110</v>
      </c>
      <c r="U2080" t="s">
        <v>149</v>
      </c>
      <c r="V2080" t="s">
        <v>110</v>
      </c>
      <c r="W2080" t="s">
        <v>216</v>
      </c>
      <c r="X2080" t="s">
        <v>217</v>
      </c>
      <c r="Y2080" t="s">
        <v>104</v>
      </c>
    </row>
    <row r="2081" spans="1:25">
      <c r="A2081">
        <v>10111</v>
      </c>
      <c r="B2081">
        <v>26</v>
      </c>
      <c r="C2081">
        <v>86.68</v>
      </c>
      <c r="D2081">
        <v>3</v>
      </c>
      <c r="E2081">
        <v>2253.6799999999998</v>
      </c>
      <c r="F2081" t="s">
        <v>699</v>
      </c>
      <c r="G2081" t="s">
        <v>93</v>
      </c>
      <c r="H2081">
        <v>1</v>
      </c>
      <c r="I2081">
        <v>3</v>
      </c>
      <c r="J2081">
        <v>2003</v>
      </c>
      <c r="K2081" t="s">
        <v>697</v>
      </c>
      <c r="L2081">
        <v>97</v>
      </c>
      <c r="M2081" t="s">
        <v>838</v>
      </c>
      <c r="N2081" t="s">
        <v>152</v>
      </c>
      <c r="O2081">
        <v>6505555787</v>
      </c>
      <c r="P2081" t="s">
        <v>153</v>
      </c>
      <c r="R2081" t="s">
        <v>129</v>
      </c>
      <c r="S2081" t="s">
        <v>124</v>
      </c>
      <c r="U2081" t="s">
        <v>100</v>
      </c>
      <c r="V2081" t="s">
        <v>101</v>
      </c>
      <c r="W2081" t="s">
        <v>154</v>
      </c>
      <c r="X2081" t="s">
        <v>126</v>
      </c>
      <c r="Y2081" t="s">
        <v>104</v>
      </c>
    </row>
    <row r="2082" spans="1:25">
      <c r="A2082">
        <v>10126</v>
      </c>
      <c r="B2082">
        <v>34</v>
      </c>
      <c r="C2082">
        <v>100</v>
      </c>
      <c r="D2082">
        <v>15</v>
      </c>
      <c r="E2082">
        <v>3576.12</v>
      </c>
      <c r="F2082" t="s">
        <v>276</v>
      </c>
      <c r="G2082" t="s">
        <v>93</v>
      </c>
      <c r="H2082">
        <v>2</v>
      </c>
      <c r="I2082">
        <v>5</v>
      </c>
      <c r="J2082">
        <v>2003</v>
      </c>
      <c r="K2082" t="s">
        <v>697</v>
      </c>
      <c r="L2082">
        <v>97</v>
      </c>
      <c r="M2082" t="s">
        <v>838</v>
      </c>
      <c r="N2082" t="s">
        <v>277</v>
      </c>
      <c r="O2082" t="s">
        <v>278</v>
      </c>
      <c r="P2082" t="s">
        <v>279</v>
      </c>
      <c r="R2082" t="s">
        <v>260</v>
      </c>
      <c r="T2082">
        <v>28023</v>
      </c>
      <c r="U2082" t="s">
        <v>261</v>
      </c>
      <c r="V2082" t="s">
        <v>110</v>
      </c>
      <c r="W2082" t="s">
        <v>280</v>
      </c>
      <c r="X2082" t="s">
        <v>281</v>
      </c>
      <c r="Y2082" t="s">
        <v>119</v>
      </c>
    </row>
    <row r="2083" spans="1:25">
      <c r="A2083">
        <v>10139</v>
      </c>
      <c r="B2083">
        <v>29</v>
      </c>
      <c r="C2083">
        <v>100</v>
      </c>
      <c r="D2083">
        <v>4</v>
      </c>
      <c r="E2083">
        <v>3276.13</v>
      </c>
      <c r="F2083" t="s">
        <v>701</v>
      </c>
      <c r="G2083" t="s">
        <v>93</v>
      </c>
      <c r="H2083">
        <v>3</v>
      </c>
      <c r="I2083">
        <v>7</v>
      </c>
      <c r="J2083">
        <v>2003</v>
      </c>
      <c r="K2083" t="s">
        <v>697</v>
      </c>
      <c r="L2083">
        <v>97</v>
      </c>
      <c r="M2083" t="s">
        <v>838</v>
      </c>
      <c r="N2083" t="s">
        <v>234</v>
      </c>
      <c r="O2083" t="s">
        <v>235</v>
      </c>
      <c r="P2083" t="s">
        <v>236</v>
      </c>
      <c r="Q2083" t="s">
        <v>237</v>
      </c>
      <c r="R2083" t="s">
        <v>238</v>
      </c>
      <c r="S2083" t="s">
        <v>239</v>
      </c>
      <c r="T2083">
        <v>2067</v>
      </c>
      <c r="U2083" t="s">
        <v>168</v>
      </c>
      <c r="V2083" t="s">
        <v>169</v>
      </c>
      <c r="W2083" t="s">
        <v>240</v>
      </c>
      <c r="X2083" t="s">
        <v>241</v>
      </c>
      <c r="Y2083" t="s">
        <v>119</v>
      </c>
    </row>
    <row r="2084" spans="1:25">
      <c r="A2084">
        <v>10149</v>
      </c>
      <c r="B2084">
        <v>20</v>
      </c>
      <c r="C2084">
        <v>90.57</v>
      </c>
      <c r="D2084">
        <v>1</v>
      </c>
      <c r="E2084">
        <v>1811.4</v>
      </c>
      <c r="F2084" s="4">
        <v>37964</v>
      </c>
      <c r="G2084" t="s">
        <v>93</v>
      </c>
      <c r="H2084">
        <v>3</v>
      </c>
      <c r="I2084">
        <v>9</v>
      </c>
      <c r="J2084">
        <v>2003</v>
      </c>
      <c r="K2084" t="s">
        <v>697</v>
      </c>
      <c r="L2084">
        <v>97</v>
      </c>
      <c r="M2084" t="s">
        <v>838</v>
      </c>
      <c r="N2084" t="s">
        <v>668</v>
      </c>
      <c r="O2084">
        <v>4155554312</v>
      </c>
      <c r="P2084" t="s">
        <v>669</v>
      </c>
      <c r="R2084" t="s">
        <v>670</v>
      </c>
      <c r="S2084" t="s">
        <v>124</v>
      </c>
      <c r="T2084">
        <v>94217</v>
      </c>
      <c r="U2084" t="s">
        <v>100</v>
      </c>
      <c r="V2084" t="s">
        <v>101</v>
      </c>
      <c r="W2084" t="s">
        <v>671</v>
      </c>
      <c r="X2084" t="s">
        <v>517</v>
      </c>
      <c r="Y2084" t="s">
        <v>104</v>
      </c>
    </row>
    <row r="2085" spans="1:25">
      <c r="A2085">
        <v>10163</v>
      </c>
      <c r="B2085">
        <v>42</v>
      </c>
      <c r="C2085">
        <v>91.55</v>
      </c>
      <c r="D2085">
        <v>5</v>
      </c>
      <c r="E2085">
        <v>3845.1</v>
      </c>
      <c r="F2085" t="s">
        <v>291</v>
      </c>
      <c r="G2085" t="s">
        <v>93</v>
      </c>
      <c r="H2085">
        <v>4</v>
      </c>
      <c r="I2085">
        <v>10</v>
      </c>
      <c r="J2085">
        <v>2003</v>
      </c>
      <c r="K2085" t="s">
        <v>697</v>
      </c>
      <c r="L2085">
        <v>97</v>
      </c>
      <c r="M2085" t="s">
        <v>838</v>
      </c>
      <c r="N2085" t="s">
        <v>292</v>
      </c>
      <c r="O2085">
        <v>2125558493</v>
      </c>
      <c r="P2085" t="s">
        <v>293</v>
      </c>
      <c r="Q2085" t="s">
        <v>294</v>
      </c>
      <c r="R2085" t="s">
        <v>98</v>
      </c>
      <c r="S2085" t="s">
        <v>99</v>
      </c>
      <c r="T2085">
        <v>10022</v>
      </c>
      <c r="U2085" t="s">
        <v>100</v>
      </c>
      <c r="V2085" t="s">
        <v>101</v>
      </c>
      <c r="W2085" t="s">
        <v>201</v>
      </c>
      <c r="X2085" t="s">
        <v>295</v>
      </c>
      <c r="Y2085" t="s">
        <v>119</v>
      </c>
    </row>
    <row r="2086" spans="1:25">
      <c r="A2086">
        <v>10173</v>
      </c>
      <c r="B2086">
        <v>22</v>
      </c>
      <c r="C2086">
        <v>100</v>
      </c>
      <c r="D2086">
        <v>3</v>
      </c>
      <c r="E2086">
        <v>2571.14</v>
      </c>
      <c r="F2086" s="4">
        <v>37752</v>
      </c>
      <c r="G2086" t="s">
        <v>93</v>
      </c>
      <c r="H2086">
        <v>4</v>
      </c>
      <c r="I2086">
        <v>11</v>
      </c>
      <c r="J2086">
        <v>2003</v>
      </c>
      <c r="K2086" t="s">
        <v>697</v>
      </c>
      <c r="L2086">
        <v>97</v>
      </c>
      <c r="M2086" t="s">
        <v>838</v>
      </c>
      <c r="N2086" t="s">
        <v>703</v>
      </c>
      <c r="O2086" t="s">
        <v>704</v>
      </c>
      <c r="P2086" t="s">
        <v>705</v>
      </c>
      <c r="R2086" t="s">
        <v>706</v>
      </c>
      <c r="T2086">
        <v>24100</v>
      </c>
      <c r="U2086" t="s">
        <v>352</v>
      </c>
      <c r="V2086" t="s">
        <v>110</v>
      </c>
      <c r="W2086" t="s">
        <v>707</v>
      </c>
      <c r="X2086" t="s">
        <v>708</v>
      </c>
      <c r="Y2086" t="s">
        <v>104</v>
      </c>
    </row>
    <row r="2087" spans="1:25">
      <c r="A2087">
        <v>10183</v>
      </c>
      <c r="B2087">
        <v>47</v>
      </c>
      <c r="C2087">
        <v>100</v>
      </c>
      <c r="D2087">
        <v>12</v>
      </c>
      <c r="E2087">
        <v>5035.1099999999997</v>
      </c>
      <c r="F2087" t="s">
        <v>303</v>
      </c>
      <c r="G2087" t="s">
        <v>93</v>
      </c>
      <c r="H2087">
        <v>4</v>
      </c>
      <c r="I2087">
        <v>11</v>
      </c>
      <c r="J2087">
        <v>2003</v>
      </c>
      <c r="K2087" t="s">
        <v>697</v>
      </c>
      <c r="L2087">
        <v>97</v>
      </c>
      <c r="M2087" t="s">
        <v>838</v>
      </c>
      <c r="N2087" t="s">
        <v>304</v>
      </c>
      <c r="O2087">
        <v>2155554695</v>
      </c>
      <c r="P2087" t="s">
        <v>305</v>
      </c>
      <c r="R2087" t="s">
        <v>306</v>
      </c>
      <c r="S2087" t="s">
        <v>221</v>
      </c>
      <c r="T2087">
        <v>71270</v>
      </c>
      <c r="U2087" t="s">
        <v>100</v>
      </c>
      <c r="V2087" t="s">
        <v>101</v>
      </c>
      <c r="W2087" t="s">
        <v>307</v>
      </c>
      <c r="X2087" t="s">
        <v>308</v>
      </c>
      <c r="Y2087" t="s">
        <v>119</v>
      </c>
    </row>
    <row r="2088" spans="1:25">
      <c r="A2088">
        <v>10193</v>
      </c>
      <c r="B2088">
        <v>20</v>
      </c>
      <c r="C2088">
        <v>100</v>
      </c>
      <c r="D2088">
        <v>4</v>
      </c>
      <c r="E2088">
        <v>2279</v>
      </c>
      <c r="F2088" t="s">
        <v>709</v>
      </c>
      <c r="G2088" t="s">
        <v>93</v>
      </c>
      <c r="H2088">
        <v>4</v>
      </c>
      <c r="I2088">
        <v>11</v>
      </c>
      <c r="J2088">
        <v>2003</v>
      </c>
      <c r="K2088" t="s">
        <v>697</v>
      </c>
      <c r="L2088">
        <v>97</v>
      </c>
      <c r="M2088" t="s">
        <v>838</v>
      </c>
      <c r="N2088" t="s">
        <v>710</v>
      </c>
      <c r="O2088" t="s">
        <v>711</v>
      </c>
      <c r="P2088" t="s">
        <v>712</v>
      </c>
      <c r="R2088" t="s">
        <v>713</v>
      </c>
      <c r="S2088" t="s">
        <v>167</v>
      </c>
      <c r="T2088">
        <v>3150</v>
      </c>
      <c r="U2088" t="s">
        <v>168</v>
      </c>
      <c r="V2088" t="s">
        <v>169</v>
      </c>
      <c r="W2088" t="s">
        <v>714</v>
      </c>
      <c r="X2088" t="s">
        <v>715</v>
      </c>
      <c r="Y2088" t="s">
        <v>104</v>
      </c>
    </row>
    <row r="2089" spans="1:25">
      <c r="A2089">
        <v>10206</v>
      </c>
      <c r="B2089">
        <v>33</v>
      </c>
      <c r="C2089">
        <v>97.39</v>
      </c>
      <c r="D2089">
        <v>10</v>
      </c>
      <c r="E2089">
        <v>3213.87</v>
      </c>
      <c r="F2089" s="4">
        <v>37753</v>
      </c>
      <c r="G2089" t="s">
        <v>93</v>
      </c>
      <c r="H2089">
        <v>4</v>
      </c>
      <c r="I2089">
        <v>12</v>
      </c>
      <c r="J2089">
        <v>2003</v>
      </c>
      <c r="K2089" t="s">
        <v>697</v>
      </c>
      <c r="L2089">
        <v>97</v>
      </c>
      <c r="M2089" t="s">
        <v>838</v>
      </c>
      <c r="N2089" t="s">
        <v>316</v>
      </c>
      <c r="O2089" t="s">
        <v>317</v>
      </c>
      <c r="P2089" t="s">
        <v>318</v>
      </c>
      <c r="R2089" t="s">
        <v>319</v>
      </c>
      <c r="S2089" t="s">
        <v>320</v>
      </c>
      <c r="T2089" t="s">
        <v>321</v>
      </c>
      <c r="U2089" t="s">
        <v>322</v>
      </c>
      <c r="V2089" t="s">
        <v>101</v>
      </c>
      <c r="W2089" t="s">
        <v>323</v>
      </c>
      <c r="X2089" t="s">
        <v>324</v>
      </c>
      <c r="Y2089" t="s">
        <v>119</v>
      </c>
    </row>
    <row r="2090" spans="1:25">
      <c r="A2090">
        <v>10215</v>
      </c>
      <c r="B2090">
        <v>39</v>
      </c>
      <c r="C2090">
        <v>90.57</v>
      </c>
      <c r="D2090">
        <v>7</v>
      </c>
      <c r="E2090">
        <v>3532.23</v>
      </c>
      <c r="F2090" t="s">
        <v>325</v>
      </c>
      <c r="G2090" t="s">
        <v>93</v>
      </c>
      <c r="H2090">
        <v>1</v>
      </c>
      <c r="I2090">
        <v>1</v>
      </c>
      <c r="J2090">
        <v>2004</v>
      </c>
      <c r="K2090" t="s">
        <v>697</v>
      </c>
      <c r="L2090">
        <v>97</v>
      </c>
      <c r="M2090" t="s">
        <v>838</v>
      </c>
      <c r="N2090" t="s">
        <v>326</v>
      </c>
      <c r="O2090">
        <v>3105553722</v>
      </c>
      <c r="P2090" t="s">
        <v>327</v>
      </c>
      <c r="R2090" t="s">
        <v>328</v>
      </c>
      <c r="S2090" t="s">
        <v>124</v>
      </c>
      <c r="T2090">
        <v>94019</v>
      </c>
      <c r="U2090" t="s">
        <v>100</v>
      </c>
      <c r="V2090" t="s">
        <v>101</v>
      </c>
      <c r="W2090" t="s">
        <v>6</v>
      </c>
      <c r="X2090" t="s">
        <v>329</v>
      </c>
      <c r="Y2090" t="s">
        <v>119</v>
      </c>
    </row>
    <row r="2091" spans="1:25">
      <c r="A2091">
        <v>10228</v>
      </c>
      <c r="B2091">
        <v>33</v>
      </c>
      <c r="C2091">
        <v>100</v>
      </c>
      <c r="D2091">
        <v>6</v>
      </c>
      <c r="E2091">
        <v>3406.59</v>
      </c>
      <c r="F2091" s="4">
        <v>38263</v>
      </c>
      <c r="G2091" t="s">
        <v>93</v>
      </c>
      <c r="H2091">
        <v>1</v>
      </c>
      <c r="I2091">
        <v>3</v>
      </c>
      <c r="J2091">
        <v>2004</v>
      </c>
      <c r="K2091" t="s">
        <v>697</v>
      </c>
      <c r="L2091">
        <v>97</v>
      </c>
      <c r="M2091" t="s">
        <v>838</v>
      </c>
      <c r="N2091" t="s">
        <v>330</v>
      </c>
      <c r="O2091">
        <v>6175555555</v>
      </c>
      <c r="P2091" t="s">
        <v>331</v>
      </c>
      <c r="R2091" t="s">
        <v>199</v>
      </c>
      <c r="S2091" t="s">
        <v>200</v>
      </c>
      <c r="T2091">
        <v>51247</v>
      </c>
      <c r="U2091" t="s">
        <v>100</v>
      </c>
      <c r="V2091" t="s">
        <v>101</v>
      </c>
      <c r="W2091" t="s">
        <v>332</v>
      </c>
      <c r="X2091" t="s">
        <v>222</v>
      </c>
      <c r="Y2091" t="s">
        <v>119</v>
      </c>
    </row>
    <row r="2092" spans="1:25">
      <c r="A2092">
        <v>10244</v>
      </c>
      <c r="B2092">
        <v>40</v>
      </c>
      <c r="C2092">
        <v>86.68</v>
      </c>
      <c r="D2092">
        <v>4</v>
      </c>
      <c r="E2092">
        <v>3467.2</v>
      </c>
      <c r="F2092" t="s">
        <v>716</v>
      </c>
      <c r="G2092" t="s">
        <v>93</v>
      </c>
      <c r="H2092">
        <v>2</v>
      </c>
      <c r="I2092">
        <v>4</v>
      </c>
      <c r="J2092">
        <v>2004</v>
      </c>
      <c r="K2092" t="s">
        <v>697</v>
      </c>
      <c r="L2092">
        <v>97</v>
      </c>
      <c r="M2092" t="s">
        <v>838</v>
      </c>
      <c r="N2092" t="s">
        <v>257</v>
      </c>
      <c r="O2092" t="s">
        <v>258</v>
      </c>
      <c r="P2092" t="s">
        <v>259</v>
      </c>
      <c r="R2092" t="s">
        <v>260</v>
      </c>
      <c r="T2092">
        <v>28034</v>
      </c>
      <c r="U2092" t="s">
        <v>261</v>
      </c>
      <c r="V2092" t="s">
        <v>110</v>
      </c>
      <c r="W2092" t="s">
        <v>262</v>
      </c>
      <c r="X2092" t="s">
        <v>263</v>
      </c>
      <c r="Y2092" t="s">
        <v>119</v>
      </c>
    </row>
    <row r="2093" spans="1:25">
      <c r="A2093">
        <v>10257</v>
      </c>
      <c r="B2093">
        <v>46</v>
      </c>
      <c r="C2093">
        <v>78.89</v>
      </c>
      <c r="D2093">
        <v>4</v>
      </c>
      <c r="E2093">
        <v>3628.94</v>
      </c>
      <c r="F2093" t="s">
        <v>772</v>
      </c>
      <c r="G2093" t="s">
        <v>93</v>
      </c>
      <c r="H2093">
        <v>2</v>
      </c>
      <c r="I2093">
        <v>6</v>
      </c>
      <c r="J2093">
        <v>2004</v>
      </c>
      <c r="K2093" t="s">
        <v>697</v>
      </c>
      <c r="L2093">
        <v>97</v>
      </c>
      <c r="M2093" t="s">
        <v>838</v>
      </c>
      <c r="N2093" t="s">
        <v>514</v>
      </c>
      <c r="O2093">
        <v>4085553659</v>
      </c>
      <c r="P2093" t="s">
        <v>515</v>
      </c>
      <c r="R2093" t="s">
        <v>516</v>
      </c>
      <c r="S2093" t="s">
        <v>124</v>
      </c>
      <c r="T2093">
        <v>94217</v>
      </c>
      <c r="U2093" t="s">
        <v>100</v>
      </c>
      <c r="V2093" t="s">
        <v>101</v>
      </c>
      <c r="W2093" t="s">
        <v>175</v>
      </c>
      <c r="X2093" t="s">
        <v>517</v>
      </c>
      <c r="Y2093" t="s">
        <v>119</v>
      </c>
    </row>
    <row r="2094" spans="1:25">
      <c r="A2094">
        <v>10269</v>
      </c>
      <c r="B2094">
        <v>48</v>
      </c>
      <c r="C2094">
        <v>97.39</v>
      </c>
      <c r="D2094">
        <v>2</v>
      </c>
      <c r="E2094">
        <v>4674.72</v>
      </c>
      <c r="F2094" t="s">
        <v>774</v>
      </c>
      <c r="G2094" t="s">
        <v>93</v>
      </c>
      <c r="H2094">
        <v>3</v>
      </c>
      <c r="I2094">
        <v>7</v>
      </c>
      <c r="J2094">
        <v>2004</v>
      </c>
      <c r="K2094" t="s">
        <v>697</v>
      </c>
      <c r="L2094">
        <v>97</v>
      </c>
      <c r="M2094" t="s">
        <v>838</v>
      </c>
      <c r="N2094" t="s">
        <v>225</v>
      </c>
      <c r="O2094" t="s">
        <v>226</v>
      </c>
      <c r="P2094" t="s">
        <v>227</v>
      </c>
      <c r="R2094" t="s">
        <v>228</v>
      </c>
      <c r="T2094">
        <v>5020</v>
      </c>
      <c r="U2094" t="s">
        <v>229</v>
      </c>
      <c r="V2094" t="s">
        <v>110</v>
      </c>
      <c r="W2094" t="s">
        <v>230</v>
      </c>
      <c r="X2094" t="s">
        <v>231</v>
      </c>
      <c r="Y2094" t="s">
        <v>119</v>
      </c>
    </row>
    <row r="2095" spans="1:25">
      <c r="A2095">
        <v>10280</v>
      </c>
      <c r="B2095">
        <v>21</v>
      </c>
      <c r="C2095">
        <v>78.89</v>
      </c>
      <c r="D2095">
        <v>6</v>
      </c>
      <c r="E2095">
        <v>1656.69</v>
      </c>
      <c r="F2095" t="s">
        <v>347</v>
      </c>
      <c r="G2095" t="s">
        <v>93</v>
      </c>
      <c r="H2095">
        <v>3</v>
      </c>
      <c r="I2095">
        <v>8</v>
      </c>
      <c r="J2095">
        <v>2004</v>
      </c>
      <c r="K2095" t="s">
        <v>697</v>
      </c>
      <c r="L2095">
        <v>97</v>
      </c>
      <c r="M2095" t="s">
        <v>838</v>
      </c>
      <c r="N2095" t="s">
        <v>348</v>
      </c>
      <c r="O2095" t="s">
        <v>349</v>
      </c>
      <c r="P2095" t="s">
        <v>350</v>
      </c>
      <c r="R2095" t="s">
        <v>351</v>
      </c>
      <c r="T2095">
        <v>10100</v>
      </c>
      <c r="U2095" t="s">
        <v>352</v>
      </c>
      <c r="V2095" t="s">
        <v>110</v>
      </c>
      <c r="W2095" t="s">
        <v>353</v>
      </c>
      <c r="X2095" t="s">
        <v>354</v>
      </c>
      <c r="Y2095" t="s">
        <v>104</v>
      </c>
    </row>
    <row r="2096" spans="1:25">
      <c r="A2096">
        <v>10290</v>
      </c>
      <c r="B2096">
        <v>45</v>
      </c>
      <c r="C2096">
        <v>100</v>
      </c>
      <c r="D2096">
        <v>1</v>
      </c>
      <c r="E2096">
        <v>5171.3999999999996</v>
      </c>
      <c r="F2096" s="4">
        <v>38177</v>
      </c>
      <c r="G2096" t="s">
        <v>93</v>
      </c>
      <c r="H2096">
        <v>3</v>
      </c>
      <c r="I2096">
        <v>9</v>
      </c>
      <c r="J2096">
        <v>2004</v>
      </c>
      <c r="K2096" t="s">
        <v>697</v>
      </c>
      <c r="L2096">
        <v>97</v>
      </c>
      <c r="M2096" t="s">
        <v>838</v>
      </c>
      <c r="N2096" t="s">
        <v>777</v>
      </c>
      <c r="O2096">
        <v>6175558428</v>
      </c>
      <c r="P2096" t="s">
        <v>778</v>
      </c>
      <c r="R2096" t="s">
        <v>381</v>
      </c>
      <c r="S2096" t="s">
        <v>200</v>
      </c>
      <c r="T2096">
        <v>58339</v>
      </c>
      <c r="U2096" t="s">
        <v>100</v>
      </c>
      <c r="V2096" t="s">
        <v>101</v>
      </c>
      <c r="W2096" t="s">
        <v>671</v>
      </c>
      <c r="X2096" t="s">
        <v>336</v>
      </c>
      <c r="Y2096" t="s">
        <v>119</v>
      </c>
    </row>
    <row r="2097" spans="1:25">
      <c r="A2097">
        <v>10304</v>
      </c>
      <c r="B2097">
        <v>33</v>
      </c>
      <c r="C2097">
        <v>100</v>
      </c>
      <c r="D2097">
        <v>10</v>
      </c>
      <c r="E2097">
        <v>3342.57</v>
      </c>
      <c r="F2097" s="4">
        <v>38301</v>
      </c>
      <c r="G2097" t="s">
        <v>93</v>
      </c>
      <c r="H2097">
        <v>4</v>
      </c>
      <c r="I2097">
        <v>10</v>
      </c>
      <c r="J2097">
        <v>2004</v>
      </c>
      <c r="K2097" t="s">
        <v>697</v>
      </c>
      <c r="L2097">
        <v>97</v>
      </c>
      <c r="M2097" t="s">
        <v>838</v>
      </c>
      <c r="N2097" t="s">
        <v>361</v>
      </c>
      <c r="O2097" t="s">
        <v>362</v>
      </c>
      <c r="P2097" t="s">
        <v>363</v>
      </c>
      <c r="R2097" t="s">
        <v>364</v>
      </c>
      <c r="T2097">
        <v>78000</v>
      </c>
      <c r="U2097" t="s">
        <v>109</v>
      </c>
      <c r="V2097" t="s">
        <v>110</v>
      </c>
      <c r="W2097" t="s">
        <v>365</v>
      </c>
      <c r="X2097" t="s">
        <v>118</v>
      </c>
      <c r="Y2097" t="s">
        <v>119</v>
      </c>
    </row>
    <row r="2098" spans="1:25">
      <c r="A2098">
        <v>10312</v>
      </c>
      <c r="B2098">
        <v>44</v>
      </c>
      <c r="C2098">
        <v>100</v>
      </c>
      <c r="D2098">
        <v>7</v>
      </c>
      <c r="E2098">
        <v>4884.88</v>
      </c>
      <c r="F2098" t="s">
        <v>366</v>
      </c>
      <c r="G2098" t="s">
        <v>93</v>
      </c>
      <c r="H2098">
        <v>4</v>
      </c>
      <c r="I2098">
        <v>10</v>
      </c>
      <c r="J2098">
        <v>2004</v>
      </c>
      <c r="K2098" t="s">
        <v>697</v>
      </c>
      <c r="L2098">
        <v>97</v>
      </c>
      <c r="M2098" t="s">
        <v>838</v>
      </c>
      <c r="N2098" t="s">
        <v>367</v>
      </c>
      <c r="O2098">
        <v>4155551450</v>
      </c>
      <c r="P2098" t="s">
        <v>368</v>
      </c>
      <c r="R2098" t="s">
        <v>369</v>
      </c>
      <c r="S2098" t="s">
        <v>124</v>
      </c>
      <c r="T2098">
        <v>97562</v>
      </c>
      <c r="U2098" t="s">
        <v>100</v>
      </c>
      <c r="V2098" t="s">
        <v>101</v>
      </c>
      <c r="W2098" t="s">
        <v>370</v>
      </c>
      <c r="X2098" t="s">
        <v>371</v>
      </c>
      <c r="Y2098" t="s">
        <v>119</v>
      </c>
    </row>
    <row r="2099" spans="1:25">
      <c r="A2099">
        <v>10324</v>
      </c>
      <c r="B2099">
        <v>33</v>
      </c>
      <c r="C2099">
        <v>100</v>
      </c>
      <c r="D2099">
        <v>3</v>
      </c>
      <c r="E2099">
        <v>6267.69</v>
      </c>
      <c r="F2099" s="4">
        <v>38118</v>
      </c>
      <c r="G2099" t="s">
        <v>93</v>
      </c>
      <c r="H2099">
        <v>4</v>
      </c>
      <c r="I2099">
        <v>11</v>
      </c>
      <c r="J2099">
        <v>2004</v>
      </c>
      <c r="K2099" t="s">
        <v>697</v>
      </c>
      <c r="L2099">
        <v>97</v>
      </c>
      <c r="M2099" t="s">
        <v>838</v>
      </c>
      <c r="N2099" t="s">
        <v>172</v>
      </c>
      <c r="O2099">
        <v>2125551500</v>
      </c>
      <c r="P2099" t="s">
        <v>173</v>
      </c>
      <c r="Q2099" t="s">
        <v>174</v>
      </c>
      <c r="R2099" t="s">
        <v>98</v>
      </c>
      <c r="S2099" t="s">
        <v>99</v>
      </c>
      <c r="T2099">
        <v>10022</v>
      </c>
      <c r="U2099" t="s">
        <v>100</v>
      </c>
      <c r="V2099" t="s">
        <v>101</v>
      </c>
      <c r="W2099" t="s">
        <v>175</v>
      </c>
      <c r="X2099" t="s">
        <v>176</v>
      </c>
      <c r="Y2099" t="s">
        <v>119</v>
      </c>
    </row>
    <row r="2100" spans="1:25">
      <c r="A2100">
        <v>10333</v>
      </c>
      <c r="B2100">
        <v>39</v>
      </c>
      <c r="C2100">
        <v>100</v>
      </c>
      <c r="D2100">
        <v>1</v>
      </c>
      <c r="E2100">
        <v>4424.16</v>
      </c>
      <c r="F2100" t="s">
        <v>376</v>
      </c>
      <c r="G2100" t="s">
        <v>93</v>
      </c>
      <c r="H2100">
        <v>4</v>
      </c>
      <c r="I2100">
        <v>11</v>
      </c>
      <c r="J2100">
        <v>2004</v>
      </c>
      <c r="K2100" t="s">
        <v>697</v>
      </c>
      <c r="L2100">
        <v>97</v>
      </c>
      <c r="M2100" t="s">
        <v>838</v>
      </c>
      <c r="N2100" t="s">
        <v>152</v>
      </c>
      <c r="O2100">
        <v>6505555787</v>
      </c>
      <c r="P2100" t="s">
        <v>153</v>
      </c>
      <c r="R2100" t="s">
        <v>129</v>
      </c>
      <c r="S2100" t="s">
        <v>124</v>
      </c>
      <c r="U2100" t="s">
        <v>100</v>
      </c>
      <c r="V2100" t="s">
        <v>101</v>
      </c>
      <c r="W2100" t="s">
        <v>154</v>
      </c>
      <c r="X2100" t="s">
        <v>126</v>
      </c>
      <c r="Y2100" t="s">
        <v>119</v>
      </c>
    </row>
    <row r="2101" spans="1:25">
      <c r="A2101">
        <v>10348</v>
      </c>
      <c r="B2101">
        <v>39</v>
      </c>
      <c r="C2101">
        <v>50.31</v>
      </c>
      <c r="D2101">
        <v>2</v>
      </c>
      <c r="E2101">
        <v>1962.09</v>
      </c>
      <c r="F2101" s="4">
        <v>37997</v>
      </c>
      <c r="G2101" t="s">
        <v>93</v>
      </c>
      <c r="H2101">
        <v>4</v>
      </c>
      <c r="I2101">
        <v>11</v>
      </c>
      <c r="J2101">
        <v>2004</v>
      </c>
      <c r="K2101" t="s">
        <v>697</v>
      </c>
      <c r="L2101">
        <v>97</v>
      </c>
      <c r="M2101" t="s">
        <v>838</v>
      </c>
      <c r="N2101" t="s">
        <v>277</v>
      </c>
      <c r="O2101" t="s">
        <v>278</v>
      </c>
      <c r="P2101" t="s">
        <v>279</v>
      </c>
      <c r="R2101" t="s">
        <v>260</v>
      </c>
      <c r="T2101">
        <v>28023</v>
      </c>
      <c r="U2101" t="s">
        <v>261</v>
      </c>
      <c r="V2101" t="s">
        <v>110</v>
      </c>
      <c r="W2101" t="s">
        <v>280</v>
      </c>
      <c r="X2101" t="s">
        <v>281</v>
      </c>
      <c r="Y2101" t="s">
        <v>104</v>
      </c>
    </row>
    <row r="2102" spans="1:25">
      <c r="A2102">
        <v>10358</v>
      </c>
      <c r="B2102">
        <v>41</v>
      </c>
      <c r="C2102">
        <v>100</v>
      </c>
      <c r="D2102">
        <v>6</v>
      </c>
      <c r="E2102">
        <v>6847</v>
      </c>
      <c r="F2102" s="4">
        <v>38272</v>
      </c>
      <c r="G2102" t="s">
        <v>93</v>
      </c>
      <c r="H2102">
        <v>4</v>
      </c>
      <c r="I2102">
        <v>12</v>
      </c>
      <c r="J2102">
        <v>2004</v>
      </c>
      <c r="K2102" t="s">
        <v>697</v>
      </c>
      <c r="L2102">
        <v>97</v>
      </c>
      <c r="M2102" t="s">
        <v>838</v>
      </c>
      <c r="N2102" t="s">
        <v>257</v>
      </c>
      <c r="O2102" t="s">
        <v>258</v>
      </c>
      <c r="P2102" t="s">
        <v>259</v>
      </c>
      <c r="R2102" t="s">
        <v>260</v>
      </c>
      <c r="T2102">
        <v>28034</v>
      </c>
      <c r="U2102" t="s">
        <v>261</v>
      </c>
      <c r="V2102" t="s">
        <v>110</v>
      </c>
      <c r="W2102" t="s">
        <v>262</v>
      </c>
      <c r="X2102" t="s">
        <v>263</v>
      </c>
      <c r="Y2102" t="s">
        <v>119</v>
      </c>
    </row>
    <row r="2103" spans="1:25">
      <c r="A2103">
        <v>10369</v>
      </c>
      <c r="B2103">
        <v>40</v>
      </c>
      <c r="C2103">
        <v>86.92</v>
      </c>
      <c r="D2103">
        <v>3</v>
      </c>
      <c r="E2103">
        <v>3476.8</v>
      </c>
      <c r="F2103" t="s">
        <v>378</v>
      </c>
      <c r="G2103" t="s">
        <v>93</v>
      </c>
      <c r="H2103">
        <v>1</v>
      </c>
      <c r="I2103">
        <v>1</v>
      </c>
      <c r="J2103">
        <v>2005</v>
      </c>
      <c r="K2103" t="s">
        <v>697</v>
      </c>
      <c r="L2103">
        <v>97</v>
      </c>
      <c r="M2103" t="s">
        <v>838</v>
      </c>
      <c r="N2103" t="s">
        <v>379</v>
      </c>
      <c r="O2103">
        <v>6175558555</v>
      </c>
      <c r="P2103" t="s">
        <v>380</v>
      </c>
      <c r="R2103" t="s">
        <v>381</v>
      </c>
      <c r="S2103" t="s">
        <v>200</v>
      </c>
      <c r="T2103">
        <v>58339</v>
      </c>
      <c r="U2103" t="s">
        <v>100</v>
      </c>
      <c r="V2103" t="s">
        <v>101</v>
      </c>
      <c r="W2103" t="s">
        <v>370</v>
      </c>
      <c r="X2103" t="s">
        <v>382</v>
      </c>
      <c r="Y2103" t="s">
        <v>119</v>
      </c>
    </row>
    <row r="2104" spans="1:25">
      <c r="A2104">
        <v>10382</v>
      </c>
      <c r="B2104">
        <v>33</v>
      </c>
      <c r="C2104">
        <v>100</v>
      </c>
      <c r="D2104">
        <v>4</v>
      </c>
      <c r="E2104">
        <v>4592.6099999999997</v>
      </c>
      <c r="F2104" t="s">
        <v>383</v>
      </c>
      <c r="G2104" t="s">
        <v>93</v>
      </c>
      <c r="H2104">
        <v>1</v>
      </c>
      <c r="I2104">
        <v>2</v>
      </c>
      <c r="J2104">
        <v>2005</v>
      </c>
      <c r="K2104" t="s">
        <v>697</v>
      </c>
      <c r="L2104">
        <v>97</v>
      </c>
      <c r="M2104" t="s">
        <v>838</v>
      </c>
      <c r="N2104" t="s">
        <v>367</v>
      </c>
      <c r="O2104">
        <v>4155551450</v>
      </c>
      <c r="P2104" t="s">
        <v>368</v>
      </c>
      <c r="R2104" t="s">
        <v>369</v>
      </c>
      <c r="S2104" t="s">
        <v>124</v>
      </c>
      <c r="T2104">
        <v>97562</v>
      </c>
      <c r="U2104" t="s">
        <v>100</v>
      </c>
      <c r="V2104" t="s">
        <v>101</v>
      </c>
      <c r="W2104" t="s">
        <v>370</v>
      </c>
      <c r="X2104" t="s">
        <v>371</v>
      </c>
      <c r="Y2104" t="s">
        <v>119</v>
      </c>
    </row>
    <row r="2105" spans="1:25">
      <c r="A2105">
        <v>10423</v>
      </c>
      <c r="B2105">
        <v>28</v>
      </c>
      <c r="C2105">
        <v>78.89</v>
      </c>
      <c r="D2105">
        <v>4</v>
      </c>
      <c r="E2105">
        <v>2208.92</v>
      </c>
      <c r="F2105" t="s">
        <v>718</v>
      </c>
      <c r="G2105" t="s">
        <v>400</v>
      </c>
      <c r="H2105">
        <v>2</v>
      </c>
      <c r="I2105">
        <v>5</v>
      </c>
      <c r="J2105">
        <v>2005</v>
      </c>
      <c r="K2105" t="s">
        <v>697</v>
      </c>
      <c r="L2105">
        <v>97</v>
      </c>
      <c r="M2105" t="s">
        <v>838</v>
      </c>
      <c r="N2105" t="s">
        <v>475</v>
      </c>
      <c r="O2105" t="s">
        <v>476</v>
      </c>
      <c r="P2105" t="s">
        <v>477</v>
      </c>
      <c r="R2105" t="s">
        <v>478</v>
      </c>
      <c r="T2105" t="s">
        <v>479</v>
      </c>
      <c r="U2105" t="s">
        <v>480</v>
      </c>
      <c r="V2105" t="s">
        <v>110</v>
      </c>
      <c r="W2105" t="s">
        <v>481</v>
      </c>
      <c r="X2105" t="s">
        <v>482</v>
      </c>
      <c r="Y2105" t="s">
        <v>104</v>
      </c>
    </row>
    <row r="2106" spans="1:25">
      <c r="A2106">
        <v>10106</v>
      </c>
      <c r="B2106">
        <v>26</v>
      </c>
      <c r="C2106">
        <v>63.76</v>
      </c>
      <c r="D2106">
        <v>3</v>
      </c>
      <c r="E2106">
        <v>1657.76</v>
      </c>
      <c r="F2106" t="s">
        <v>725</v>
      </c>
      <c r="G2106" t="s">
        <v>93</v>
      </c>
      <c r="H2106">
        <v>1</v>
      </c>
      <c r="I2106">
        <v>2</v>
      </c>
      <c r="J2106">
        <v>2003</v>
      </c>
      <c r="K2106" t="s">
        <v>726</v>
      </c>
      <c r="L2106">
        <v>72</v>
      </c>
      <c r="M2106" t="s">
        <v>839</v>
      </c>
      <c r="N2106" t="s">
        <v>703</v>
      </c>
      <c r="O2106" t="s">
        <v>704</v>
      </c>
      <c r="P2106" t="s">
        <v>705</v>
      </c>
      <c r="R2106" t="s">
        <v>706</v>
      </c>
      <c r="T2106">
        <v>24100</v>
      </c>
      <c r="U2106" t="s">
        <v>352</v>
      </c>
      <c r="V2106" t="s">
        <v>110</v>
      </c>
      <c r="W2106" t="s">
        <v>707</v>
      </c>
      <c r="X2106" t="s">
        <v>708</v>
      </c>
      <c r="Y2106" t="s">
        <v>104</v>
      </c>
    </row>
    <row r="2107" spans="1:25">
      <c r="A2107">
        <v>10120</v>
      </c>
      <c r="B2107">
        <v>29</v>
      </c>
      <c r="C2107">
        <v>85.49</v>
      </c>
      <c r="D2107">
        <v>9</v>
      </c>
      <c r="E2107">
        <v>2479.21</v>
      </c>
      <c r="F2107" t="s">
        <v>402</v>
      </c>
      <c r="G2107" t="s">
        <v>93</v>
      </c>
      <c r="H2107">
        <v>2</v>
      </c>
      <c r="I2107">
        <v>4</v>
      </c>
      <c r="J2107">
        <v>2003</v>
      </c>
      <c r="K2107" t="s">
        <v>726</v>
      </c>
      <c r="L2107">
        <v>72</v>
      </c>
      <c r="M2107" t="s">
        <v>839</v>
      </c>
      <c r="N2107" t="s">
        <v>162</v>
      </c>
      <c r="O2107" t="s">
        <v>163</v>
      </c>
      <c r="P2107" t="s">
        <v>164</v>
      </c>
      <c r="Q2107" t="s">
        <v>165</v>
      </c>
      <c r="R2107" t="s">
        <v>166</v>
      </c>
      <c r="S2107" t="s">
        <v>167</v>
      </c>
      <c r="T2107">
        <v>3004</v>
      </c>
      <c r="U2107" t="s">
        <v>168</v>
      </c>
      <c r="V2107" t="s">
        <v>169</v>
      </c>
      <c r="W2107" t="s">
        <v>170</v>
      </c>
      <c r="X2107" t="s">
        <v>171</v>
      </c>
      <c r="Y2107" t="s">
        <v>104</v>
      </c>
    </row>
    <row r="2108" spans="1:25">
      <c r="A2108">
        <v>10133</v>
      </c>
      <c r="B2108">
        <v>46</v>
      </c>
      <c r="C2108">
        <v>77.52</v>
      </c>
      <c r="D2108">
        <v>4</v>
      </c>
      <c r="E2108">
        <v>3565.92</v>
      </c>
      <c r="F2108" t="s">
        <v>766</v>
      </c>
      <c r="G2108" t="s">
        <v>93</v>
      </c>
      <c r="H2108">
        <v>2</v>
      </c>
      <c r="I2108">
        <v>6</v>
      </c>
      <c r="J2108">
        <v>2003</v>
      </c>
      <c r="K2108" t="s">
        <v>726</v>
      </c>
      <c r="L2108">
        <v>72</v>
      </c>
      <c r="M2108" t="s">
        <v>839</v>
      </c>
      <c r="N2108" t="s">
        <v>257</v>
      </c>
      <c r="O2108" t="s">
        <v>258</v>
      </c>
      <c r="P2108" t="s">
        <v>259</v>
      </c>
      <c r="R2108" t="s">
        <v>260</v>
      </c>
      <c r="T2108">
        <v>28034</v>
      </c>
      <c r="U2108" t="s">
        <v>261</v>
      </c>
      <c r="V2108" t="s">
        <v>110</v>
      </c>
      <c r="W2108" t="s">
        <v>262</v>
      </c>
      <c r="X2108" t="s">
        <v>263</v>
      </c>
      <c r="Y2108" t="s">
        <v>119</v>
      </c>
    </row>
    <row r="2109" spans="1:25">
      <c r="A2109">
        <v>10145</v>
      </c>
      <c r="B2109">
        <v>33</v>
      </c>
      <c r="C2109">
        <v>84.77</v>
      </c>
      <c r="D2109">
        <v>15</v>
      </c>
      <c r="E2109">
        <v>2797.41</v>
      </c>
      <c r="F2109" t="s">
        <v>120</v>
      </c>
      <c r="G2109" t="s">
        <v>93</v>
      </c>
      <c r="H2109">
        <v>3</v>
      </c>
      <c r="I2109">
        <v>8</v>
      </c>
      <c r="J2109">
        <v>2003</v>
      </c>
      <c r="K2109" t="s">
        <v>726</v>
      </c>
      <c r="L2109">
        <v>72</v>
      </c>
      <c r="M2109" t="s">
        <v>839</v>
      </c>
      <c r="N2109" t="s">
        <v>121</v>
      </c>
      <c r="O2109">
        <v>6265557265</v>
      </c>
      <c r="P2109" t="s">
        <v>122</v>
      </c>
      <c r="R2109" t="s">
        <v>123</v>
      </c>
      <c r="S2109" t="s">
        <v>124</v>
      </c>
      <c r="T2109">
        <v>90003</v>
      </c>
      <c r="U2109" t="s">
        <v>100</v>
      </c>
      <c r="V2109" t="s">
        <v>101</v>
      </c>
      <c r="W2109" t="s">
        <v>125</v>
      </c>
      <c r="X2109" t="s">
        <v>126</v>
      </c>
      <c r="Y2109" t="s">
        <v>104</v>
      </c>
    </row>
    <row r="2110" spans="1:25">
      <c r="A2110">
        <v>10168</v>
      </c>
      <c r="B2110">
        <v>48</v>
      </c>
      <c r="C2110">
        <v>78.25</v>
      </c>
      <c r="D2110">
        <v>10</v>
      </c>
      <c r="E2110">
        <v>3756</v>
      </c>
      <c r="F2110" t="s">
        <v>131</v>
      </c>
      <c r="G2110" t="s">
        <v>93</v>
      </c>
      <c r="H2110">
        <v>4</v>
      </c>
      <c r="I2110">
        <v>10</v>
      </c>
      <c r="J2110">
        <v>2003</v>
      </c>
      <c r="K2110" t="s">
        <v>726</v>
      </c>
      <c r="L2110">
        <v>72</v>
      </c>
      <c r="M2110" t="s">
        <v>839</v>
      </c>
      <c r="N2110" t="s">
        <v>132</v>
      </c>
      <c r="O2110">
        <v>6505556809</v>
      </c>
      <c r="P2110" t="s">
        <v>133</v>
      </c>
      <c r="R2110" t="s">
        <v>134</v>
      </c>
      <c r="S2110" t="s">
        <v>124</v>
      </c>
      <c r="T2110">
        <v>94217</v>
      </c>
      <c r="U2110" t="s">
        <v>100</v>
      </c>
      <c r="V2110" t="s">
        <v>101</v>
      </c>
      <c r="W2110" t="s">
        <v>135</v>
      </c>
      <c r="X2110" t="s">
        <v>136</v>
      </c>
      <c r="Y2110" t="s">
        <v>119</v>
      </c>
    </row>
    <row r="2111" spans="1:25">
      <c r="A2111">
        <v>10210</v>
      </c>
      <c r="B2111">
        <v>40</v>
      </c>
      <c r="C2111">
        <v>71</v>
      </c>
      <c r="D2111">
        <v>8</v>
      </c>
      <c r="E2111">
        <v>2840</v>
      </c>
      <c r="F2111" s="4">
        <v>38322</v>
      </c>
      <c r="G2111" t="s">
        <v>93</v>
      </c>
      <c r="H2111">
        <v>1</v>
      </c>
      <c r="I2111">
        <v>1</v>
      </c>
      <c r="J2111">
        <v>2004</v>
      </c>
      <c r="K2111" t="s">
        <v>726</v>
      </c>
      <c r="L2111">
        <v>72</v>
      </c>
      <c r="M2111" t="s">
        <v>839</v>
      </c>
      <c r="N2111" t="s">
        <v>403</v>
      </c>
      <c r="O2111" t="s">
        <v>404</v>
      </c>
      <c r="P2111" t="s">
        <v>405</v>
      </c>
      <c r="R2111" t="s">
        <v>406</v>
      </c>
      <c r="S2111" t="s">
        <v>406</v>
      </c>
      <c r="T2111" t="s">
        <v>407</v>
      </c>
      <c r="U2111" t="s">
        <v>288</v>
      </c>
      <c r="V2111" t="s">
        <v>288</v>
      </c>
      <c r="W2111" t="s">
        <v>408</v>
      </c>
      <c r="X2111" t="s">
        <v>409</v>
      </c>
      <c r="Y2111" t="s">
        <v>104</v>
      </c>
    </row>
    <row r="2112" spans="1:25">
      <c r="A2112">
        <v>10223</v>
      </c>
      <c r="B2112">
        <v>23</v>
      </c>
      <c r="C2112">
        <v>74.62</v>
      </c>
      <c r="D2112">
        <v>10</v>
      </c>
      <c r="E2112">
        <v>1716.26</v>
      </c>
      <c r="F2112" t="s">
        <v>161</v>
      </c>
      <c r="G2112" t="s">
        <v>93</v>
      </c>
      <c r="H2112">
        <v>1</v>
      </c>
      <c r="I2112">
        <v>2</v>
      </c>
      <c r="J2112">
        <v>2004</v>
      </c>
      <c r="K2112" t="s">
        <v>726</v>
      </c>
      <c r="L2112">
        <v>72</v>
      </c>
      <c r="M2112" t="s">
        <v>839</v>
      </c>
      <c r="N2112" t="s">
        <v>162</v>
      </c>
      <c r="O2112" t="s">
        <v>163</v>
      </c>
      <c r="P2112" t="s">
        <v>164</v>
      </c>
      <c r="Q2112" t="s">
        <v>165</v>
      </c>
      <c r="R2112" t="s">
        <v>166</v>
      </c>
      <c r="S2112" t="s">
        <v>167</v>
      </c>
      <c r="T2112">
        <v>3004</v>
      </c>
      <c r="U2112" t="s">
        <v>168</v>
      </c>
      <c r="V2112" t="s">
        <v>169</v>
      </c>
      <c r="W2112" t="s">
        <v>170</v>
      </c>
      <c r="X2112" t="s">
        <v>171</v>
      </c>
      <c r="Y2112" t="s">
        <v>104</v>
      </c>
    </row>
    <row r="2113" spans="1:25">
      <c r="A2113">
        <v>10235</v>
      </c>
      <c r="B2113">
        <v>40</v>
      </c>
      <c r="C2113">
        <v>81.14</v>
      </c>
      <c r="D2113">
        <v>4</v>
      </c>
      <c r="E2113">
        <v>3245.6</v>
      </c>
      <c r="F2113" s="4">
        <v>38021</v>
      </c>
      <c r="G2113" t="s">
        <v>93</v>
      </c>
      <c r="H2113">
        <v>2</v>
      </c>
      <c r="I2113">
        <v>4</v>
      </c>
      <c r="J2113">
        <v>2004</v>
      </c>
      <c r="K2113" t="s">
        <v>726</v>
      </c>
      <c r="L2113">
        <v>72</v>
      </c>
      <c r="M2113" t="s">
        <v>839</v>
      </c>
      <c r="N2113" t="s">
        <v>484</v>
      </c>
      <c r="O2113" t="s">
        <v>485</v>
      </c>
      <c r="P2113" t="s">
        <v>486</v>
      </c>
      <c r="R2113" t="s">
        <v>487</v>
      </c>
      <c r="S2113" t="s">
        <v>320</v>
      </c>
      <c r="T2113" t="s">
        <v>488</v>
      </c>
      <c r="U2113" t="s">
        <v>322</v>
      </c>
      <c r="V2113" t="s">
        <v>101</v>
      </c>
      <c r="W2113" t="s">
        <v>489</v>
      </c>
      <c r="X2113" t="s">
        <v>254</v>
      </c>
      <c r="Y2113" t="s">
        <v>119</v>
      </c>
    </row>
    <row r="2114" spans="1:25">
      <c r="A2114">
        <v>10250</v>
      </c>
      <c r="B2114">
        <v>37</v>
      </c>
      <c r="C2114">
        <v>74.62</v>
      </c>
      <c r="D2114">
        <v>5</v>
      </c>
      <c r="E2114">
        <v>2760.94</v>
      </c>
      <c r="F2114" s="4">
        <v>38296</v>
      </c>
      <c r="G2114" t="s">
        <v>93</v>
      </c>
      <c r="H2114">
        <v>2</v>
      </c>
      <c r="I2114">
        <v>5</v>
      </c>
      <c r="J2114">
        <v>2004</v>
      </c>
      <c r="K2114" t="s">
        <v>726</v>
      </c>
      <c r="L2114">
        <v>72</v>
      </c>
      <c r="M2114" t="s">
        <v>839</v>
      </c>
      <c r="N2114" t="s">
        <v>514</v>
      </c>
      <c r="O2114">
        <v>4085553659</v>
      </c>
      <c r="P2114" t="s">
        <v>515</v>
      </c>
      <c r="R2114" t="s">
        <v>516</v>
      </c>
      <c r="S2114" t="s">
        <v>124</v>
      </c>
      <c r="T2114">
        <v>94217</v>
      </c>
      <c r="U2114" t="s">
        <v>100</v>
      </c>
      <c r="V2114" t="s">
        <v>101</v>
      </c>
      <c r="W2114" t="s">
        <v>175</v>
      </c>
      <c r="X2114" t="s">
        <v>517</v>
      </c>
      <c r="Y2114" t="s">
        <v>104</v>
      </c>
    </row>
    <row r="2115" spans="1:25">
      <c r="A2115">
        <v>10263</v>
      </c>
      <c r="B2115">
        <v>24</v>
      </c>
      <c r="C2115">
        <v>75.349999999999994</v>
      </c>
      <c r="D2115">
        <v>11</v>
      </c>
      <c r="E2115">
        <v>1808.4</v>
      </c>
      <c r="F2115" t="s">
        <v>183</v>
      </c>
      <c r="G2115" t="s">
        <v>93</v>
      </c>
      <c r="H2115">
        <v>2</v>
      </c>
      <c r="I2115">
        <v>6</v>
      </c>
      <c r="J2115">
        <v>2004</v>
      </c>
      <c r="K2115" t="s">
        <v>726</v>
      </c>
      <c r="L2115">
        <v>72</v>
      </c>
      <c r="M2115" t="s">
        <v>839</v>
      </c>
      <c r="N2115" t="s">
        <v>184</v>
      </c>
      <c r="O2115">
        <v>2035552570</v>
      </c>
      <c r="P2115" t="s">
        <v>185</v>
      </c>
      <c r="R2115" t="s">
        <v>186</v>
      </c>
      <c r="S2115" t="s">
        <v>187</v>
      </c>
      <c r="T2115">
        <v>97562</v>
      </c>
      <c r="U2115" t="s">
        <v>100</v>
      </c>
      <c r="V2115" t="s">
        <v>101</v>
      </c>
      <c r="W2115" t="s">
        <v>188</v>
      </c>
      <c r="X2115" t="s">
        <v>126</v>
      </c>
      <c r="Y2115" t="s">
        <v>104</v>
      </c>
    </row>
    <row r="2116" spans="1:25">
      <c r="A2116">
        <v>10275</v>
      </c>
      <c r="B2116">
        <v>27</v>
      </c>
      <c r="C2116">
        <v>62.31</v>
      </c>
      <c r="D2116">
        <v>10</v>
      </c>
      <c r="E2116">
        <v>1682.37</v>
      </c>
      <c r="F2116" t="s">
        <v>189</v>
      </c>
      <c r="G2116" t="s">
        <v>93</v>
      </c>
      <c r="H2116">
        <v>3</v>
      </c>
      <c r="I2116">
        <v>7</v>
      </c>
      <c r="J2116">
        <v>2004</v>
      </c>
      <c r="K2116" t="s">
        <v>726</v>
      </c>
      <c r="L2116">
        <v>72</v>
      </c>
      <c r="M2116" t="s">
        <v>839</v>
      </c>
      <c r="N2116" t="s">
        <v>190</v>
      </c>
      <c r="O2116" t="s">
        <v>191</v>
      </c>
      <c r="P2116" t="s">
        <v>192</v>
      </c>
      <c r="R2116" t="s">
        <v>193</v>
      </c>
      <c r="T2116">
        <v>44000</v>
      </c>
      <c r="U2116" t="s">
        <v>109</v>
      </c>
      <c r="V2116" t="s">
        <v>110</v>
      </c>
      <c r="W2116" t="s">
        <v>194</v>
      </c>
      <c r="X2116" t="s">
        <v>195</v>
      </c>
      <c r="Y2116" t="s">
        <v>104</v>
      </c>
    </row>
    <row r="2117" spans="1:25">
      <c r="A2117">
        <v>10284</v>
      </c>
      <c r="B2117">
        <v>21</v>
      </c>
      <c r="C2117">
        <v>71</v>
      </c>
      <c r="D2117">
        <v>2</v>
      </c>
      <c r="E2117">
        <v>1491</v>
      </c>
      <c r="F2117" t="s">
        <v>735</v>
      </c>
      <c r="G2117" t="s">
        <v>93</v>
      </c>
      <c r="H2117">
        <v>3</v>
      </c>
      <c r="I2117">
        <v>8</v>
      </c>
      <c r="J2117">
        <v>2004</v>
      </c>
      <c r="K2117" t="s">
        <v>726</v>
      </c>
      <c r="L2117">
        <v>72</v>
      </c>
      <c r="M2117" t="s">
        <v>839</v>
      </c>
      <c r="N2117" t="s">
        <v>688</v>
      </c>
      <c r="O2117" t="s">
        <v>689</v>
      </c>
      <c r="P2117" t="s">
        <v>690</v>
      </c>
      <c r="R2117" t="s">
        <v>691</v>
      </c>
      <c r="T2117" t="s">
        <v>692</v>
      </c>
      <c r="U2117" t="s">
        <v>149</v>
      </c>
      <c r="V2117" t="s">
        <v>110</v>
      </c>
      <c r="W2117" t="s">
        <v>693</v>
      </c>
      <c r="X2117" t="s">
        <v>694</v>
      </c>
      <c r="Y2117" t="s">
        <v>104</v>
      </c>
    </row>
    <row r="2118" spans="1:25">
      <c r="A2118">
        <v>10297</v>
      </c>
      <c r="B2118">
        <v>23</v>
      </c>
      <c r="C2118">
        <v>72.45</v>
      </c>
      <c r="D2118">
        <v>5</v>
      </c>
      <c r="E2118">
        <v>1666.35</v>
      </c>
      <c r="F2118" t="s">
        <v>767</v>
      </c>
      <c r="G2118" t="s">
        <v>93</v>
      </c>
      <c r="H2118">
        <v>3</v>
      </c>
      <c r="I2118">
        <v>9</v>
      </c>
      <c r="J2118">
        <v>2004</v>
      </c>
      <c r="K2118" t="s">
        <v>726</v>
      </c>
      <c r="L2118">
        <v>72</v>
      </c>
      <c r="M2118" t="s">
        <v>839</v>
      </c>
      <c r="N2118" t="s">
        <v>609</v>
      </c>
      <c r="O2118" t="s">
        <v>610</v>
      </c>
      <c r="P2118" t="s">
        <v>611</v>
      </c>
      <c r="Q2118" t="s">
        <v>612</v>
      </c>
      <c r="R2118" t="s">
        <v>613</v>
      </c>
      <c r="T2118">
        <v>2</v>
      </c>
      <c r="U2118" t="s">
        <v>614</v>
      </c>
      <c r="V2118" t="s">
        <v>110</v>
      </c>
      <c r="W2118" t="s">
        <v>615</v>
      </c>
      <c r="X2118" t="s">
        <v>616</v>
      </c>
      <c r="Y2118" t="s">
        <v>104</v>
      </c>
    </row>
    <row r="2119" spans="1:25">
      <c r="A2119">
        <v>10308</v>
      </c>
      <c r="B2119">
        <v>44</v>
      </c>
      <c r="C2119">
        <v>83.32</v>
      </c>
      <c r="D2119">
        <v>8</v>
      </c>
      <c r="E2119">
        <v>3666.08</v>
      </c>
      <c r="F2119" t="s">
        <v>211</v>
      </c>
      <c r="G2119" t="s">
        <v>93</v>
      </c>
      <c r="H2119">
        <v>4</v>
      </c>
      <c r="I2119">
        <v>10</v>
      </c>
      <c r="J2119">
        <v>2004</v>
      </c>
      <c r="K2119" t="s">
        <v>726</v>
      </c>
      <c r="L2119">
        <v>72</v>
      </c>
      <c r="M2119" t="s">
        <v>839</v>
      </c>
      <c r="N2119" t="s">
        <v>419</v>
      </c>
      <c r="O2119">
        <v>9145554562</v>
      </c>
      <c r="P2119" t="s">
        <v>420</v>
      </c>
      <c r="R2119" t="s">
        <v>421</v>
      </c>
      <c r="S2119" t="s">
        <v>99</v>
      </c>
      <c r="T2119">
        <v>24067</v>
      </c>
      <c r="U2119" t="s">
        <v>100</v>
      </c>
      <c r="V2119" t="s">
        <v>101</v>
      </c>
      <c r="W2119" t="s">
        <v>175</v>
      </c>
      <c r="X2119" t="s">
        <v>329</v>
      </c>
      <c r="Y2119" t="s">
        <v>119</v>
      </c>
    </row>
    <row r="2120" spans="1:25">
      <c r="A2120">
        <v>10317</v>
      </c>
      <c r="B2120">
        <v>35</v>
      </c>
      <c r="C2120">
        <v>83.32</v>
      </c>
      <c r="D2120">
        <v>1</v>
      </c>
      <c r="E2120">
        <v>2916.2</v>
      </c>
      <c r="F2120" s="4">
        <v>38028</v>
      </c>
      <c r="G2120" t="s">
        <v>93</v>
      </c>
      <c r="H2120">
        <v>4</v>
      </c>
      <c r="I2120">
        <v>11</v>
      </c>
      <c r="J2120">
        <v>2004</v>
      </c>
      <c r="K2120" t="s">
        <v>726</v>
      </c>
      <c r="L2120">
        <v>72</v>
      </c>
      <c r="M2120" t="s">
        <v>839</v>
      </c>
      <c r="N2120" t="s">
        <v>132</v>
      </c>
      <c r="O2120">
        <v>6505556809</v>
      </c>
      <c r="P2120" t="s">
        <v>133</v>
      </c>
      <c r="R2120" t="s">
        <v>134</v>
      </c>
      <c r="S2120" t="s">
        <v>124</v>
      </c>
      <c r="T2120">
        <v>94217</v>
      </c>
      <c r="U2120" t="s">
        <v>100</v>
      </c>
      <c r="V2120" t="s">
        <v>101</v>
      </c>
      <c r="W2120" t="s">
        <v>135</v>
      </c>
      <c r="X2120" t="s">
        <v>136</v>
      </c>
      <c r="Y2120" t="s">
        <v>104</v>
      </c>
    </row>
    <row r="2121" spans="1:25">
      <c r="A2121">
        <v>10328</v>
      </c>
      <c r="B2121">
        <v>43</v>
      </c>
      <c r="C2121">
        <v>60.86</v>
      </c>
      <c r="D2121">
        <v>4</v>
      </c>
      <c r="E2121">
        <v>2616.98</v>
      </c>
      <c r="F2121" s="4">
        <v>38332</v>
      </c>
      <c r="G2121" t="s">
        <v>93</v>
      </c>
      <c r="H2121">
        <v>4</v>
      </c>
      <c r="I2121">
        <v>11</v>
      </c>
      <c r="J2121">
        <v>2004</v>
      </c>
      <c r="K2121" t="s">
        <v>726</v>
      </c>
      <c r="L2121">
        <v>72</v>
      </c>
      <c r="M2121" t="s">
        <v>839</v>
      </c>
      <c r="N2121" t="s">
        <v>703</v>
      </c>
      <c r="O2121" t="s">
        <v>704</v>
      </c>
      <c r="P2121" t="s">
        <v>705</v>
      </c>
      <c r="R2121" t="s">
        <v>706</v>
      </c>
      <c r="T2121">
        <v>24100</v>
      </c>
      <c r="U2121" t="s">
        <v>352</v>
      </c>
      <c r="V2121" t="s">
        <v>110</v>
      </c>
      <c r="W2121" t="s">
        <v>707</v>
      </c>
      <c r="X2121" t="s">
        <v>708</v>
      </c>
      <c r="Y2121" t="s">
        <v>104</v>
      </c>
    </row>
    <row r="2122" spans="1:25">
      <c r="A2122">
        <v>10340</v>
      </c>
      <c r="B2122">
        <v>40</v>
      </c>
      <c r="C2122">
        <v>84.77</v>
      </c>
      <c r="D2122">
        <v>1</v>
      </c>
      <c r="E2122">
        <v>3390.8</v>
      </c>
      <c r="F2122" t="s">
        <v>224</v>
      </c>
      <c r="G2122" t="s">
        <v>93</v>
      </c>
      <c r="H2122">
        <v>4</v>
      </c>
      <c r="I2122">
        <v>11</v>
      </c>
      <c r="J2122">
        <v>2004</v>
      </c>
      <c r="K2122" t="s">
        <v>726</v>
      </c>
      <c r="L2122">
        <v>72</v>
      </c>
      <c r="M2122" t="s">
        <v>839</v>
      </c>
      <c r="N2122" t="s">
        <v>459</v>
      </c>
      <c r="O2122" t="s">
        <v>460</v>
      </c>
      <c r="P2122" t="s">
        <v>461</v>
      </c>
      <c r="R2122" t="s">
        <v>462</v>
      </c>
      <c r="T2122">
        <v>8022</v>
      </c>
      <c r="U2122" t="s">
        <v>261</v>
      </c>
      <c r="V2122" t="s">
        <v>110</v>
      </c>
      <c r="W2122" t="s">
        <v>463</v>
      </c>
      <c r="X2122" t="s">
        <v>464</v>
      </c>
      <c r="Y2122" t="s">
        <v>119</v>
      </c>
    </row>
    <row r="2123" spans="1:25">
      <c r="A2123">
        <v>10353</v>
      </c>
      <c r="B2123">
        <v>35</v>
      </c>
      <c r="C2123">
        <v>89.9</v>
      </c>
      <c r="D2123">
        <v>3</v>
      </c>
      <c r="E2123">
        <v>3146.5</v>
      </c>
      <c r="F2123" s="4">
        <v>38089</v>
      </c>
      <c r="G2123" t="s">
        <v>93</v>
      </c>
      <c r="H2123">
        <v>4</v>
      </c>
      <c r="I2123">
        <v>12</v>
      </c>
      <c r="J2123">
        <v>2004</v>
      </c>
      <c r="K2123" t="s">
        <v>726</v>
      </c>
      <c r="L2123">
        <v>72</v>
      </c>
      <c r="M2123" t="s">
        <v>839</v>
      </c>
      <c r="N2123" t="s">
        <v>729</v>
      </c>
      <c r="O2123">
        <v>2035554407</v>
      </c>
      <c r="P2123" t="s">
        <v>730</v>
      </c>
      <c r="R2123" t="s">
        <v>656</v>
      </c>
      <c r="S2123" t="s">
        <v>187</v>
      </c>
      <c r="T2123">
        <v>97561</v>
      </c>
      <c r="U2123" t="s">
        <v>100</v>
      </c>
      <c r="V2123" t="s">
        <v>101</v>
      </c>
      <c r="W2123" t="s">
        <v>731</v>
      </c>
      <c r="X2123" t="s">
        <v>732</v>
      </c>
      <c r="Y2123" t="s">
        <v>119</v>
      </c>
    </row>
    <row r="2124" spans="1:25">
      <c r="A2124">
        <v>10361</v>
      </c>
      <c r="B2124">
        <v>25</v>
      </c>
      <c r="C2124">
        <v>62.46</v>
      </c>
      <c r="D2124">
        <v>1</v>
      </c>
      <c r="E2124">
        <v>1561.5</v>
      </c>
      <c r="F2124" t="s">
        <v>233</v>
      </c>
      <c r="G2124" t="s">
        <v>93</v>
      </c>
      <c r="H2124">
        <v>4</v>
      </c>
      <c r="I2124">
        <v>12</v>
      </c>
      <c r="J2124">
        <v>2004</v>
      </c>
      <c r="K2124" t="s">
        <v>726</v>
      </c>
      <c r="L2124">
        <v>72</v>
      </c>
      <c r="M2124" t="s">
        <v>839</v>
      </c>
      <c r="N2124" t="s">
        <v>234</v>
      </c>
      <c r="O2124" t="s">
        <v>235</v>
      </c>
      <c r="P2124" t="s">
        <v>236</v>
      </c>
      <c r="Q2124" t="s">
        <v>237</v>
      </c>
      <c r="R2124" t="s">
        <v>238</v>
      </c>
      <c r="S2124" t="s">
        <v>239</v>
      </c>
      <c r="T2124">
        <v>2067</v>
      </c>
      <c r="U2124" t="s">
        <v>168</v>
      </c>
      <c r="V2124" t="s">
        <v>169</v>
      </c>
      <c r="W2124" t="s">
        <v>240</v>
      </c>
      <c r="X2124" t="s">
        <v>241</v>
      </c>
      <c r="Y2124" t="s">
        <v>104</v>
      </c>
    </row>
    <row r="2125" spans="1:25">
      <c r="A2125">
        <v>10375</v>
      </c>
      <c r="B2125">
        <v>43</v>
      </c>
      <c r="C2125">
        <v>100</v>
      </c>
      <c r="D2125">
        <v>2</v>
      </c>
      <c r="E2125">
        <v>10039.6</v>
      </c>
      <c r="F2125" s="4">
        <v>38413</v>
      </c>
      <c r="G2125" t="s">
        <v>93</v>
      </c>
      <c r="H2125">
        <v>1</v>
      </c>
      <c r="I2125">
        <v>2</v>
      </c>
      <c r="J2125">
        <v>2005</v>
      </c>
      <c r="K2125" t="s">
        <v>726</v>
      </c>
      <c r="L2125">
        <v>72</v>
      </c>
      <c r="M2125" t="s">
        <v>839</v>
      </c>
      <c r="N2125" t="s">
        <v>190</v>
      </c>
      <c r="O2125" t="s">
        <v>191</v>
      </c>
      <c r="P2125" t="s">
        <v>192</v>
      </c>
      <c r="R2125" t="s">
        <v>193</v>
      </c>
      <c r="T2125">
        <v>44000</v>
      </c>
      <c r="U2125" t="s">
        <v>109</v>
      </c>
      <c r="V2125" t="s">
        <v>110</v>
      </c>
      <c r="W2125" t="s">
        <v>194</v>
      </c>
      <c r="X2125" t="s">
        <v>195</v>
      </c>
      <c r="Y2125" t="s">
        <v>232</v>
      </c>
    </row>
    <row r="2126" spans="1:25">
      <c r="A2126">
        <v>10386</v>
      </c>
      <c r="B2126">
        <v>50</v>
      </c>
      <c r="C2126">
        <v>63.34</v>
      </c>
      <c r="D2126">
        <v>8</v>
      </c>
      <c r="E2126">
        <v>3167</v>
      </c>
      <c r="F2126" s="4">
        <v>38355</v>
      </c>
      <c r="G2126" t="s">
        <v>526</v>
      </c>
      <c r="H2126">
        <v>1</v>
      </c>
      <c r="I2126">
        <v>3</v>
      </c>
      <c r="J2126">
        <v>2005</v>
      </c>
      <c r="K2126" t="s">
        <v>726</v>
      </c>
      <c r="L2126">
        <v>72</v>
      </c>
      <c r="M2126" t="s">
        <v>839</v>
      </c>
      <c r="N2126" t="s">
        <v>257</v>
      </c>
      <c r="O2126" t="s">
        <v>258</v>
      </c>
      <c r="P2126" t="s">
        <v>259</v>
      </c>
      <c r="R2126" t="s">
        <v>260</v>
      </c>
      <c r="T2126">
        <v>28034</v>
      </c>
      <c r="U2126" t="s">
        <v>261</v>
      </c>
      <c r="V2126" t="s">
        <v>110</v>
      </c>
      <c r="W2126" t="s">
        <v>262</v>
      </c>
      <c r="X2126" t="s">
        <v>263</v>
      </c>
      <c r="Y2126" t="s">
        <v>119</v>
      </c>
    </row>
    <row r="2127" spans="1:25">
      <c r="A2127">
        <v>10398</v>
      </c>
      <c r="B2127">
        <v>45</v>
      </c>
      <c r="C2127">
        <v>78.25</v>
      </c>
      <c r="D2127">
        <v>14</v>
      </c>
      <c r="E2127">
        <v>3521.25</v>
      </c>
      <c r="F2127" t="s">
        <v>750</v>
      </c>
      <c r="G2127" t="s">
        <v>93</v>
      </c>
      <c r="H2127">
        <v>1</v>
      </c>
      <c r="I2127">
        <v>3</v>
      </c>
      <c r="J2127">
        <v>2005</v>
      </c>
      <c r="K2127" t="s">
        <v>726</v>
      </c>
      <c r="L2127">
        <v>72</v>
      </c>
      <c r="M2127" t="s">
        <v>839</v>
      </c>
      <c r="N2127" t="s">
        <v>105</v>
      </c>
      <c r="O2127" t="s">
        <v>106</v>
      </c>
      <c r="P2127" t="s">
        <v>107</v>
      </c>
      <c r="R2127" t="s">
        <v>108</v>
      </c>
      <c r="T2127">
        <v>51100</v>
      </c>
      <c r="U2127" t="s">
        <v>109</v>
      </c>
      <c r="V2127" t="s">
        <v>110</v>
      </c>
      <c r="W2127" t="s">
        <v>111</v>
      </c>
      <c r="X2127" t="s">
        <v>112</v>
      </c>
      <c r="Y2127" t="s">
        <v>119</v>
      </c>
    </row>
    <row r="2128" spans="1:25">
      <c r="A2128">
        <v>10401</v>
      </c>
      <c r="B2128">
        <v>52</v>
      </c>
      <c r="C2128">
        <v>81.14</v>
      </c>
      <c r="D2128">
        <v>4</v>
      </c>
      <c r="E2128">
        <v>4219.28</v>
      </c>
      <c r="F2128" s="4">
        <v>38415</v>
      </c>
      <c r="G2128" t="s">
        <v>518</v>
      </c>
      <c r="H2128">
        <v>2</v>
      </c>
      <c r="I2128">
        <v>4</v>
      </c>
      <c r="J2128">
        <v>2005</v>
      </c>
      <c r="K2128" t="s">
        <v>726</v>
      </c>
      <c r="L2128">
        <v>72</v>
      </c>
      <c r="M2128" t="s">
        <v>839</v>
      </c>
      <c r="N2128" t="s">
        <v>178</v>
      </c>
      <c r="O2128">
        <v>2015559350</v>
      </c>
      <c r="P2128" t="s">
        <v>179</v>
      </c>
      <c r="R2128" t="s">
        <v>180</v>
      </c>
      <c r="S2128" t="s">
        <v>181</v>
      </c>
      <c r="T2128">
        <v>94019</v>
      </c>
      <c r="U2128" t="s">
        <v>100</v>
      </c>
      <c r="V2128" t="s">
        <v>101</v>
      </c>
      <c r="W2128" t="s">
        <v>130</v>
      </c>
      <c r="X2128" t="s">
        <v>182</v>
      </c>
      <c r="Y2128" t="s">
        <v>119</v>
      </c>
    </row>
    <row r="2129" spans="1:25">
      <c r="A2129">
        <v>10416</v>
      </c>
      <c r="B2129">
        <v>48</v>
      </c>
      <c r="C2129">
        <v>74.62</v>
      </c>
      <c r="D2129">
        <v>5</v>
      </c>
      <c r="E2129">
        <v>3581.76</v>
      </c>
      <c r="F2129" s="4">
        <v>38630</v>
      </c>
      <c r="G2129" t="s">
        <v>93</v>
      </c>
      <c r="H2129">
        <v>2</v>
      </c>
      <c r="I2129">
        <v>5</v>
      </c>
      <c r="J2129">
        <v>2005</v>
      </c>
      <c r="K2129" t="s">
        <v>726</v>
      </c>
      <c r="L2129">
        <v>72</v>
      </c>
      <c r="M2129" t="s">
        <v>839</v>
      </c>
      <c r="N2129" t="s">
        <v>576</v>
      </c>
      <c r="O2129" t="s">
        <v>577</v>
      </c>
      <c r="P2129" t="s">
        <v>578</v>
      </c>
      <c r="R2129" t="s">
        <v>579</v>
      </c>
      <c r="T2129">
        <v>42100</v>
      </c>
      <c r="U2129" t="s">
        <v>352</v>
      </c>
      <c r="V2129" t="s">
        <v>110</v>
      </c>
      <c r="W2129" t="s">
        <v>580</v>
      </c>
      <c r="X2129" t="s">
        <v>581</v>
      </c>
      <c r="Y2129" t="s">
        <v>119</v>
      </c>
    </row>
    <row r="2130" spans="1:25">
      <c r="A2130">
        <v>10108</v>
      </c>
      <c r="B2130">
        <v>31</v>
      </c>
      <c r="C2130">
        <v>68.709999999999994</v>
      </c>
      <c r="D2130">
        <v>10</v>
      </c>
      <c r="E2130">
        <v>2130.0100000000002</v>
      </c>
      <c r="F2130" s="4">
        <v>37683</v>
      </c>
      <c r="G2130" t="s">
        <v>93</v>
      </c>
      <c r="H2130">
        <v>1</v>
      </c>
      <c r="I2130">
        <v>3</v>
      </c>
      <c r="J2130">
        <v>2003</v>
      </c>
      <c r="K2130" t="s">
        <v>265</v>
      </c>
      <c r="L2130">
        <v>80</v>
      </c>
      <c r="M2130" t="s">
        <v>840</v>
      </c>
      <c r="N2130" t="s">
        <v>547</v>
      </c>
      <c r="O2130" t="s">
        <v>548</v>
      </c>
      <c r="P2130" t="s">
        <v>549</v>
      </c>
      <c r="R2130" t="s">
        <v>550</v>
      </c>
      <c r="T2130" t="s">
        <v>551</v>
      </c>
      <c r="U2130" t="s">
        <v>552</v>
      </c>
      <c r="V2130" t="s">
        <v>288</v>
      </c>
      <c r="W2130" t="s">
        <v>553</v>
      </c>
      <c r="X2130" t="s">
        <v>554</v>
      </c>
      <c r="Y2130" t="s">
        <v>104</v>
      </c>
    </row>
    <row r="2131" spans="1:25">
      <c r="A2131">
        <v>10122</v>
      </c>
      <c r="B2131">
        <v>29</v>
      </c>
      <c r="C2131">
        <v>71.14</v>
      </c>
      <c r="D2131">
        <v>14</v>
      </c>
      <c r="E2131">
        <v>2063.06</v>
      </c>
      <c r="F2131" s="4">
        <v>37838</v>
      </c>
      <c r="G2131" t="s">
        <v>93</v>
      </c>
      <c r="H2131">
        <v>2</v>
      </c>
      <c r="I2131">
        <v>5</v>
      </c>
      <c r="J2131">
        <v>2003</v>
      </c>
      <c r="K2131" t="s">
        <v>265</v>
      </c>
      <c r="L2131">
        <v>80</v>
      </c>
      <c r="M2131" t="s">
        <v>840</v>
      </c>
      <c r="N2131" t="s">
        <v>555</v>
      </c>
      <c r="O2131" t="s">
        <v>556</v>
      </c>
      <c r="P2131" t="s">
        <v>557</v>
      </c>
      <c r="R2131" t="s">
        <v>558</v>
      </c>
      <c r="T2131">
        <v>13008</v>
      </c>
      <c r="U2131" t="s">
        <v>109</v>
      </c>
      <c r="V2131" t="s">
        <v>110</v>
      </c>
      <c r="W2131" t="s">
        <v>559</v>
      </c>
      <c r="X2131" t="s">
        <v>560</v>
      </c>
      <c r="Y2131" t="s">
        <v>104</v>
      </c>
    </row>
    <row r="2132" spans="1:25">
      <c r="A2132">
        <v>10135</v>
      </c>
      <c r="B2132">
        <v>23</v>
      </c>
      <c r="C2132">
        <v>87.31</v>
      </c>
      <c r="D2132">
        <v>11</v>
      </c>
      <c r="E2132">
        <v>2008.13</v>
      </c>
      <c r="F2132" s="4">
        <v>37659</v>
      </c>
      <c r="G2132" t="s">
        <v>93</v>
      </c>
      <c r="H2132">
        <v>3</v>
      </c>
      <c r="I2132">
        <v>7</v>
      </c>
      <c r="J2132">
        <v>2003</v>
      </c>
      <c r="K2132" t="s">
        <v>265</v>
      </c>
      <c r="L2132">
        <v>80</v>
      </c>
      <c r="M2132" t="s">
        <v>840</v>
      </c>
      <c r="N2132" t="s">
        <v>367</v>
      </c>
      <c r="O2132">
        <v>4155551450</v>
      </c>
      <c r="P2132" t="s">
        <v>368</v>
      </c>
      <c r="R2132" t="s">
        <v>369</v>
      </c>
      <c r="S2132" t="s">
        <v>124</v>
      </c>
      <c r="T2132">
        <v>97562</v>
      </c>
      <c r="U2132" t="s">
        <v>100</v>
      </c>
      <c r="V2132" t="s">
        <v>101</v>
      </c>
      <c r="W2132" t="s">
        <v>370</v>
      </c>
      <c r="X2132" t="s">
        <v>371</v>
      </c>
      <c r="Y2132" t="s">
        <v>104</v>
      </c>
    </row>
    <row r="2133" spans="1:25">
      <c r="A2133">
        <v>10147</v>
      </c>
      <c r="B2133">
        <v>31</v>
      </c>
      <c r="C2133">
        <v>64.67</v>
      </c>
      <c r="D2133">
        <v>11</v>
      </c>
      <c r="E2133">
        <v>2004.77</v>
      </c>
      <c r="F2133" s="4">
        <v>37750</v>
      </c>
      <c r="G2133" t="s">
        <v>93</v>
      </c>
      <c r="H2133">
        <v>3</v>
      </c>
      <c r="I2133">
        <v>9</v>
      </c>
      <c r="J2133">
        <v>2003</v>
      </c>
      <c r="K2133" t="s">
        <v>265</v>
      </c>
      <c r="L2133">
        <v>80</v>
      </c>
      <c r="M2133" t="s">
        <v>840</v>
      </c>
      <c r="N2133" t="s">
        <v>379</v>
      </c>
      <c r="O2133">
        <v>6175558555</v>
      </c>
      <c r="P2133" t="s">
        <v>380</v>
      </c>
      <c r="R2133" t="s">
        <v>381</v>
      </c>
      <c r="S2133" t="s">
        <v>200</v>
      </c>
      <c r="T2133">
        <v>58339</v>
      </c>
      <c r="U2133" t="s">
        <v>100</v>
      </c>
      <c r="V2133" t="s">
        <v>101</v>
      </c>
      <c r="W2133" t="s">
        <v>370</v>
      </c>
      <c r="X2133" t="s">
        <v>382</v>
      </c>
      <c r="Y2133" t="s">
        <v>104</v>
      </c>
    </row>
    <row r="2134" spans="1:25">
      <c r="A2134">
        <v>10159</v>
      </c>
      <c r="B2134">
        <v>23</v>
      </c>
      <c r="C2134">
        <v>67.099999999999994</v>
      </c>
      <c r="D2134">
        <v>6</v>
      </c>
      <c r="E2134">
        <v>1543.3</v>
      </c>
      <c r="F2134" s="4">
        <v>37904</v>
      </c>
      <c r="G2134" t="s">
        <v>93</v>
      </c>
      <c r="H2134">
        <v>4</v>
      </c>
      <c r="I2134">
        <v>10</v>
      </c>
      <c r="J2134">
        <v>2003</v>
      </c>
      <c r="K2134" t="s">
        <v>265</v>
      </c>
      <c r="L2134">
        <v>80</v>
      </c>
      <c r="M2134" t="s">
        <v>840</v>
      </c>
      <c r="N2134" t="s">
        <v>127</v>
      </c>
      <c r="O2134">
        <v>6505551386</v>
      </c>
      <c r="P2134" t="s">
        <v>128</v>
      </c>
      <c r="R2134" t="s">
        <v>129</v>
      </c>
      <c r="S2134" t="s">
        <v>124</v>
      </c>
      <c r="U2134" t="s">
        <v>100</v>
      </c>
      <c r="V2134" t="s">
        <v>101</v>
      </c>
      <c r="W2134" t="s">
        <v>130</v>
      </c>
      <c r="X2134" t="s">
        <v>126</v>
      </c>
      <c r="Y2134" t="s">
        <v>104</v>
      </c>
    </row>
    <row r="2135" spans="1:25">
      <c r="A2135">
        <v>10169</v>
      </c>
      <c r="B2135">
        <v>24</v>
      </c>
      <c r="C2135">
        <v>94.58</v>
      </c>
      <c r="D2135">
        <v>6</v>
      </c>
      <c r="E2135">
        <v>2269.92</v>
      </c>
      <c r="F2135" s="4">
        <v>37722</v>
      </c>
      <c r="G2135" t="s">
        <v>93</v>
      </c>
      <c r="H2135">
        <v>4</v>
      </c>
      <c r="I2135">
        <v>11</v>
      </c>
      <c r="J2135">
        <v>2003</v>
      </c>
      <c r="K2135" t="s">
        <v>265</v>
      </c>
      <c r="L2135">
        <v>80</v>
      </c>
      <c r="M2135" t="s">
        <v>840</v>
      </c>
      <c r="N2135" t="s">
        <v>384</v>
      </c>
      <c r="O2135" t="s">
        <v>385</v>
      </c>
      <c r="P2135" t="s">
        <v>386</v>
      </c>
      <c r="Q2135" t="s">
        <v>387</v>
      </c>
      <c r="R2135" t="s">
        <v>388</v>
      </c>
      <c r="S2135" t="s">
        <v>239</v>
      </c>
      <c r="T2135">
        <v>2060</v>
      </c>
      <c r="U2135" t="s">
        <v>168</v>
      </c>
      <c r="V2135" t="s">
        <v>169</v>
      </c>
      <c r="W2135" t="s">
        <v>389</v>
      </c>
      <c r="X2135" t="s">
        <v>390</v>
      </c>
      <c r="Y2135" t="s">
        <v>104</v>
      </c>
    </row>
    <row r="2136" spans="1:25">
      <c r="A2136">
        <v>10180</v>
      </c>
      <c r="B2136">
        <v>28</v>
      </c>
      <c r="C2136">
        <v>71.14</v>
      </c>
      <c r="D2136">
        <v>1</v>
      </c>
      <c r="E2136">
        <v>1991.92</v>
      </c>
      <c r="F2136" s="4">
        <v>37936</v>
      </c>
      <c r="G2136" t="s">
        <v>93</v>
      </c>
      <c r="H2136">
        <v>4</v>
      </c>
      <c r="I2136">
        <v>11</v>
      </c>
      <c r="J2136">
        <v>2003</v>
      </c>
      <c r="K2136" t="s">
        <v>265</v>
      </c>
      <c r="L2136">
        <v>80</v>
      </c>
      <c r="M2136" t="s">
        <v>840</v>
      </c>
      <c r="N2136" t="s">
        <v>137</v>
      </c>
      <c r="O2136" t="s">
        <v>138</v>
      </c>
      <c r="P2136" t="s">
        <v>139</v>
      </c>
      <c r="R2136" t="s">
        <v>140</v>
      </c>
      <c r="T2136">
        <v>59000</v>
      </c>
      <c r="U2136" t="s">
        <v>109</v>
      </c>
      <c r="V2136" t="s">
        <v>110</v>
      </c>
      <c r="W2136" t="s">
        <v>141</v>
      </c>
      <c r="X2136" t="s">
        <v>142</v>
      </c>
      <c r="Y2136" t="s">
        <v>104</v>
      </c>
    </row>
    <row r="2137" spans="1:25">
      <c r="A2137">
        <v>10191</v>
      </c>
      <c r="B2137">
        <v>44</v>
      </c>
      <c r="C2137">
        <v>66.290000000000006</v>
      </c>
      <c r="D2137">
        <v>7</v>
      </c>
      <c r="E2137">
        <v>2916.76</v>
      </c>
      <c r="F2137" t="s">
        <v>561</v>
      </c>
      <c r="G2137" t="s">
        <v>93</v>
      </c>
      <c r="H2137">
        <v>4</v>
      </c>
      <c r="I2137">
        <v>11</v>
      </c>
      <c r="J2137">
        <v>2003</v>
      </c>
      <c r="K2137" t="s">
        <v>265</v>
      </c>
      <c r="L2137">
        <v>80</v>
      </c>
      <c r="M2137" t="s">
        <v>840</v>
      </c>
      <c r="N2137" t="s">
        <v>562</v>
      </c>
      <c r="O2137" t="s">
        <v>563</v>
      </c>
      <c r="P2137" t="s">
        <v>564</v>
      </c>
      <c r="R2137" t="s">
        <v>565</v>
      </c>
      <c r="T2137">
        <v>50739</v>
      </c>
      <c r="U2137" t="s">
        <v>566</v>
      </c>
      <c r="V2137" t="s">
        <v>110</v>
      </c>
      <c r="W2137" t="s">
        <v>567</v>
      </c>
      <c r="X2137" t="s">
        <v>568</v>
      </c>
      <c r="Y2137" t="s">
        <v>104</v>
      </c>
    </row>
    <row r="2138" spans="1:25">
      <c r="A2138">
        <v>10211</v>
      </c>
      <c r="B2138">
        <v>22</v>
      </c>
      <c r="C2138">
        <v>92.16</v>
      </c>
      <c r="D2138">
        <v>6</v>
      </c>
      <c r="E2138">
        <v>2027.52</v>
      </c>
      <c r="F2138" t="s">
        <v>155</v>
      </c>
      <c r="G2138" t="s">
        <v>93</v>
      </c>
      <c r="H2138">
        <v>1</v>
      </c>
      <c r="I2138">
        <v>1</v>
      </c>
      <c r="J2138">
        <v>2004</v>
      </c>
      <c r="K2138" t="s">
        <v>265</v>
      </c>
      <c r="L2138">
        <v>80</v>
      </c>
      <c r="M2138" t="s">
        <v>840</v>
      </c>
      <c r="N2138" t="s">
        <v>156</v>
      </c>
      <c r="O2138" t="s">
        <v>157</v>
      </c>
      <c r="P2138" t="s">
        <v>158</v>
      </c>
      <c r="R2138" t="s">
        <v>116</v>
      </c>
      <c r="T2138">
        <v>75016</v>
      </c>
      <c r="U2138" t="s">
        <v>109</v>
      </c>
      <c r="V2138" t="s">
        <v>110</v>
      </c>
      <c r="W2138" t="s">
        <v>159</v>
      </c>
      <c r="X2138" t="s">
        <v>160</v>
      </c>
      <c r="Y2138" t="s">
        <v>104</v>
      </c>
    </row>
    <row r="2139" spans="1:25">
      <c r="A2139">
        <v>10225</v>
      </c>
      <c r="B2139">
        <v>46</v>
      </c>
      <c r="C2139">
        <v>70.33</v>
      </c>
      <c r="D2139">
        <v>13</v>
      </c>
      <c r="E2139">
        <v>3235.18</v>
      </c>
      <c r="F2139" t="s">
        <v>569</v>
      </c>
      <c r="G2139" t="s">
        <v>93</v>
      </c>
      <c r="H2139">
        <v>1</v>
      </c>
      <c r="I2139">
        <v>2</v>
      </c>
      <c r="J2139">
        <v>2004</v>
      </c>
      <c r="K2139" t="s">
        <v>265</v>
      </c>
      <c r="L2139">
        <v>80</v>
      </c>
      <c r="M2139" t="s">
        <v>840</v>
      </c>
      <c r="N2139" t="s">
        <v>570</v>
      </c>
      <c r="O2139" t="s">
        <v>571</v>
      </c>
      <c r="P2139" t="s">
        <v>572</v>
      </c>
      <c r="R2139" t="s">
        <v>573</v>
      </c>
      <c r="T2139">
        <v>1203</v>
      </c>
      <c r="U2139" t="s">
        <v>574</v>
      </c>
      <c r="V2139" t="s">
        <v>110</v>
      </c>
      <c r="W2139" t="s">
        <v>575</v>
      </c>
      <c r="X2139" t="s">
        <v>176</v>
      </c>
      <c r="Y2139" t="s">
        <v>119</v>
      </c>
    </row>
    <row r="2140" spans="1:25">
      <c r="A2140">
        <v>10238</v>
      </c>
      <c r="B2140">
        <v>22</v>
      </c>
      <c r="C2140">
        <v>93.77</v>
      </c>
      <c r="D2140">
        <v>7</v>
      </c>
      <c r="E2140">
        <v>2062.94</v>
      </c>
      <c r="F2140" s="4">
        <v>38234</v>
      </c>
      <c r="G2140" t="s">
        <v>93</v>
      </c>
      <c r="H2140">
        <v>2</v>
      </c>
      <c r="I2140">
        <v>4</v>
      </c>
      <c r="J2140">
        <v>2004</v>
      </c>
      <c r="K2140" t="s">
        <v>265</v>
      </c>
      <c r="L2140">
        <v>80</v>
      </c>
      <c r="M2140" t="s">
        <v>840</v>
      </c>
      <c r="N2140" t="s">
        <v>425</v>
      </c>
      <c r="O2140" t="s">
        <v>426</v>
      </c>
      <c r="P2140" t="s">
        <v>427</v>
      </c>
      <c r="R2140" t="s">
        <v>428</v>
      </c>
      <c r="T2140">
        <v>1734</v>
      </c>
      <c r="U2140" t="s">
        <v>429</v>
      </c>
      <c r="V2140" t="s">
        <v>110</v>
      </c>
      <c r="W2140" t="s">
        <v>430</v>
      </c>
      <c r="X2140" t="s">
        <v>431</v>
      </c>
      <c r="Y2140" t="s">
        <v>104</v>
      </c>
    </row>
    <row r="2141" spans="1:25">
      <c r="A2141">
        <v>10252</v>
      </c>
      <c r="B2141">
        <v>38</v>
      </c>
      <c r="C2141">
        <v>87.31</v>
      </c>
      <c r="D2141">
        <v>3</v>
      </c>
      <c r="E2141">
        <v>3317.78</v>
      </c>
      <c r="F2141" t="s">
        <v>788</v>
      </c>
      <c r="G2141" t="s">
        <v>93</v>
      </c>
      <c r="H2141">
        <v>2</v>
      </c>
      <c r="I2141">
        <v>5</v>
      </c>
      <c r="J2141">
        <v>2004</v>
      </c>
      <c r="K2141" t="s">
        <v>265</v>
      </c>
      <c r="L2141">
        <v>80</v>
      </c>
      <c r="M2141" t="s">
        <v>840</v>
      </c>
      <c r="N2141" t="s">
        <v>156</v>
      </c>
      <c r="O2141" t="s">
        <v>157</v>
      </c>
      <c r="P2141" t="s">
        <v>158</v>
      </c>
      <c r="R2141" t="s">
        <v>116</v>
      </c>
      <c r="T2141">
        <v>75016</v>
      </c>
      <c r="U2141" t="s">
        <v>109</v>
      </c>
      <c r="V2141" t="s">
        <v>110</v>
      </c>
      <c r="W2141" t="s">
        <v>159</v>
      </c>
      <c r="X2141" t="s">
        <v>160</v>
      </c>
      <c r="Y2141" t="s">
        <v>119</v>
      </c>
    </row>
    <row r="2142" spans="1:25">
      <c r="A2142">
        <v>10264</v>
      </c>
      <c r="B2142">
        <v>47</v>
      </c>
      <c r="C2142">
        <v>83.27</v>
      </c>
      <c r="D2142">
        <v>1</v>
      </c>
      <c r="E2142">
        <v>3913.69</v>
      </c>
      <c r="F2142" t="s">
        <v>794</v>
      </c>
      <c r="G2142" t="s">
        <v>93</v>
      </c>
      <c r="H2142">
        <v>2</v>
      </c>
      <c r="I2142">
        <v>6</v>
      </c>
      <c r="J2142">
        <v>2004</v>
      </c>
      <c r="K2142" t="s">
        <v>265</v>
      </c>
      <c r="L2142">
        <v>80</v>
      </c>
      <c r="M2142" t="s">
        <v>840</v>
      </c>
      <c r="N2142" t="s">
        <v>490</v>
      </c>
      <c r="O2142">
        <v>6175559555</v>
      </c>
      <c r="P2142" t="s">
        <v>491</v>
      </c>
      <c r="R2142" t="s">
        <v>492</v>
      </c>
      <c r="S2142" t="s">
        <v>200</v>
      </c>
      <c r="T2142">
        <v>51003</v>
      </c>
      <c r="U2142" t="s">
        <v>100</v>
      </c>
      <c r="V2142" t="s">
        <v>101</v>
      </c>
      <c r="W2142" t="s">
        <v>493</v>
      </c>
      <c r="X2142" t="s">
        <v>136</v>
      </c>
      <c r="Y2142" t="s">
        <v>119</v>
      </c>
    </row>
    <row r="2143" spans="1:25">
      <c r="A2143">
        <v>10276</v>
      </c>
      <c r="B2143">
        <v>48</v>
      </c>
      <c r="C2143">
        <v>75.180000000000007</v>
      </c>
      <c r="D2143">
        <v>7</v>
      </c>
      <c r="E2143">
        <v>3608.64</v>
      </c>
      <c r="F2143" s="4">
        <v>38025</v>
      </c>
      <c r="G2143" t="s">
        <v>93</v>
      </c>
      <c r="H2143">
        <v>3</v>
      </c>
      <c r="I2143">
        <v>8</v>
      </c>
      <c r="J2143">
        <v>2004</v>
      </c>
      <c r="K2143" t="s">
        <v>265</v>
      </c>
      <c r="L2143">
        <v>80</v>
      </c>
      <c r="M2143" t="s">
        <v>840</v>
      </c>
      <c r="N2143" t="s">
        <v>582</v>
      </c>
      <c r="O2143">
        <v>6175557555</v>
      </c>
      <c r="P2143" t="s">
        <v>583</v>
      </c>
      <c r="R2143" t="s">
        <v>381</v>
      </c>
      <c r="S2143" t="s">
        <v>200</v>
      </c>
      <c r="T2143">
        <v>58339</v>
      </c>
      <c r="U2143" t="s">
        <v>100</v>
      </c>
      <c r="V2143" t="s">
        <v>101</v>
      </c>
      <c r="W2143" t="s">
        <v>584</v>
      </c>
      <c r="X2143" t="s">
        <v>585</v>
      </c>
      <c r="Y2143" t="s">
        <v>119</v>
      </c>
    </row>
    <row r="2144" spans="1:25">
      <c r="A2144">
        <v>10287</v>
      </c>
      <c r="B2144">
        <v>40</v>
      </c>
      <c r="C2144">
        <v>88.12</v>
      </c>
      <c r="D2144">
        <v>16</v>
      </c>
      <c r="E2144">
        <v>3524.8</v>
      </c>
      <c r="F2144" t="s">
        <v>586</v>
      </c>
      <c r="G2144" t="s">
        <v>93</v>
      </c>
      <c r="H2144">
        <v>3</v>
      </c>
      <c r="I2144">
        <v>8</v>
      </c>
      <c r="J2144">
        <v>2004</v>
      </c>
      <c r="K2144" t="s">
        <v>265</v>
      </c>
      <c r="L2144">
        <v>80</v>
      </c>
      <c r="M2144" t="s">
        <v>840</v>
      </c>
      <c r="N2144" t="s">
        <v>570</v>
      </c>
      <c r="O2144" t="s">
        <v>571</v>
      </c>
      <c r="P2144" t="s">
        <v>572</v>
      </c>
      <c r="R2144" t="s">
        <v>573</v>
      </c>
      <c r="T2144">
        <v>1203</v>
      </c>
      <c r="U2144" t="s">
        <v>574</v>
      </c>
      <c r="V2144" t="s">
        <v>110</v>
      </c>
      <c r="W2144" t="s">
        <v>575</v>
      </c>
      <c r="X2144" t="s">
        <v>176</v>
      </c>
      <c r="Y2144" t="s">
        <v>119</v>
      </c>
    </row>
    <row r="2145" spans="1:25">
      <c r="A2145">
        <v>10299</v>
      </c>
      <c r="B2145">
        <v>32</v>
      </c>
      <c r="C2145">
        <v>80.84</v>
      </c>
      <c r="D2145">
        <v>1</v>
      </c>
      <c r="E2145">
        <v>2586.88</v>
      </c>
      <c r="F2145" t="s">
        <v>203</v>
      </c>
      <c r="G2145" t="s">
        <v>93</v>
      </c>
      <c r="H2145">
        <v>3</v>
      </c>
      <c r="I2145">
        <v>9</v>
      </c>
      <c r="J2145">
        <v>2004</v>
      </c>
      <c r="K2145" t="s">
        <v>265</v>
      </c>
      <c r="L2145">
        <v>80</v>
      </c>
      <c r="M2145" t="s">
        <v>840</v>
      </c>
      <c r="N2145" t="s">
        <v>204</v>
      </c>
      <c r="O2145" t="s">
        <v>205</v>
      </c>
      <c r="P2145" t="s">
        <v>206</v>
      </c>
      <c r="R2145" t="s">
        <v>207</v>
      </c>
      <c r="T2145">
        <v>21240</v>
      </c>
      <c r="U2145" t="s">
        <v>208</v>
      </c>
      <c r="V2145" t="s">
        <v>110</v>
      </c>
      <c r="W2145" t="s">
        <v>209</v>
      </c>
      <c r="X2145" t="s">
        <v>210</v>
      </c>
      <c r="Y2145" t="s">
        <v>104</v>
      </c>
    </row>
    <row r="2146" spans="1:25">
      <c r="A2146">
        <v>10310</v>
      </c>
      <c r="B2146">
        <v>49</v>
      </c>
      <c r="C2146">
        <v>97.01</v>
      </c>
      <c r="D2146">
        <v>14</v>
      </c>
      <c r="E2146">
        <v>4753.49</v>
      </c>
      <c r="F2146" t="s">
        <v>592</v>
      </c>
      <c r="G2146" t="s">
        <v>93</v>
      </c>
      <c r="H2146">
        <v>4</v>
      </c>
      <c r="I2146">
        <v>10</v>
      </c>
      <c r="J2146">
        <v>2004</v>
      </c>
      <c r="K2146" t="s">
        <v>265</v>
      </c>
      <c r="L2146">
        <v>80</v>
      </c>
      <c r="M2146" t="s">
        <v>840</v>
      </c>
      <c r="N2146" t="s">
        <v>562</v>
      </c>
      <c r="O2146" t="s">
        <v>563</v>
      </c>
      <c r="P2146" t="s">
        <v>564</v>
      </c>
      <c r="R2146" t="s">
        <v>565</v>
      </c>
      <c r="T2146">
        <v>50739</v>
      </c>
      <c r="U2146" t="s">
        <v>566</v>
      </c>
      <c r="V2146" t="s">
        <v>110</v>
      </c>
      <c r="W2146" t="s">
        <v>567</v>
      </c>
      <c r="X2146" t="s">
        <v>568</v>
      </c>
      <c r="Y2146" t="s">
        <v>119</v>
      </c>
    </row>
    <row r="2147" spans="1:25">
      <c r="A2147">
        <v>10319</v>
      </c>
      <c r="B2147">
        <v>43</v>
      </c>
      <c r="C2147">
        <v>85.69</v>
      </c>
      <c r="D2147">
        <v>2</v>
      </c>
      <c r="E2147">
        <v>3684.67</v>
      </c>
      <c r="F2147" s="4">
        <v>38057</v>
      </c>
      <c r="G2147" t="s">
        <v>93</v>
      </c>
      <c r="H2147">
        <v>4</v>
      </c>
      <c r="I2147">
        <v>11</v>
      </c>
      <c r="J2147">
        <v>2004</v>
      </c>
      <c r="K2147" t="s">
        <v>265</v>
      </c>
      <c r="L2147">
        <v>80</v>
      </c>
      <c r="M2147" t="s">
        <v>840</v>
      </c>
      <c r="N2147" t="s">
        <v>643</v>
      </c>
      <c r="O2147">
        <v>2125551957</v>
      </c>
      <c r="P2147" t="s">
        <v>644</v>
      </c>
      <c r="Q2147" t="s">
        <v>645</v>
      </c>
      <c r="R2147" t="s">
        <v>98</v>
      </c>
      <c r="S2147" t="s">
        <v>99</v>
      </c>
      <c r="T2147">
        <v>10022</v>
      </c>
      <c r="U2147" t="s">
        <v>100</v>
      </c>
      <c r="V2147" t="s">
        <v>101</v>
      </c>
      <c r="W2147" t="s">
        <v>646</v>
      </c>
      <c r="X2147" t="s">
        <v>647</v>
      </c>
      <c r="Y2147" t="s">
        <v>119</v>
      </c>
    </row>
    <row r="2148" spans="1:25">
      <c r="A2148">
        <v>10331</v>
      </c>
      <c r="B2148">
        <v>41</v>
      </c>
      <c r="C2148">
        <v>100</v>
      </c>
      <c r="D2148">
        <v>2</v>
      </c>
      <c r="E2148">
        <v>5715.4</v>
      </c>
      <c r="F2148" t="s">
        <v>695</v>
      </c>
      <c r="G2148" t="s">
        <v>93</v>
      </c>
      <c r="H2148">
        <v>4</v>
      </c>
      <c r="I2148">
        <v>11</v>
      </c>
      <c r="J2148">
        <v>2004</v>
      </c>
      <c r="K2148" t="s">
        <v>265</v>
      </c>
      <c r="L2148">
        <v>80</v>
      </c>
      <c r="M2148" t="s">
        <v>840</v>
      </c>
      <c r="N2148" t="s">
        <v>410</v>
      </c>
      <c r="O2148">
        <v>2155559857</v>
      </c>
      <c r="P2148" t="s">
        <v>411</v>
      </c>
      <c r="R2148" t="s">
        <v>306</v>
      </c>
      <c r="S2148" t="s">
        <v>221</v>
      </c>
      <c r="T2148">
        <v>71270</v>
      </c>
      <c r="U2148" t="s">
        <v>100</v>
      </c>
      <c r="V2148" t="s">
        <v>101</v>
      </c>
      <c r="W2148" t="s">
        <v>201</v>
      </c>
      <c r="X2148" t="s">
        <v>412</v>
      </c>
      <c r="Y2148" t="s">
        <v>119</v>
      </c>
    </row>
    <row r="2149" spans="1:25">
      <c r="A2149">
        <v>10343</v>
      </c>
      <c r="B2149">
        <v>30</v>
      </c>
      <c r="C2149">
        <v>100</v>
      </c>
      <c r="D2149">
        <v>1</v>
      </c>
      <c r="E2149">
        <v>3098.7</v>
      </c>
      <c r="F2149" t="s">
        <v>224</v>
      </c>
      <c r="G2149" t="s">
        <v>93</v>
      </c>
      <c r="H2149">
        <v>4</v>
      </c>
      <c r="I2149">
        <v>11</v>
      </c>
      <c r="J2149">
        <v>2004</v>
      </c>
      <c r="K2149" t="s">
        <v>265</v>
      </c>
      <c r="L2149">
        <v>80</v>
      </c>
      <c r="M2149" t="s">
        <v>840</v>
      </c>
      <c r="N2149" t="s">
        <v>105</v>
      </c>
      <c r="O2149" t="s">
        <v>106</v>
      </c>
      <c r="P2149" t="s">
        <v>107</v>
      </c>
      <c r="R2149" t="s">
        <v>108</v>
      </c>
      <c r="T2149">
        <v>51100</v>
      </c>
      <c r="U2149" t="s">
        <v>109</v>
      </c>
      <c r="V2149" t="s">
        <v>110</v>
      </c>
      <c r="W2149" t="s">
        <v>111</v>
      </c>
      <c r="X2149" t="s">
        <v>112</v>
      </c>
      <c r="Y2149" t="s">
        <v>119</v>
      </c>
    </row>
    <row r="2150" spans="1:25">
      <c r="A2150">
        <v>10355</v>
      </c>
      <c r="B2150">
        <v>28</v>
      </c>
      <c r="C2150">
        <v>95.39</v>
      </c>
      <c r="D2150">
        <v>9</v>
      </c>
      <c r="E2150">
        <v>2670.92</v>
      </c>
      <c r="F2150" s="4">
        <v>38180</v>
      </c>
      <c r="G2150" t="s">
        <v>93</v>
      </c>
      <c r="H2150">
        <v>4</v>
      </c>
      <c r="I2150">
        <v>12</v>
      </c>
      <c r="J2150">
        <v>2004</v>
      </c>
      <c r="K2150" t="s">
        <v>265</v>
      </c>
      <c r="L2150">
        <v>80</v>
      </c>
      <c r="M2150" t="s">
        <v>840</v>
      </c>
      <c r="N2150" t="s">
        <v>257</v>
      </c>
      <c r="O2150" t="s">
        <v>258</v>
      </c>
      <c r="P2150" t="s">
        <v>259</v>
      </c>
      <c r="R2150" t="s">
        <v>260</v>
      </c>
      <c r="T2150">
        <v>28034</v>
      </c>
      <c r="U2150" t="s">
        <v>261</v>
      </c>
      <c r="V2150" t="s">
        <v>110</v>
      </c>
      <c r="W2150" t="s">
        <v>262</v>
      </c>
      <c r="X2150" t="s">
        <v>263</v>
      </c>
      <c r="Y2150" t="s">
        <v>104</v>
      </c>
    </row>
    <row r="2151" spans="1:25">
      <c r="A2151">
        <v>10363</v>
      </c>
      <c r="B2151">
        <v>43</v>
      </c>
      <c r="C2151">
        <v>100</v>
      </c>
      <c r="D2151">
        <v>9</v>
      </c>
      <c r="E2151">
        <v>5154.41</v>
      </c>
      <c r="F2151" s="4">
        <v>38504</v>
      </c>
      <c r="G2151" t="s">
        <v>93</v>
      </c>
      <c r="H2151">
        <v>1</v>
      </c>
      <c r="I2151">
        <v>1</v>
      </c>
      <c r="J2151">
        <v>2005</v>
      </c>
      <c r="K2151" t="s">
        <v>265</v>
      </c>
      <c r="L2151">
        <v>80</v>
      </c>
      <c r="M2151" t="s">
        <v>840</v>
      </c>
      <c r="N2151" t="s">
        <v>593</v>
      </c>
      <c r="O2151" t="s">
        <v>594</v>
      </c>
      <c r="P2151" t="s">
        <v>595</v>
      </c>
      <c r="R2151" t="s">
        <v>596</v>
      </c>
      <c r="T2151" t="s">
        <v>597</v>
      </c>
      <c r="U2151" t="s">
        <v>208</v>
      </c>
      <c r="V2151" t="s">
        <v>110</v>
      </c>
      <c r="W2151" t="s">
        <v>598</v>
      </c>
      <c r="X2151" t="s">
        <v>599</v>
      </c>
      <c r="Y2151" t="s">
        <v>119</v>
      </c>
    </row>
    <row r="2152" spans="1:25">
      <c r="A2152">
        <v>10378</v>
      </c>
      <c r="B2152">
        <v>41</v>
      </c>
      <c r="C2152">
        <v>100</v>
      </c>
      <c r="D2152">
        <v>2</v>
      </c>
      <c r="E2152">
        <v>4894.17</v>
      </c>
      <c r="F2152" s="4">
        <v>38627</v>
      </c>
      <c r="G2152" t="s">
        <v>93</v>
      </c>
      <c r="H2152">
        <v>1</v>
      </c>
      <c r="I2152">
        <v>2</v>
      </c>
      <c r="J2152">
        <v>2005</v>
      </c>
      <c r="K2152" t="s">
        <v>265</v>
      </c>
      <c r="L2152">
        <v>80</v>
      </c>
      <c r="M2152" t="s">
        <v>840</v>
      </c>
      <c r="N2152" t="s">
        <v>257</v>
      </c>
      <c r="O2152" t="s">
        <v>258</v>
      </c>
      <c r="P2152" t="s">
        <v>259</v>
      </c>
      <c r="R2152" t="s">
        <v>260</v>
      </c>
      <c r="T2152">
        <v>28034</v>
      </c>
      <c r="U2152" t="s">
        <v>261</v>
      </c>
      <c r="V2152" t="s">
        <v>110</v>
      </c>
      <c r="W2152" t="s">
        <v>262</v>
      </c>
      <c r="X2152" t="s">
        <v>263</v>
      </c>
      <c r="Y2152" t="s">
        <v>119</v>
      </c>
    </row>
    <row r="2153" spans="1:25">
      <c r="A2153">
        <v>10390</v>
      </c>
      <c r="B2153">
        <v>30</v>
      </c>
      <c r="C2153">
        <v>82.42</v>
      </c>
      <c r="D2153">
        <v>10</v>
      </c>
      <c r="E2153">
        <v>2472.6</v>
      </c>
      <c r="F2153" s="4">
        <v>38445</v>
      </c>
      <c r="G2153" t="s">
        <v>93</v>
      </c>
      <c r="H2153">
        <v>1</v>
      </c>
      <c r="I2153">
        <v>3</v>
      </c>
      <c r="J2153">
        <v>2005</v>
      </c>
      <c r="K2153" t="s">
        <v>265</v>
      </c>
      <c r="L2153">
        <v>80</v>
      </c>
      <c r="M2153" t="s">
        <v>840</v>
      </c>
      <c r="N2153" t="s">
        <v>367</v>
      </c>
      <c r="O2153">
        <v>4155551450</v>
      </c>
      <c r="P2153" t="s">
        <v>368</v>
      </c>
      <c r="R2153" t="s">
        <v>369</v>
      </c>
      <c r="S2153" t="s">
        <v>124</v>
      </c>
      <c r="T2153">
        <v>97562</v>
      </c>
      <c r="U2153" t="s">
        <v>100</v>
      </c>
      <c r="V2153" t="s">
        <v>101</v>
      </c>
      <c r="W2153" t="s">
        <v>370</v>
      </c>
      <c r="X2153" t="s">
        <v>371</v>
      </c>
      <c r="Y2153" t="s">
        <v>104</v>
      </c>
    </row>
    <row r="2154" spans="1:25">
      <c r="A2154">
        <v>10103</v>
      </c>
      <c r="B2154">
        <v>31</v>
      </c>
      <c r="C2154">
        <v>100</v>
      </c>
      <c r="D2154">
        <v>3</v>
      </c>
      <c r="E2154">
        <v>3224.31</v>
      </c>
      <c r="F2154" t="s">
        <v>264</v>
      </c>
      <c r="G2154" t="s">
        <v>93</v>
      </c>
      <c r="H2154">
        <v>1</v>
      </c>
      <c r="I2154">
        <v>1</v>
      </c>
      <c r="J2154">
        <v>2003</v>
      </c>
      <c r="K2154" t="s">
        <v>638</v>
      </c>
      <c r="L2154">
        <v>96</v>
      </c>
      <c r="M2154" t="s">
        <v>841</v>
      </c>
      <c r="N2154" t="s">
        <v>212</v>
      </c>
      <c r="O2154" t="s">
        <v>213</v>
      </c>
      <c r="P2154" t="s">
        <v>214</v>
      </c>
      <c r="R2154" t="s">
        <v>215</v>
      </c>
      <c r="T2154">
        <v>4110</v>
      </c>
      <c r="U2154" t="s">
        <v>149</v>
      </c>
      <c r="V2154" t="s">
        <v>110</v>
      </c>
      <c r="W2154" t="s">
        <v>216</v>
      </c>
      <c r="X2154" t="s">
        <v>217</v>
      </c>
      <c r="Y2154" t="s">
        <v>119</v>
      </c>
    </row>
    <row r="2155" spans="1:25">
      <c r="A2155">
        <v>10114</v>
      </c>
      <c r="B2155">
        <v>32</v>
      </c>
      <c r="C2155">
        <v>100</v>
      </c>
      <c r="D2155">
        <v>7</v>
      </c>
      <c r="E2155">
        <v>3667.52</v>
      </c>
      <c r="F2155" s="4">
        <v>37625</v>
      </c>
      <c r="G2155" t="s">
        <v>93</v>
      </c>
      <c r="H2155">
        <v>2</v>
      </c>
      <c r="I2155">
        <v>4</v>
      </c>
      <c r="J2155">
        <v>2003</v>
      </c>
      <c r="K2155" t="s">
        <v>638</v>
      </c>
      <c r="L2155">
        <v>96</v>
      </c>
      <c r="M2155" t="s">
        <v>841</v>
      </c>
      <c r="N2155" t="s">
        <v>520</v>
      </c>
      <c r="O2155" t="s">
        <v>521</v>
      </c>
      <c r="P2155" t="s">
        <v>522</v>
      </c>
      <c r="R2155" t="s">
        <v>116</v>
      </c>
      <c r="T2155">
        <v>75012</v>
      </c>
      <c r="U2155" t="s">
        <v>109</v>
      </c>
      <c r="V2155" t="s">
        <v>110</v>
      </c>
      <c r="W2155" t="s">
        <v>523</v>
      </c>
      <c r="X2155" t="s">
        <v>524</v>
      </c>
      <c r="Y2155" t="s">
        <v>119</v>
      </c>
    </row>
    <row r="2156" spans="1:25">
      <c r="A2156">
        <v>10126</v>
      </c>
      <c r="B2156">
        <v>43</v>
      </c>
      <c r="C2156">
        <v>96.31</v>
      </c>
      <c r="D2156">
        <v>3</v>
      </c>
      <c r="E2156">
        <v>4141.33</v>
      </c>
      <c r="F2156" t="s">
        <v>276</v>
      </c>
      <c r="G2156" t="s">
        <v>93</v>
      </c>
      <c r="H2156">
        <v>2</v>
      </c>
      <c r="I2156">
        <v>5</v>
      </c>
      <c r="J2156">
        <v>2003</v>
      </c>
      <c r="K2156" t="s">
        <v>638</v>
      </c>
      <c r="L2156">
        <v>96</v>
      </c>
      <c r="M2156" t="s">
        <v>841</v>
      </c>
      <c r="N2156" t="s">
        <v>277</v>
      </c>
      <c r="O2156" t="s">
        <v>278</v>
      </c>
      <c r="P2156" t="s">
        <v>279</v>
      </c>
      <c r="R2156" t="s">
        <v>260</v>
      </c>
      <c r="T2156">
        <v>28023</v>
      </c>
      <c r="U2156" t="s">
        <v>261</v>
      </c>
      <c r="V2156" t="s">
        <v>110</v>
      </c>
      <c r="W2156" t="s">
        <v>280</v>
      </c>
      <c r="X2156" t="s">
        <v>281</v>
      </c>
      <c r="Y2156" t="s">
        <v>119</v>
      </c>
    </row>
    <row r="2157" spans="1:25">
      <c r="A2157">
        <v>10140</v>
      </c>
      <c r="B2157">
        <v>26</v>
      </c>
      <c r="C2157">
        <v>100</v>
      </c>
      <c r="D2157">
        <v>3</v>
      </c>
      <c r="E2157">
        <v>2829.58</v>
      </c>
      <c r="F2157" t="s">
        <v>282</v>
      </c>
      <c r="G2157" t="s">
        <v>93</v>
      </c>
      <c r="H2157">
        <v>3</v>
      </c>
      <c r="I2157">
        <v>7</v>
      </c>
      <c r="J2157">
        <v>2003</v>
      </c>
      <c r="K2157" t="s">
        <v>638</v>
      </c>
      <c r="L2157">
        <v>96</v>
      </c>
      <c r="M2157" t="s">
        <v>841</v>
      </c>
      <c r="N2157" t="s">
        <v>132</v>
      </c>
      <c r="O2157">
        <v>6505556809</v>
      </c>
      <c r="P2157" t="s">
        <v>133</v>
      </c>
      <c r="R2157" t="s">
        <v>134</v>
      </c>
      <c r="S2157" t="s">
        <v>124</v>
      </c>
      <c r="T2157">
        <v>94217</v>
      </c>
      <c r="U2157" t="s">
        <v>100</v>
      </c>
      <c r="V2157" t="s">
        <v>101</v>
      </c>
      <c r="W2157" t="s">
        <v>135</v>
      </c>
      <c r="X2157" t="s">
        <v>136</v>
      </c>
      <c r="Y2157" t="s">
        <v>104</v>
      </c>
    </row>
    <row r="2158" spans="1:25">
      <c r="A2158">
        <v>10151</v>
      </c>
      <c r="B2158">
        <v>27</v>
      </c>
      <c r="C2158">
        <v>100</v>
      </c>
      <c r="D2158">
        <v>10</v>
      </c>
      <c r="E2158">
        <v>3068.55</v>
      </c>
      <c r="F2158" t="s">
        <v>661</v>
      </c>
      <c r="G2158" t="s">
        <v>93</v>
      </c>
      <c r="H2158">
        <v>3</v>
      </c>
      <c r="I2158">
        <v>9</v>
      </c>
      <c r="J2158">
        <v>2003</v>
      </c>
      <c r="K2158" t="s">
        <v>638</v>
      </c>
      <c r="L2158">
        <v>96</v>
      </c>
      <c r="M2158" t="s">
        <v>841</v>
      </c>
      <c r="N2158" t="s">
        <v>506</v>
      </c>
      <c r="O2158" t="s">
        <v>507</v>
      </c>
      <c r="P2158" t="s">
        <v>508</v>
      </c>
      <c r="R2158" t="s">
        <v>509</v>
      </c>
      <c r="T2158">
        <v>90110</v>
      </c>
      <c r="U2158" t="s">
        <v>208</v>
      </c>
      <c r="V2158" t="s">
        <v>110</v>
      </c>
      <c r="W2158" t="s">
        <v>510</v>
      </c>
      <c r="X2158" t="s">
        <v>511</v>
      </c>
      <c r="Y2158" t="s">
        <v>119</v>
      </c>
    </row>
    <row r="2159" spans="1:25">
      <c r="A2159">
        <v>10164</v>
      </c>
      <c r="B2159">
        <v>24</v>
      </c>
      <c r="C2159">
        <v>100</v>
      </c>
      <c r="D2159">
        <v>1</v>
      </c>
      <c r="E2159">
        <v>2634.96</v>
      </c>
      <c r="F2159" t="s">
        <v>525</v>
      </c>
      <c r="G2159" t="s">
        <v>526</v>
      </c>
      <c r="H2159">
        <v>4</v>
      </c>
      <c r="I2159">
        <v>10</v>
      </c>
      <c r="J2159">
        <v>2003</v>
      </c>
      <c r="K2159" t="s">
        <v>638</v>
      </c>
      <c r="L2159">
        <v>96</v>
      </c>
      <c r="M2159" t="s">
        <v>841</v>
      </c>
      <c r="N2159" t="s">
        <v>527</v>
      </c>
      <c r="O2159" t="s">
        <v>528</v>
      </c>
      <c r="P2159" t="s">
        <v>529</v>
      </c>
      <c r="R2159" t="s">
        <v>530</v>
      </c>
      <c r="T2159">
        <v>8010</v>
      </c>
      <c r="U2159" t="s">
        <v>229</v>
      </c>
      <c r="V2159" t="s">
        <v>110</v>
      </c>
      <c r="W2159" t="s">
        <v>531</v>
      </c>
      <c r="X2159" t="s">
        <v>532</v>
      </c>
      <c r="Y2159" t="s">
        <v>104</v>
      </c>
    </row>
    <row r="2160" spans="1:25">
      <c r="A2160">
        <v>10175</v>
      </c>
      <c r="B2160">
        <v>22</v>
      </c>
      <c r="C2160">
        <v>100</v>
      </c>
      <c r="D2160">
        <v>8</v>
      </c>
      <c r="E2160">
        <v>2436.7199999999998</v>
      </c>
      <c r="F2160" s="4">
        <v>37783</v>
      </c>
      <c r="G2160" t="s">
        <v>93</v>
      </c>
      <c r="H2160">
        <v>4</v>
      </c>
      <c r="I2160">
        <v>11</v>
      </c>
      <c r="J2160">
        <v>2003</v>
      </c>
      <c r="K2160" t="s">
        <v>638</v>
      </c>
      <c r="L2160">
        <v>96</v>
      </c>
      <c r="M2160" t="s">
        <v>841</v>
      </c>
      <c r="N2160" t="s">
        <v>433</v>
      </c>
      <c r="O2160" t="s">
        <v>434</v>
      </c>
      <c r="P2160" t="s">
        <v>435</v>
      </c>
      <c r="R2160" t="s">
        <v>436</v>
      </c>
      <c r="T2160" t="s">
        <v>437</v>
      </c>
      <c r="U2160" t="s">
        <v>252</v>
      </c>
      <c r="V2160" t="s">
        <v>110</v>
      </c>
      <c r="W2160" t="s">
        <v>130</v>
      </c>
      <c r="X2160" t="s">
        <v>438</v>
      </c>
      <c r="Y2160" t="s">
        <v>104</v>
      </c>
    </row>
    <row r="2161" spans="1:25">
      <c r="A2161">
        <v>10184</v>
      </c>
      <c r="B2161">
        <v>46</v>
      </c>
      <c r="C2161">
        <v>100</v>
      </c>
      <c r="D2161">
        <v>13</v>
      </c>
      <c r="E2161">
        <v>4607.3599999999997</v>
      </c>
      <c r="F2161" t="s">
        <v>451</v>
      </c>
      <c r="G2161" t="s">
        <v>93</v>
      </c>
      <c r="H2161">
        <v>4</v>
      </c>
      <c r="I2161">
        <v>11</v>
      </c>
      <c r="J2161">
        <v>2003</v>
      </c>
      <c r="K2161" t="s">
        <v>638</v>
      </c>
      <c r="L2161">
        <v>96</v>
      </c>
      <c r="M2161" t="s">
        <v>841</v>
      </c>
      <c r="N2161" t="s">
        <v>662</v>
      </c>
      <c r="O2161" t="s">
        <v>663</v>
      </c>
      <c r="P2161" t="s">
        <v>664</v>
      </c>
      <c r="R2161" t="s">
        <v>665</v>
      </c>
      <c r="T2161">
        <v>41101</v>
      </c>
      <c r="U2161" t="s">
        <v>261</v>
      </c>
      <c r="V2161" t="s">
        <v>110</v>
      </c>
      <c r="W2161" t="s">
        <v>666</v>
      </c>
      <c r="X2161" t="s">
        <v>667</v>
      </c>
      <c r="Y2161" t="s">
        <v>119</v>
      </c>
    </row>
    <row r="2162" spans="1:25">
      <c r="A2162">
        <v>10194</v>
      </c>
      <c r="B2162">
        <v>37</v>
      </c>
      <c r="C2162">
        <v>97.27</v>
      </c>
      <c r="D2162">
        <v>3</v>
      </c>
      <c r="E2162">
        <v>3598.99</v>
      </c>
      <c r="F2162" t="s">
        <v>309</v>
      </c>
      <c r="G2162" t="s">
        <v>93</v>
      </c>
      <c r="H2162">
        <v>4</v>
      </c>
      <c r="I2162">
        <v>11</v>
      </c>
      <c r="J2162">
        <v>2003</v>
      </c>
      <c r="K2162" t="s">
        <v>638</v>
      </c>
      <c r="L2162">
        <v>96</v>
      </c>
      <c r="M2162" t="s">
        <v>841</v>
      </c>
      <c r="N2162" t="s">
        <v>310</v>
      </c>
      <c r="O2162" t="s">
        <v>311</v>
      </c>
      <c r="P2162" t="s">
        <v>312</v>
      </c>
      <c r="R2162" t="s">
        <v>313</v>
      </c>
      <c r="T2162">
        <v>69004</v>
      </c>
      <c r="U2162" t="s">
        <v>109</v>
      </c>
      <c r="V2162" t="s">
        <v>110</v>
      </c>
      <c r="W2162" t="s">
        <v>314</v>
      </c>
      <c r="X2162" t="s">
        <v>315</v>
      </c>
      <c r="Y2162" t="s">
        <v>119</v>
      </c>
    </row>
    <row r="2163" spans="1:25">
      <c r="A2163">
        <v>10207</v>
      </c>
      <c r="B2163">
        <v>49</v>
      </c>
      <c r="C2163">
        <v>80.900000000000006</v>
      </c>
      <c r="D2163">
        <v>14</v>
      </c>
      <c r="E2163">
        <v>3964.1</v>
      </c>
      <c r="F2163" s="4">
        <v>37876</v>
      </c>
      <c r="G2163" t="s">
        <v>93</v>
      </c>
      <c r="H2163">
        <v>4</v>
      </c>
      <c r="I2163">
        <v>12</v>
      </c>
      <c r="J2163">
        <v>2003</v>
      </c>
      <c r="K2163" t="s">
        <v>638</v>
      </c>
      <c r="L2163">
        <v>96</v>
      </c>
      <c r="M2163" t="s">
        <v>841</v>
      </c>
      <c r="N2163" t="s">
        <v>533</v>
      </c>
      <c r="O2163">
        <v>6175552555</v>
      </c>
      <c r="P2163" t="s">
        <v>534</v>
      </c>
      <c r="R2163" t="s">
        <v>492</v>
      </c>
      <c r="S2163" t="s">
        <v>200</v>
      </c>
      <c r="T2163">
        <v>51003</v>
      </c>
      <c r="U2163" t="s">
        <v>100</v>
      </c>
      <c r="V2163" t="s">
        <v>101</v>
      </c>
      <c r="W2163" t="s">
        <v>535</v>
      </c>
      <c r="X2163" t="s">
        <v>371</v>
      </c>
      <c r="Y2163" t="s">
        <v>119</v>
      </c>
    </row>
    <row r="2164" spans="1:25">
      <c r="A2164">
        <v>10217</v>
      </c>
      <c r="B2164">
        <v>21</v>
      </c>
      <c r="C2164">
        <v>100</v>
      </c>
      <c r="D2164">
        <v>3</v>
      </c>
      <c r="E2164">
        <v>2244.9</v>
      </c>
      <c r="F2164" s="4">
        <v>38079</v>
      </c>
      <c r="G2164" t="s">
        <v>93</v>
      </c>
      <c r="H2164">
        <v>1</v>
      </c>
      <c r="I2164">
        <v>2</v>
      </c>
      <c r="J2164">
        <v>2004</v>
      </c>
      <c r="K2164" t="s">
        <v>638</v>
      </c>
      <c r="L2164">
        <v>96</v>
      </c>
      <c r="M2164" t="s">
        <v>841</v>
      </c>
      <c r="N2164" t="s">
        <v>536</v>
      </c>
      <c r="O2164" t="s">
        <v>537</v>
      </c>
      <c r="P2164" t="s">
        <v>538</v>
      </c>
      <c r="Q2164" t="s">
        <v>539</v>
      </c>
      <c r="R2164" t="s">
        <v>287</v>
      </c>
      <c r="T2164">
        <v>69045</v>
      </c>
      <c r="U2164" t="s">
        <v>287</v>
      </c>
      <c r="V2164" t="s">
        <v>169</v>
      </c>
      <c r="W2164" t="s">
        <v>540</v>
      </c>
      <c r="X2164" t="s">
        <v>541</v>
      </c>
      <c r="Y2164" t="s">
        <v>104</v>
      </c>
    </row>
    <row r="2165" spans="1:25">
      <c r="A2165">
        <v>10229</v>
      </c>
      <c r="B2165">
        <v>25</v>
      </c>
      <c r="C2165">
        <v>100</v>
      </c>
      <c r="D2165">
        <v>8</v>
      </c>
      <c r="E2165">
        <v>2793</v>
      </c>
      <c r="F2165" s="4">
        <v>38294</v>
      </c>
      <c r="G2165" t="s">
        <v>93</v>
      </c>
      <c r="H2165">
        <v>1</v>
      </c>
      <c r="I2165">
        <v>3</v>
      </c>
      <c r="J2165">
        <v>2004</v>
      </c>
      <c r="K2165" t="s">
        <v>638</v>
      </c>
      <c r="L2165">
        <v>96</v>
      </c>
      <c r="M2165" t="s">
        <v>841</v>
      </c>
      <c r="N2165" t="s">
        <v>367</v>
      </c>
      <c r="O2165">
        <v>4155551450</v>
      </c>
      <c r="P2165" t="s">
        <v>368</v>
      </c>
      <c r="R2165" t="s">
        <v>369</v>
      </c>
      <c r="S2165" t="s">
        <v>124</v>
      </c>
      <c r="T2165">
        <v>97562</v>
      </c>
      <c r="U2165" t="s">
        <v>100</v>
      </c>
      <c r="V2165" t="s">
        <v>101</v>
      </c>
      <c r="W2165" t="s">
        <v>370</v>
      </c>
      <c r="X2165" t="s">
        <v>371</v>
      </c>
      <c r="Y2165" t="s">
        <v>104</v>
      </c>
    </row>
    <row r="2166" spans="1:25">
      <c r="A2166">
        <v>10245</v>
      </c>
      <c r="B2166">
        <v>37</v>
      </c>
      <c r="C2166">
        <v>100</v>
      </c>
      <c r="D2166">
        <v>1</v>
      </c>
      <c r="E2166">
        <v>4133.6400000000003</v>
      </c>
      <c r="F2166" s="4">
        <v>38082</v>
      </c>
      <c r="G2166" t="s">
        <v>93</v>
      </c>
      <c r="H2166">
        <v>2</v>
      </c>
      <c r="I2166">
        <v>5</v>
      </c>
      <c r="J2166">
        <v>2004</v>
      </c>
      <c r="K2166" t="s">
        <v>638</v>
      </c>
      <c r="L2166">
        <v>96</v>
      </c>
      <c r="M2166" t="s">
        <v>841</v>
      </c>
      <c r="N2166" t="s">
        <v>333</v>
      </c>
      <c r="O2166">
        <v>2035559545</v>
      </c>
      <c r="P2166" t="s">
        <v>334</v>
      </c>
      <c r="R2166" t="s">
        <v>335</v>
      </c>
      <c r="S2166" t="s">
        <v>187</v>
      </c>
      <c r="T2166">
        <v>97823</v>
      </c>
      <c r="U2166" t="s">
        <v>100</v>
      </c>
      <c r="V2166" t="s">
        <v>101</v>
      </c>
      <c r="W2166" t="s">
        <v>154</v>
      </c>
      <c r="X2166" t="s">
        <v>336</v>
      </c>
      <c r="Y2166" t="s">
        <v>119</v>
      </c>
    </row>
    <row r="2167" spans="1:25">
      <c r="A2167">
        <v>10259</v>
      </c>
      <c r="B2167">
        <v>45</v>
      </c>
      <c r="C2167">
        <v>86.68</v>
      </c>
      <c r="D2167">
        <v>11</v>
      </c>
      <c r="E2167">
        <v>3900.6</v>
      </c>
      <c r="F2167" t="s">
        <v>337</v>
      </c>
      <c r="G2167" t="s">
        <v>93</v>
      </c>
      <c r="H2167">
        <v>2</v>
      </c>
      <c r="I2167">
        <v>6</v>
      </c>
      <c r="J2167">
        <v>2004</v>
      </c>
      <c r="K2167" t="s">
        <v>638</v>
      </c>
      <c r="L2167">
        <v>96</v>
      </c>
      <c r="M2167" t="s">
        <v>841</v>
      </c>
      <c r="N2167" t="s">
        <v>536</v>
      </c>
      <c r="O2167" t="s">
        <v>537</v>
      </c>
      <c r="P2167" t="s">
        <v>538</v>
      </c>
      <c r="Q2167" t="s">
        <v>539</v>
      </c>
      <c r="R2167" t="s">
        <v>287</v>
      </c>
      <c r="T2167">
        <v>69045</v>
      </c>
      <c r="U2167" t="s">
        <v>287</v>
      </c>
      <c r="V2167" t="s">
        <v>169</v>
      </c>
      <c r="W2167" t="s">
        <v>540</v>
      </c>
      <c r="X2167" t="s">
        <v>541</v>
      </c>
      <c r="Y2167" t="s">
        <v>119</v>
      </c>
    </row>
    <row r="2168" spans="1:25">
      <c r="A2168">
        <v>10270</v>
      </c>
      <c r="B2168">
        <v>32</v>
      </c>
      <c r="C2168">
        <v>85.72</v>
      </c>
      <c r="D2168">
        <v>1</v>
      </c>
      <c r="E2168">
        <v>2743.04</v>
      </c>
      <c r="F2168" t="s">
        <v>346</v>
      </c>
      <c r="G2168" t="s">
        <v>93</v>
      </c>
      <c r="H2168">
        <v>3</v>
      </c>
      <c r="I2168">
        <v>7</v>
      </c>
      <c r="J2168">
        <v>2004</v>
      </c>
      <c r="K2168" t="s">
        <v>638</v>
      </c>
      <c r="L2168">
        <v>96</v>
      </c>
      <c r="M2168" t="s">
        <v>841</v>
      </c>
      <c r="N2168" t="s">
        <v>234</v>
      </c>
      <c r="O2168" t="s">
        <v>235</v>
      </c>
      <c r="P2168" t="s">
        <v>236</v>
      </c>
      <c r="Q2168" t="s">
        <v>237</v>
      </c>
      <c r="R2168" t="s">
        <v>238</v>
      </c>
      <c r="S2168" t="s">
        <v>239</v>
      </c>
      <c r="T2168">
        <v>2067</v>
      </c>
      <c r="U2168" t="s">
        <v>168</v>
      </c>
      <c r="V2168" t="s">
        <v>169</v>
      </c>
      <c r="W2168" t="s">
        <v>240</v>
      </c>
      <c r="X2168" t="s">
        <v>241</v>
      </c>
      <c r="Y2168" t="s">
        <v>104</v>
      </c>
    </row>
    <row r="2169" spans="1:25">
      <c r="A2169">
        <v>10281</v>
      </c>
      <c r="B2169">
        <v>29</v>
      </c>
      <c r="C2169">
        <v>82.83</v>
      </c>
      <c r="D2169">
        <v>8</v>
      </c>
      <c r="E2169">
        <v>2402.0700000000002</v>
      </c>
      <c r="F2169" t="s">
        <v>542</v>
      </c>
      <c r="G2169" t="s">
        <v>93</v>
      </c>
      <c r="H2169">
        <v>3</v>
      </c>
      <c r="I2169">
        <v>8</v>
      </c>
      <c r="J2169">
        <v>2004</v>
      </c>
      <c r="K2169" t="s">
        <v>638</v>
      </c>
      <c r="L2169">
        <v>96</v>
      </c>
      <c r="M2169" t="s">
        <v>841</v>
      </c>
      <c r="N2169" t="s">
        <v>218</v>
      </c>
      <c r="O2169">
        <v>2155551555</v>
      </c>
      <c r="P2169" t="s">
        <v>219</v>
      </c>
      <c r="R2169" t="s">
        <v>220</v>
      </c>
      <c r="S2169" t="s">
        <v>221</v>
      </c>
      <c r="T2169">
        <v>70267</v>
      </c>
      <c r="U2169" t="s">
        <v>100</v>
      </c>
      <c r="V2169" t="s">
        <v>101</v>
      </c>
      <c r="W2169" t="s">
        <v>102</v>
      </c>
      <c r="X2169" t="s">
        <v>222</v>
      </c>
      <c r="Y2169" t="s">
        <v>104</v>
      </c>
    </row>
    <row r="2170" spans="1:25">
      <c r="A2170">
        <v>10291</v>
      </c>
      <c r="B2170">
        <v>26</v>
      </c>
      <c r="C2170">
        <v>83.79</v>
      </c>
      <c r="D2170">
        <v>3</v>
      </c>
      <c r="E2170">
        <v>2178.54</v>
      </c>
      <c r="F2170" s="4">
        <v>38208</v>
      </c>
      <c r="G2170" t="s">
        <v>93</v>
      </c>
      <c r="H2170">
        <v>3</v>
      </c>
      <c r="I2170">
        <v>9</v>
      </c>
      <c r="J2170">
        <v>2004</v>
      </c>
      <c r="K2170" t="s">
        <v>638</v>
      </c>
      <c r="L2170">
        <v>96</v>
      </c>
      <c r="M2170" t="s">
        <v>841</v>
      </c>
      <c r="N2170" t="s">
        <v>355</v>
      </c>
      <c r="O2170" t="s">
        <v>356</v>
      </c>
      <c r="P2170" t="s">
        <v>357</v>
      </c>
      <c r="R2170" t="s">
        <v>358</v>
      </c>
      <c r="T2170" t="s">
        <v>359</v>
      </c>
      <c r="U2170" t="s">
        <v>273</v>
      </c>
      <c r="V2170" t="s">
        <v>110</v>
      </c>
      <c r="W2170" t="s">
        <v>360</v>
      </c>
      <c r="X2170" t="s">
        <v>295</v>
      </c>
      <c r="Y2170" t="s">
        <v>104</v>
      </c>
    </row>
    <row r="2171" spans="1:25">
      <c r="A2171">
        <v>10305</v>
      </c>
      <c r="B2171">
        <v>28</v>
      </c>
      <c r="C2171">
        <v>100</v>
      </c>
      <c r="D2171">
        <v>12</v>
      </c>
      <c r="E2171">
        <v>3155.04</v>
      </c>
      <c r="F2171" t="s">
        <v>543</v>
      </c>
      <c r="G2171" t="s">
        <v>93</v>
      </c>
      <c r="H2171">
        <v>4</v>
      </c>
      <c r="I2171">
        <v>10</v>
      </c>
      <c r="J2171">
        <v>2004</v>
      </c>
      <c r="K2171" t="s">
        <v>638</v>
      </c>
      <c r="L2171">
        <v>96</v>
      </c>
      <c r="M2171" t="s">
        <v>841</v>
      </c>
      <c r="N2171" t="s">
        <v>197</v>
      </c>
      <c r="O2171">
        <v>6175558555</v>
      </c>
      <c r="P2171" t="s">
        <v>198</v>
      </c>
      <c r="R2171" t="s">
        <v>199</v>
      </c>
      <c r="S2171" t="s">
        <v>200</v>
      </c>
      <c r="T2171">
        <v>51247</v>
      </c>
      <c r="U2171" t="s">
        <v>100</v>
      </c>
      <c r="V2171" t="s">
        <v>101</v>
      </c>
      <c r="W2171" t="s">
        <v>201</v>
      </c>
      <c r="X2171" t="s">
        <v>202</v>
      </c>
      <c r="Y2171" t="s">
        <v>119</v>
      </c>
    </row>
    <row r="2172" spans="1:25">
      <c r="A2172">
        <v>10313</v>
      </c>
      <c r="B2172">
        <v>27</v>
      </c>
      <c r="C2172">
        <v>87.64</v>
      </c>
      <c r="D2172">
        <v>6</v>
      </c>
      <c r="E2172">
        <v>2366.2800000000002</v>
      </c>
      <c r="F2172" t="s">
        <v>544</v>
      </c>
      <c r="G2172" t="s">
        <v>93</v>
      </c>
      <c r="H2172">
        <v>4</v>
      </c>
      <c r="I2172">
        <v>10</v>
      </c>
      <c r="J2172">
        <v>2004</v>
      </c>
      <c r="K2172" t="s">
        <v>638</v>
      </c>
      <c r="L2172">
        <v>96</v>
      </c>
      <c r="M2172" t="s">
        <v>841</v>
      </c>
      <c r="N2172" t="s">
        <v>316</v>
      </c>
      <c r="O2172" t="s">
        <v>317</v>
      </c>
      <c r="P2172" t="s">
        <v>318</v>
      </c>
      <c r="R2172" t="s">
        <v>319</v>
      </c>
      <c r="S2172" t="s">
        <v>320</v>
      </c>
      <c r="T2172" t="s">
        <v>321</v>
      </c>
      <c r="U2172" t="s">
        <v>322</v>
      </c>
      <c r="V2172" t="s">
        <v>101</v>
      </c>
      <c r="W2172" t="s">
        <v>323</v>
      </c>
      <c r="X2172" t="s">
        <v>324</v>
      </c>
      <c r="Y2172" t="s">
        <v>104</v>
      </c>
    </row>
    <row r="2173" spans="1:25">
      <c r="A2173">
        <v>10324</v>
      </c>
      <c r="B2173">
        <v>20</v>
      </c>
      <c r="C2173">
        <v>98.18</v>
      </c>
      <c r="D2173">
        <v>11</v>
      </c>
      <c r="E2173">
        <v>1963.6</v>
      </c>
      <c r="F2173" s="4">
        <v>38118</v>
      </c>
      <c r="G2173" t="s">
        <v>93</v>
      </c>
      <c r="H2173">
        <v>4</v>
      </c>
      <c r="I2173">
        <v>11</v>
      </c>
      <c r="J2173">
        <v>2004</v>
      </c>
      <c r="K2173" t="s">
        <v>638</v>
      </c>
      <c r="L2173">
        <v>96</v>
      </c>
      <c r="M2173" t="s">
        <v>841</v>
      </c>
      <c r="N2173" t="s">
        <v>172</v>
      </c>
      <c r="O2173">
        <v>2125551500</v>
      </c>
      <c r="P2173" t="s">
        <v>173</v>
      </c>
      <c r="Q2173" t="s">
        <v>174</v>
      </c>
      <c r="R2173" t="s">
        <v>98</v>
      </c>
      <c r="S2173" t="s">
        <v>99</v>
      </c>
      <c r="T2173">
        <v>10022</v>
      </c>
      <c r="U2173" t="s">
        <v>100</v>
      </c>
      <c r="V2173" t="s">
        <v>101</v>
      </c>
      <c r="W2173" t="s">
        <v>175</v>
      </c>
      <c r="X2173" t="s">
        <v>176</v>
      </c>
      <c r="Y2173" t="s">
        <v>104</v>
      </c>
    </row>
    <row r="2174" spans="1:25">
      <c r="A2174">
        <v>10335</v>
      </c>
      <c r="B2174">
        <v>44</v>
      </c>
      <c r="C2174">
        <v>100</v>
      </c>
      <c r="D2174">
        <v>1</v>
      </c>
      <c r="E2174">
        <v>4746.28</v>
      </c>
      <c r="F2174" t="s">
        <v>545</v>
      </c>
      <c r="G2174" t="s">
        <v>93</v>
      </c>
      <c r="H2174">
        <v>4</v>
      </c>
      <c r="I2174">
        <v>11</v>
      </c>
      <c r="J2174">
        <v>2004</v>
      </c>
      <c r="K2174" t="s">
        <v>638</v>
      </c>
      <c r="L2174">
        <v>96</v>
      </c>
      <c r="M2174" t="s">
        <v>841</v>
      </c>
      <c r="N2174" t="s">
        <v>367</v>
      </c>
      <c r="O2174">
        <v>4155551450</v>
      </c>
      <c r="P2174" t="s">
        <v>368</v>
      </c>
      <c r="R2174" t="s">
        <v>369</v>
      </c>
      <c r="S2174" t="s">
        <v>124</v>
      </c>
      <c r="T2174">
        <v>97562</v>
      </c>
      <c r="U2174" t="s">
        <v>100</v>
      </c>
      <c r="V2174" t="s">
        <v>101</v>
      </c>
      <c r="W2174" t="s">
        <v>370</v>
      </c>
      <c r="X2174" t="s">
        <v>371</v>
      </c>
      <c r="Y2174" t="s">
        <v>119</v>
      </c>
    </row>
    <row r="2175" spans="1:25">
      <c r="A2175">
        <v>10348</v>
      </c>
      <c r="B2175">
        <v>42</v>
      </c>
      <c r="C2175">
        <v>100</v>
      </c>
      <c r="D2175">
        <v>3</v>
      </c>
      <c r="E2175">
        <v>6386.94</v>
      </c>
      <c r="F2175" s="4">
        <v>37997</v>
      </c>
      <c r="G2175" t="s">
        <v>93</v>
      </c>
      <c r="H2175">
        <v>4</v>
      </c>
      <c r="I2175">
        <v>11</v>
      </c>
      <c r="J2175">
        <v>2004</v>
      </c>
      <c r="K2175" t="s">
        <v>638</v>
      </c>
      <c r="L2175">
        <v>96</v>
      </c>
      <c r="M2175" t="s">
        <v>841</v>
      </c>
      <c r="N2175" t="s">
        <v>277</v>
      </c>
      <c r="O2175" t="s">
        <v>278</v>
      </c>
      <c r="P2175" t="s">
        <v>279</v>
      </c>
      <c r="R2175" t="s">
        <v>260</v>
      </c>
      <c r="T2175">
        <v>28023</v>
      </c>
      <c r="U2175" t="s">
        <v>261</v>
      </c>
      <c r="V2175" t="s">
        <v>110</v>
      </c>
      <c r="W2175" t="s">
        <v>280</v>
      </c>
      <c r="X2175" t="s">
        <v>281</v>
      </c>
      <c r="Y2175" t="s">
        <v>119</v>
      </c>
    </row>
    <row r="2176" spans="1:25">
      <c r="A2176">
        <v>10358</v>
      </c>
      <c r="B2176">
        <v>41</v>
      </c>
      <c r="C2176">
        <v>100</v>
      </c>
      <c r="D2176">
        <v>1</v>
      </c>
      <c r="E2176">
        <v>4428</v>
      </c>
      <c r="F2176" s="4">
        <v>38272</v>
      </c>
      <c r="G2176" t="s">
        <v>93</v>
      </c>
      <c r="H2176">
        <v>4</v>
      </c>
      <c r="I2176">
        <v>12</v>
      </c>
      <c r="J2176">
        <v>2004</v>
      </c>
      <c r="K2176" t="s">
        <v>638</v>
      </c>
      <c r="L2176">
        <v>96</v>
      </c>
      <c r="M2176" t="s">
        <v>841</v>
      </c>
      <c r="N2176" t="s">
        <v>257</v>
      </c>
      <c r="O2176" t="s">
        <v>258</v>
      </c>
      <c r="P2176" t="s">
        <v>259</v>
      </c>
      <c r="R2176" t="s">
        <v>260</v>
      </c>
      <c r="T2176">
        <v>28034</v>
      </c>
      <c r="U2176" t="s">
        <v>261</v>
      </c>
      <c r="V2176" t="s">
        <v>110</v>
      </c>
      <c r="W2176" t="s">
        <v>262</v>
      </c>
      <c r="X2176" t="s">
        <v>263</v>
      </c>
      <c r="Y2176" t="s">
        <v>119</v>
      </c>
    </row>
    <row r="2177" spans="1:25">
      <c r="A2177">
        <v>10371</v>
      </c>
      <c r="B2177">
        <v>26</v>
      </c>
      <c r="C2177">
        <v>100</v>
      </c>
      <c r="D2177">
        <v>1</v>
      </c>
      <c r="E2177">
        <v>4044.04</v>
      </c>
      <c r="F2177" t="s">
        <v>637</v>
      </c>
      <c r="G2177" t="s">
        <v>93</v>
      </c>
      <c r="H2177">
        <v>1</v>
      </c>
      <c r="I2177">
        <v>1</v>
      </c>
      <c r="J2177">
        <v>2005</v>
      </c>
      <c r="K2177" t="s">
        <v>638</v>
      </c>
      <c r="L2177">
        <v>96</v>
      </c>
      <c r="M2177" t="s">
        <v>841</v>
      </c>
      <c r="N2177" t="s">
        <v>367</v>
      </c>
      <c r="O2177">
        <v>4155551450</v>
      </c>
      <c r="P2177" t="s">
        <v>368</v>
      </c>
      <c r="R2177" t="s">
        <v>369</v>
      </c>
      <c r="S2177" t="s">
        <v>124</v>
      </c>
      <c r="T2177">
        <v>97562</v>
      </c>
      <c r="U2177" t="s">
        <v>100</v>
      </c>
      <c r="V2177" t="s">
        <v>101</v>
      </c>
      <c r="W2177" t="s">
        <v>370</v>
      </c>
      <c r="X2177" t="s">
        <v>371</v>
      </c>
      <c r="Y2177" t="s">
        <v>119</v>
      </c>
    </row>
    <row r="2178" spans="1:25">
      <c r="A2178">
        <v>10382</v>
      </c>
      <c r="B2178">
        <v>26</v>
      </c>
      <c r="C2178">
        <v>100</v>
      </c>
      <c r="D2178">
        <v>6</v>
      </c>
      <c r="E2178">
        <v>2708.42</v>
      </c>
      <c r="F2178" t="s">
        <v>383</v>
      </c>
      <c r="G2178" t="s">
        <v>93</v>
      </c>
      <c r="H2178">
        <v>1</v>
      </c>
      <c r="I2178">
        <v>2</v>
      </c>
      <c r="J2178">
        <v>2005</v>
      </c>
      <c r="K2178" t="s">
        <v>638</v>
      </c>
      <c r="L2178">
        <v>96</v>
      </c>
      <c r="M2178" t="s">
        <v>841</v>
      </c>
      <c r="N2178" t="s">
        <v>367</v>
      </c>
      <c r="O2178">
        <v>4155551450</v>
      </c>
      <c r="P2178" t="s">
        <v>368</v>
      </c>
      <c r="R2178" t="s">
        <v>369</v>
      </c>
      <c r="S2178" t="s">
        <v>124</v>
      </c>
      <c r="T2178">
        <v>97562</v>
      </c>
      <c r="U2178" t="s">
        <v>100</v>
      </c>
      <c r="V2178" t="s">
        <v>101</v>
      </c>
      <c r="W2178" t="s">
        <v>370</v>
      </c>
      <c r="X2178" t="s">
        <v>371</v>
      </c>
      <c r="Y2178" t="s">
        <v>104</v>
      </c>
    </row>
    <row r="2179" spans="1:25">
      <c r="A2179">
        <v>10411</v>
      </c>
      <c r="B2179">
        <v>26</v>
      </c>
      <c r="C2179">
        <v>100</v>
      </c>
      <c r="D2179">
        <v>1</v>
      </c>
      <c r="E2179">
        <v>2904.72</v>
      </c>
      <c r="F2179" s="4">
        <v>38357</v>
      </c>
      <c r="G2179" t="s">
        <v>93</v>
      </c>
      <c r="H2179">
        <v>2</v>
      </c>
      <c r="I2179">
        <v>5</v>
      </c>
      <c r="J2179">
        <v>2005</v>
      </c>
      <c r="K2179" t="s">
        <v>638</v>
      </c>
      <c r="L2179">
        <v>96</v>
      </c>
      <c r="M2179" t="s">
        <v>841</v>
      </c>
      <c r="N2179" t="s">
        <v>391</v>
      </c>
      <c r="O2179" t="s">
        <v>392</v>
      </c>
      <c r="P2179" t="s">
        <v>393</v>
      </c>
      <c r="R2179" t="s">
        <v>394</v>
      </c>
      <c r="S2179" t="s">
        <v>395</v>
      </c>
      <c r="T2179" t="s">
        <v>396</v>
      </c>
      <c r="U2179" t="s">
        <v>322</v>
      </c>
      <c r="V2179" t="s">
        <v>101</v>
      </c>
      <c r="W2179" t="s">
        <v>397</v>
      </c>
      <c r="X2179" t="s">
        <v>398</v>
      </c>
      <c r="Y2179" t="s">
        <v>104</v>
      </c>
    </row>
    <row r="2180" spans="1:25">
      <c r="A2180">
        <v>10425</v>
      </c>
      <c r="B2180">
        <v>41</v>
      </c>
      <c r="C2180">
        <v>86.68</v>
      </c>
      <c r="D2180">
        <v>11</v>
      </c>
      <c r="E2180">
        <v>3553.88</v>
      </c>
      <c r="F2180" t="s">
        <v>399</v>
      </c>
      <c r="G2180" t="s">
        <v>400</v>
      </c>
      <c r="H2180">
        <v>2</v>
      </c>
      <c r="I2180">
        <v>5</v>
      </c>
      <c r="J2180">
        <v>2005</v>
      </c>
      <c r="K2180" t="s">
        <v>638</v>
      </c>
      <c r="L2180">
        <v>96</v>
      </c>
      <c r="M2180" t="s">
        <v>841</v>
      </c>
      <c r="N2180" t="s">
        <v>190</v>
      </c>
      <c r="O2180" t="s">
        <v>191</v>
      </c>
      <c r="P2180" t="s">
        <v>192</v>
      </c>
      <c r="R2180" t="s">
        <v>193</v>
      </c>
      <c r="T2180">
        <v>44000</v>
      </c>
      <c r="U2180" t="s">
        <v>109</v>
      </c>
      <c r="V2180" t="s">
        <v>110</v>
      </c>
      <c r="W2180" t="s">
        <v>194</v>
      </c>
      <c r="X2180" t="s">
        <v>195</v>
      </c>
      <c r="Y2180" t="s">
        <v>119</v>
      </c>
    </row>
    <row r="2181" spans="1:25">
      <c r="A2181">
        <v>10107</v>
      </c>
      <c r="B2181">
        <v>20</v>
      </c>
      <c r="C2181">
        <v>92.9</v>
      </c>
      <c r="D2181">
        <v>8</v>
      </c>
      <c r="E2181">
        <v>1858</v>
      </c>
      <c r="F2181" t="s">
        <v>92</v>
      </c>
      <c r="G2181" t="s">
        <v>93</v>
      </c>
      <c r="H2181">
        <v>1</v>
      </c>
      <c r="I2181">
        <v>2</v>
      </c>
      <c r="J2181">
        <v>2003</v>
      </c>
      <c r="K2181" t="s">
        <v>94</v>
      </c>
      <c r="L2181">
        <v>99</v>
      </c>
      <c r="M2181" t="s">
        <v>842</v>
      </c>
      <c r="N2181" t="s">
        <v>96</v>
      </c>
      <c r="O2181">
        <v>2125557818</v>
      </c>
      <c r="P2181" t="s">
        <v>97</v>
      </c>
      <c r="R2181" t="s">
        <v>98</v>
      </c>
      <c r="S2181" t="s">
        <v>99</v>
      </c>
      <c r="T2181">
        <v>10022</v>
      </c>
      <c r="U2181" t="s">
        <v>100</v>
      </c>
      <c r="V2181" t="s">
        <v>101</v>
      </c>
      <c r="W2181" t="s">
        <v>102</v>
      </c>
      <c r="X2181" t="s">
        <v>103</v>
      </c>
      <c r="Y2181" t="s">
        <v>104</v>
      </c>
    </row>
    <row r="2182" spans="1:25">
      <c r="A2182">
        <v>10120</v>
      </c>
      <c r="B2182">
        <v>22</v>
      </c>
      <c r="C2182">
        <v>100</v>
      </c>
      <c r="D2182">
        <v>6</v>
      </c>
      <c r="E2182">
        <v>2461.36</v>
      </c>
      <c r="F2182" t="s">
        <v>402</v>
      </c>
      <c r="G2182" t="s">
        <v>93</v>
      </c>
      <c r="H2182">
        <v>2</v>
      </c>
      <c r="I2182">
        <v>4</v>
      </c>
      <c r="J2182">
        <v>2003</v>
      </c>
      <c r="K2182" t="s">
        <v>94</v>
      </c>
      <c r="L2182">
        <v>99</v>
      </c>
      <c r="M2182" t="s">
        <v>842</v>
      </c>
      <c r="N2182" t="s">
        <v>162</v>
      </c>
      <c r="O2182" t="s">
        <v>163</v>
      </c>
      <c r="P2182" t="s">
        <v>164</v>
      </c>
      <c r="Q2182" t="s">
        <v>165</v>
      </c>
      <c r="R2182" t="s">
        <v>166</v>
      </c>
      <c r="S2182" t="s">
        <v>167</v>
      </c>
      <c r="T2182">
        <v>3004</v>
      </c>
      <c r="U2182" t="s">
        <v>168</v>
      </c>
      <c r="V2182" t="s">
        <v>169</v>
      </c>
      <c r="W2182" t="s">
        <v>170</v>
      </c>
      <c r="X2182" t="s">
        <v>171</v>
      </c>
      <c r="Y2182" t="s">
        <v>104</v>
      </c>
    </row>
    <row r="2183" spans="1:25">
      <c r="A2183">
        <v>10133</v>
      </c>
      <c r="B2183">
        <v>23</v>
      </c>
      <c r="C2183">
        <v>100</v>
      </c>
      <c r="D2183">
        <v>1</v>
      </c>
      <c r="E2183">
        <v>2642.01</v>
      </c>
      <c r="F2183" t="s">
        <v>766</v>
      </c>
      <c r="G2183" t="s">
        <v>93</v>
      </c>
      <c r="H2183">
        <v>2</v>
      </c>
      <c r="I2183">
        <v>6</v>
      </c>
      <c r="J2183">
        <v>2003</v>
      </c>
      <c r="K2183" t="s">
        <v>94</v>
      </c>
      <c r="L2183">
        <v>99</v>
      </c>
      <c r="M2183" t="s">
        <v>842</v>
      </c>
      <c r="N2183" t="s">
        <v>257</v>
      </c>
      <c r="O2183" t="s">
        <v>258</v>
      </c>
      <c r="P2183" t="s">
        <v>259</v>
      </c>
      <c r="R2183" t="s">
        <v>260</v>
      </c>
      <c r="T2183">
        <v>28034</v>
      </c>
      <c r="U2183" t="s">
        <v>261</v>
      </c>
      <c r="V2183" t="s">
        <v>110</v>
      </c>
      <c r="W2183" t="s">
        <v>262</v>
      </c>
      <c r="X2183" t="s">
        <v>263</v>
      </c>
      <c r="Y2183" t="s">
        <v>104</v>
      </c>
    </row>
    <row r="2184" spans="1:25">
      <c r="A2184">
        <v>10145</v>
      </c>
      <c r="B2184">
        <v>33</v>
      </c>
      <c r="C2184">
        <v>93.9</v>
      </c>
      <c r="D2184">
        <v>12</v>
      </c>
      <c r="E2184">
        <v>3098.7</v>
      </c>
      <c r="F2184" t="s">
        <v>120</v>
      </c>
      <c r="G2184" t="s">
        <v>93</v>
      </c>
      <c r="H2184">
        <v>3</v>
      </c>
      <c r="I2184">
        <v>8</v>
      </c>
      <c r="J2184">
        <v>2003</v>
      </c>
      <c r="K2184" t="s">
        <v>94</v>
      </c>
      <c r="L2184">
        <v>99</v>
      </c>
      <c r="M2184" t="s">
        <v>842</v>
      </c>
      <c r="N2184" t="s">
        <v>121</v>
      </c>
      <c r="O2184">
        <v>6265557265</v>
      </c>
      <c r="P2184" t="s">
        <v>122</v>
      </c>
      <c r="R2184" t="s">
        <v>123</v>
      </c>
      <c r="S2184" t="s">
        <v>124</v>
      </c>
      <c r="T2184">
        <v>90003</v>
      </c>
      <c r="U2184" t="s">
        <v>100</v>
      </c>
      <c r="V2184" t="s">
        <v>101</v>
      </c>
      <c r="W2184" t="s">
        <v>125</v>
      </c>
      <c r="X2184" t="s">
        <v>126</v>
      </c>
      <c r="Y2184" t="s">
        <v>119</v>
      </c>
    </row>
    <row r="2185" spans="1:25">
      <c r="A2185">
        <v>10168</v>
      </c>
      <c r="B2185">
        <v>28</v>
      </c>
      <c r="C2185">
        <v>100</v>
      </c>
      <c r="D2185">
        <v>7</v>
      </c>
      <c r="E2185">
        <v>3244.36</v>
      </c>
      <c r="F2185" t="s">
        <v>131</v>
      </c>
      <c r="G2185" t="s">
        <v>93</v>
      </c>
      <c r="H2185">
        <v>4</v>
      </c>
      <c r="I2185">
        <v>10</v>
      </c>
      <c r="J2185">
        <v>2003</v>
      </c>
      <c r="K2185" t="s">
        <v>94</v>
      </c>
      <c r="L2185">
        <v>99</v>
      </c>
      <c r="M2185" t="s">
        <v>842</v>
      </c>
      <c r="N2185" t="s">
        <v>132</v>
      </c>
      <c r="O2185">
        <v>6505556809</v>
      </c>
      <c r="P2185" t="s">
        <v>133</v>
      </c>
      <c r="R2185" t="s">
        <v>134</v>
      </c>
      <c r="S2185" t="s">
        <v>124</v>
      </c>
      <c r="T2185">
        <v>94217</v>
      </c>
      <c r="U2185" t="s">
        <v>100</v>
      </c>
      <c r="V2185" t="s">
        <v>101</v>
      </c>
      <c r="W2185" t="s">
        <v>135</v>
      </c>
      <c r="X2185" t="s">
        <v>136</v>
      </c>
      <c r="Y2185" t="s">
        <v>119</v>
      </c>
    </row>
    <row r="2186" spans="1:25">
      <c r="A2186">
        <v>10188</v>
      </c>
      <c r="B2186">
        <v>44</v>
      </c>
      <c r="C2186">
        <v>98.89</v>
      </c>
      <c r="D2186">
        <v>7</v>
      </c>
      <c r="E2186">
        <v>4351.16</v>
      </c>
      <c r="F2186" t="s">
        <v>143</v>
      </c>
      <c r="G2186" t="s">
        <v>93</v>
      </c>
      <c r="H2186">
        <v>4</v>
      </c>
      <c r="I2186">
        <v>11</v>
      </c>
      <c r="J2186">
        <v>2003</v>
      </c>
      <c r="K2186" t="s">
        <v>94</v>
      </c>
      <c r="L2186">
        <v>99</v>
      </c>
      <c r="M2186" t="s">
        <v>842</v>
      </c>
      <c r="N2186" t="s">
        <v>144</v>
      </c>
      <c r="O2186" t="s">
        <v>145</v>
      </c>
      <c r="P2186" t="s">
        <v>146</v>
      </c>
      <c r="R2186" t="s">
        <v>147</v>
      </c>
      <c r="T2186" t="s">
        <v>148</v>
      </c>
      <c r="U2186" t="s">
        <v>149</v>
      </c>
      <c r="V2186" t="s">
        <v>110</v>
      </c>
      <c r="W2186" t="s">
        <v>150</v>
      </c>
      <c r="X2186" t="s">
        <v>151</v>
      </c>
      <c r="Y2186" t="s">
        <v>119</v>
      </c>
    </row>
    <row r="2187" spans="1:25">
      <c r="A2187">
        <v>10210</v>
      </c>
      <c r="B2187">
        <v>46</v>
      </c>
      <c r="C2187">
        <v>79.91</v>
      </c>
      <c r="D2187">
        <v>5</v>
      </c>
      <c r="E2187">
        <v>3675.86</v>
      </c>
      <c r="F2187" s="4">
        <v>38322</v>
      </c>
      <c r="G2187" t="s">
        <v>93</v>
      </c>
      <c r="H2187">
        <v>1</v>
      </c>
      <c r="I2187">
        <v>1</v>
      </c>
      <c r="J2187">
        <v>2004</v>
      </c>
      <c r="K2187" t="s">
        <v>94</v>
      </c>
      <c r="L2187">
        <v>99</v>
      </c>
      <c r="M2187" t="s">
        <v>842</v>
      </c>
      <c r="N2187" t="s">
        <v>403</v>
      </c>
      <c r="O2187" t="s">
        <v>404</v>
      </c>
      <c r="P2187" t="s">
        <v>405</v>
      </c>
      <c r="R2187" t="s">
        <v>406</v>
      </c>
      <c r="S2187" t="s">
        <v>406</v>
      </c>
      <c r="T2187" t="s">
        <v>407</v>
      </c>
      <c r="U2187" t="s">
        <v>288</v>
      </c>
      <c r="V2187" t="s">
        <v>288</v>
      </c>
      <c r="W2187" t="s">
        <v>408</v>
      </c>
      <c r="X2187" t="s">
        <v>409</v>
      </c>
      <c r="Y2187" t="s">
        <v>119</v>
      </c>
    </row>
    <row r="2188" spans="1:25">
      <c r="A2188">
        <v>10223</v>
      </c>
      <c r="B2188">
        <v>21</v>
      </c>
      <c r="C2188">
        <v>100</v>
      </c>
      <c r="D2188">
        <v>7</v>
      </c>
      <c r="E2188">
        <v>2475.27</v>
      </c>
      <c r="F2188" t="s">
        <v>161</v>
      </c>
      <c r="G2188" t="s">
        <v>93</v>
      </c>
      <c r="H2188">
        <v>1</v>
      </c>
      <c r="I2188">
        <v>2</v>
      </c>
      <c r="J2188">
        <v>2004</v>
      </c>
      <c r="K2188" t="s">
        <v>94</v>
      </c>
      <c r="L2188">
        <v>99</v>
      </c>
      <c r="M2188" t="s">
        <v>842</v>
      </c>
      <c r="N2188" t="s">
        <v>162</v>
      </c>
      <c r="O2188" t="s">
        <v>163</v>
      </c>
      <c r="P2188" t="s">
        <v>164</v>
      </c>
      <c r="Q2188" t="s">
        <v>165</v>
      </c>
      <c r="R2188" t="s">
        <v>166</v>
      </c>
      <c r="S2188" t="s">
        <v>167</v>
      </c>
      <c r="T2188">
        <v>3004</v>
      </c>
      <c r="U2188" t="s">
        <v>168</v>
      </c>
      <c r="V2188" t="s">
        <v>169</v>
      </c>
      <c r="W2188" t="s">
        <v>170</v>
      </c>
      <c r="X2188" t="s">
        <v>171</v>
      </c>
      <c r="Y2188" t="s">
        <v>104</v>
      </c>
    </row>
    <row r="2189" spans="1:25">
      <c r="A2189">
        <v>10235</v>
      </c>
      <c r="B2189">
        <v>41</v>
      </c>
      <c r="C2189">
        <v>100</v>
      </c>
      <c r="D2189">
        <v>1</v>
      </c>
      <c r="E2189">
        <v>4177.49</v>
      </c>
      <c r="F2189" s="4">
        <v>38021</v>
      </c>
      <c r="G2189" t="s">
        <v>93</v>
      </c>
      <c r="H2189">
        <v>2</v>
      </c>
      <c r="I2189">
        <v>4</v>
      </c>
      <c r="J2189">
        <v>2004</v>
      </c>
      <c r="K2189" t="s">
        <v>94</v>
      </c>
      <c r="L2189">
        <v>99</v>
      </c>
      <c r="M2189" t="s">
        <v>842</v>
      </c>
      <c r="N2189" t="s">
        <v>484</v>
      </c>
      <c r="O2189" t="s">
        <v>485</v>
      </c>
      <c r="P2189" t="s">
        <v>486</v>
      </c>
      <c r="R2189" t="s">
        <v>487</v>
      </c>
      <c r="S2189" t="s">
        <v>320</v>
      </c>
      <c r="T2189" t="s">
        <v>488</v>
      </c>
      <c r="U2189" t="s">
        <v>322</v>
      </c>
      <c r="V2189" t="s">
        <v>101</v>
      </c>
      <c r="W2189" t="s">
        <v>489</v>
      </c>
      <c r="X2189" t="s">
        <v>254</v>
      </c>
      <c r="Y2189" t="s">
        <v>119</v>
      </c>
    </row>
    <row r="2190" spans="1:25">
      <c r="A2190">
        <v>10250</v>
      </c>
      <c r="B2190">
        <v>31</v>
      </c>
      <c r="C2190">
        <v>100</v>
      </c>
      <c r="D2190">
        <v>2</v>
      </c>
      <c r="E2190">
        <v>3282.28</v>
      </c>
      <c r="F2190" s="4">
        <v>38296</v>
      </c>
      <c r="G2190" t="s">
        <v>93</v>
      </c>
      <c r="H2190">
        <v>2</v>
      </c>
      <c r="I2190">
        <v>5</v>
      </c>
      <c r="J2190">
        <v>2004</v>
      </c>
      <c r="K2190" t="s">
        <v>94</v>
      </c>
      <c r="L2190">
        <v>99</v>
      </c>
      <c r="M2190" t="s">
        <v>842</v>
      </c>
      <c r="N2190" t="s">
        <v>514</v>
      </c>
      <c r="O2190">
        <v>4085553659</v>
      </c>
      <c r="P2190" t="s">
        <v>515</v>
      </c>
      <c r="R2190" t="s">
        <v>516</v>
      </c>
      <c r="S2190" t="s">
        <v>124</v>
      </c>
      <c r="T2190">
        <v>94217</v>
      </c>
      <c r="U2190" t="s">
        <v>100</v>
      </c>
      <c r="V2190" t="s">
        <v>101</v>
      </c>
      <c r="W2190" t="s">
        <v>175</v>
      </c>
      <c r="X2190" t="s">
        <v>517</v>
      </c>
      <c r="Y2190" t="s">
        <v>119</v>
      </c>
    </row>
    <row r="2191" spans="1:25">
      <c r="A2191">
        <v>10263</v>
      </c>
      <c r="B2191">
        <v>31</v>
      </c>
      <c r="C2191">
        <v>79.91</v>
      </c>
      <c r="D2191">
        <v>8</v>
      </c>
      <c r="E2191">
        <v>2477.21</v>
      </c>
      <c r="F2191" t="s">
        <v>183</v>
      </c>
      <c r="G2191" t="s">
        <v>93</v>
      </c>
      <c r="H2191">
        <v>2</v>
      </c>
      <c r="I2191">
        <v>6</v>
      </c>
      <c r="J2191">
        <v>2004</v>
      </c>
      <c r="K2191" t="s">
        <v>94</v>
      </c>
      <c r="L2191">
        <v>99</v>
      </c>
      <c r="M2191" t="s">
        <v>842</v>
      </c>
      <c r="N2191" t="s">
        <v>184</v>
      </c>
      <c r="O2191">
        <v>2035552570</v>
      </c>
      <c r="P2191" t="s">
        <v>185</v>
      </c>
      <c r="R2191" t="s">
        <v>186</v>
      </c>
      <c r="S2191" t="s">
        <v>187</v>
      </c>
      <c r="T2191">
        <v>97562</v>
      </c>
      <c r="U2191" t="s">
        <v>100</v>
      </c>
      <c r="V2191" t="s">
        <v>101</v>
      </c>
      <c r="W2191" t="s">
        <v>188</v>
      </c>
      <c r="X2191" t="s">
        <v>126</v>
      </c>
      <c r="Y2191" t="s">
        <v>104</v>
      </c>
    </row>
    <row r="2192" spans="1:25">
      <c r="A2192">
        <v>10275</v>
      </c>
      <c r="B2192">
        <v>23</v>
      </c>
      <c r="C2192">
        <v>81.91</v>
      </c>
      <c r="D2192">
        <v>7</v>
      </c>
      <c r="E2192">
        <v>1883.93</v>
      </c>
      <c r="F2192" t="s">
        <v>189</v>
      </c>
      <c r="G2192" t="s">
        <v>93</v>
      </c>
      <c r="H2192">
        <v>3</v>
      </c>
      <c r="I2192">
        <v>7</v>
      </c>
      <c r="J2192">
        <v>2004</v>
      </c>
      <c r="K2192" t="s">
        <v>94</v>
      </c>
      <c r="L2192">
        <v>99</v>
      </c>
      <c r="M2192" t="s">
        <v>842</v>
      </c>
      <c r="N2192" t="s">
        <v>190</v>
      </c>
      <c r="O2192" t="s">
        <v>191</v>
      </c>
      <c r="P2192" t="s">
        <v>192</v>
      </c>
      <c r="R2192" t="s">
        <v>193</v>
      </c>
      <c r="T2192">
        <v>44000</v>
      </c>
      <c r="U2192" t="s">
        <v>109</v>
      </c>
      <c r="V2192" t="s">
        <v>110</v>
      </c>
      <c r="W2192" t="s">
        <v>194</v>
      </c>
      <c r="X2192" t="s">
        <v>195</v>
      </c>
      <c r="Y2192" t="s">
        <v>104</v>
      </c>
    </row>
    <row r="2193" spans="1:25">
      <c r="A2193">
        <v>10285</v>
      </c>
      <c r="B2193">
        <v>37</v>
      </c>
      <c r="C2193">
        <v>98.89</v>
      </c>
      <c r="D2193">
        <v>12</v>
      </c>
      <c r="E2193">
        <v>3658.93</v>
      </c>
      <c r="F2193" t="s">
        <v>196</v>
      </c>
      <c r="G2193" t="s">
        <v>93</v>
      </c>
      <c r="H2193">
        <v>3</v>
      </c>
      <c r="I2193">
        <v>8</v>
      </c>
      <c r="J2193">
        <v>2004</v>
      </c>
      <c r="K2193" t="s">
        <v>94</v>
      </c>
      <c r="L2193">
        <v>99</v>
      </c>
      <c r="M2193" t="s">
        <v>842</v>
      </c>
      <c r="N2193" t="s">
        <v>197</v>
      </c>
      <c r="O2193">
        <v>6175558555</v>
      </c>
      <c r="P2193" t="s">
        <v>198</v>
      </c>
      <c r="R2193" t="s">
        <v>199</v>
      </c>
      <c r="S2193" t="s">
        <v>200</v>
      </c>
      <c r="T2193">
        <v>51247</v>
      </c>
      <c r="U2193" t="s">
        <v>100</v>
      </c>
      <c r="V2193" t="s">
        <v>101</v>
      </c>
      <c r="W2193" t="s">
        <v>201</v>
      </c>
      <c r="X2193" t="s">
        <v>202</v>
      </c>
      <c r="Y2193" t="s">
        <v>119</v>
      </c>
    </row>
    <row r="2194" spans="1:25">
      <c r="A2194">
        <v>10297</v>
      </c>
      <c r="B2194">
        <v>26</v>
      </c>
      <c r="C2194">
        <v>100</v>
      </c>
      <c r="D2194">
        <v>2</v>
      </c>
      <c r="E2194">
        <v>2856.88</v>
      </c>
      <c r="F2194" t="s">
        <v>767</v>
      </c>
      <c r="G2194" t="s">
        <v>93</v>
      </c>
      <c r="H2194">
        <v>3</v>
      </c>
      <c r="I2194">
        <v>9</v>
      </c>
      <c r="J2194">
        <v>2004</v>
      </c>
      <c r="K2194" t="s">
        <v>94</v>
      </c>
      <c r="L2194">
        <v>99</v>
      </c>
      <c r="M2194" t="s">
        <v>842</v>
      </c>
      <c r="N2194" t="s">
        <v>609</v>
      </c>
      <c r="O2194" t="s">
        <v>610</v>
      </c>
      <c r="P2194" t="s">
        <v>611</v>
      </c>
      <c r="Q2194" t="s">
        <v>612</v>
      </c>
      <c r="R2194" t="s">
        <v>613</v>
      </c>
      <c r="T2194">
        <v>2</v>
      </c>
      <c r="U2194" t="s">
        <v>614</v>
      </c>
      <c r="V2194" t="s">
        <v>110</v>
      </c>
      <c r="W2194" t="s">
        <v>615</v>
      </c>
      <c r="X2194" t="s">
        <v>616</v>
      </c>
      <c r="Y2194" t="s">
        <v>104</v>
      </c>
    </row>
    <row r="2195" spans="1:25">
      <c r="A2195">
        <v>10308</v>
      </c>
      <c r="B2195">
        <v>24</v>
      </c>
      <c r="C2195">
        <v>79.91</v>
      </c>
      <c r="D2195">
        <v>5</v>
      </c>
      <c r="E2195">
        <v>1917.84</v>
      </c>
      <c r="F2195" t="s">
        <v>211</v>
      </c>
      <c r="G2195" t="s">
        <v>93</v>
      </c>
      <c r="H2195">
        <v>4</v>
      </c>
      <c r="I2195">
        <v>10</v>
      </c>
      <c r="J2195">
        <v>2004</v>
      </c>
      <c r="K2195" t="s">
        <v>94</v>
      </c>
      <c r="L2195">
        <v>99</v>
      </c>
      <c r="M2195" t="s">
        <v>842</v>
      </c>
      <c r="N2195" t="s">
        <v>419</v>
      </c>
      <c r="O2195">
        <v>9145554562</v>
      </c>
      <c r="P2195" t="s">
        <v>420</v>
      </c>
      <c r="R2195" t="s">
        <v>421</v>
      </c>
      <c r="S2195" t="s">
        <v>99</v>
      </c>
      <c r="T2195">
        <v>24067</v>
      </c>
      <c r="U2195" t="s">
        <v>100</v>
      </c>
      <c r="V2195" t="s">
        <v>101</v>
      </c>
      <c r="W2195" t="s">
        <v>175</v>
      </c>
      <c r="X2195" t="s">
        <v>329</v>
      </c>
      <c r="Y2195" t="s">
        <v>104</v>
      </c>
    </row>
    <row r="2196" spans="1:25">
      <c r="A2196">
        <v>10318</v>
      </c>
      <c r="B2196">
        <v>47</v>
      </c>
      <c r="C2196">
        <v>100</v>
      </c>
      <c r="D2196">
        <v>7</v>
      </c>
      <c r="E2196">
        <v>5305.36</v>
      </c>
      <c r="F2196" s="4">
        <v>38028</v>
      </c>
      <c r="G2196" t="s">
        <v>93</v>
      </c>
      <c r="H2196">
        <v>4</v>
      </c>
      <c r="I2196">
        <v>11</v>
      </c>
      <c r="J2196">
        <v>2004</v>
      </c>
      <c r="K2196" t="s">
        <v>94</v>
      </c>
      <c r="L2196">
        <v>99</v>
      </c>
      <c r="M2196" t="s">
        <v>842</v>
      </c>
      <c r="N2196" t="s">
        <v>218</v>
      </c>
      <c r="O2196">
        <v>2155551555</v>
      </c>
      <c r="P2196" t="s">
        <v>219</v>
      </c>
      <c r="R2196" t="s">
        <v>220</v>
      </c>
      <c r="S2196" t="s">
        <v>221</v>
      </c>
      <c r="T2196">
        <v>70267</v>
      </c>
      <c r="U2196" t="s">
        <v>100</v>
      </c>
      <c r="V2196" t="s">
        <v>101</v>
      </c>
      <c r="W2196" t="s">
        <v>102</v>
      </c>
      <c r="X2196" t="s">
        <v>222</v>
      </c>
      <c r="Y2196" t="s">
        <v>119</v>
      </c>
    </row>
    <row r="2197" spans="1:25">
      <c r="A2197">
        <v>10329</v>
      </c>
      <c r="B2197">
        <v>45</v>
      </c>
      <c r="C2197">
        <v>63.91</v>
      </c>
      <c r="D2197">
        <v>11</v>
      </c>
      <c r="E2197">
        <v>2875.95</v>
      </c>
      <c r="F2197" t="s">
        <v>223</v>
      </c>
      <c r="G2197" t="s">
        <v>93</v>
      </c>
      <c r="H2197">
        <v>4</v>
      </c>
      <c r="I2197">
        <v>11</v>
      </c>
      <c r="J2197">
        <v>2004</v>
      </c>
      <c r="K2197" t="s">
        <v>94</v>
      </c>
      <c r="L2197">
        <v>99</v>
      </c>
      <c r="M2197" t="s">
        <v>842</v>
      </c>
      <c r="N2197" t="s">
        <v>96</v>
      </c>
      <c r="O2197">
        <v>2125557818</v>
      </c>
      <c r="P2197" t="s">
        <v>97</v>
      </c>
      <c r="R2197" t="s">
        <v>98</v>
      </c>
      <c r="S2197" t="s">
        <v>99</v>
      </c>
      <c r="T2197">
        <v>10022</v>
      </c>
      <c r="U2197" t="s">
        <v>100</v>
      </c>
      <c r="V2197" t="s">
        <v>101</v>
      </c>
      <c r="W2197" t="s">
        <v>102</v>
      </c>
      <c r="X2197" t="s">
        <v>103</v>
      </c>
      <c r="Y2197" t="s">
        <v>104</v>
      </c>
    </row>
    <row r="2198" spans="1:25">
      <c r="A2198">
        <v>10340</v>
      </c>
      <c r="B2198">
        <v>55</v>
      </c>
      <c r="C2198">
        <v>100</v>
      </c>
      <c r="D2198">
        <v>2</v>
      </c>
      <c r="E2198">
        <v>6482.85</v>
      </c>
      <c r="F2198" t="s">
        <v>224</v>
      </c>
      <c r="G2198" t="s">
        <v>93</v>
      </c>
      <c r="H2198">
        <v>4</v>
      </c>
      <c r="I2198">
        <v>11</v>
      </c>
      <c r="J2198">
        <v>2004</v>
      </c>
      <c r="K2198" t="s">
        <v>94</v>
      </c>
      <c r="L2198">
        <v>99</v>
      </c>
      <c r="M2198" t="s">
        <v>842</v>
      </c>
      <c r="N2198" t="s">
        <v>459</v>
      </c>
      <c r="O2198" t="s">
        <v>460</v>
      </c>
      <c r="P2198" t="s">
        <v>461</v>
      </c>
      <c r="R2198" t="s">
        <v>462</v>
      </c>
      <c r="T2198">
        <v>8022</v>
      </c>
      <c r="U2198" t="s">
        <v>261</v>
      </c>
      <c r="V2198" t="s">
        <v>110</v>
      </c>
      <c r="W2198" t="s">
        <v>463</v>
      </c>
      <c r="X2198" t="s">
        <v>464</v>
      </c>
      <c r="Y2198" t="s">
        <v>119</v>
      </c>
    </row>
    <row r="2199" spans="1:25">
      <c r="A2199">
        <v>10353</v>
      </c>
      <c r="B2199">
        <v>46</v>
      </c>
      <c r="C2199">
        <v>81.17</v>
      </c>
      <c r="D2199">
        <v>5</v>
      </c>
      <c r="E2199">
        <v>3733.82</v>
      </c>
      <c r="F2199" s="4">
        <v>38089</v>
      </c>
      <c r="G2199" t="s">
        <v>93</v>
      </c>
      <c r="H2199">
        <v>4</v>
      </c>
      <c r="I2199">
        <v>12</v>
      </c>
      <c r="J2199">
        <v>2004</v>
      </c>
      <c r="K2199" t="s">
        <v>94</v>
      </c>
      <c r="L2199">
        <v>99</v>
      </c>
      <c r="M2199" t="s">
        <v>842</v>
      </c>
      <c r="N2199" t="s">
        <v>729</v>
      </c>
      <c r="O2199">
        <v>2035554407</v>
      </c>
      <c r="P2199" t="s">
        <v>730</v>
      </c>
      <c r="R2199" t="s">
        <v>656</v>
      </c>
      <c r="S2199" t="s">
        <v>187</v>
      </c>
      <c r="T2199">
        <v>97561</v>
      </c>
      <c r="U2199" t="s">
        <v>100</v>
      </c>
      <c r="V2199" t="s">
        <v>101</v>
      </c>
      <c r="W2199" t="s">
        <v>731</v>
      </c>
      <c r="X2199" t="s">
        <v>732</v>
      </c>
      <c r="Y2199" t="s">
        <v>119</v>
      </c>
    </row>
    <row r="2200" spans="1:25">
      <c r="A2200">
        <v>10363</v>
      </c>
      <c r="B2200">
        <v>50</v>
      </c>
      <c r="C2200">
        <v>100</v>
      </c>
      <c r="D2200">
        <v>2</v>
      </c>
      <c r="E2200">
        <v>6576.5</v>
      </c>
      <c r="F2200" s="4">
        <v>38504</v>
      </c>
      <c r="G2200" t="s">
        <v>93</v>
      </c>
      <c r="H2200">
        <v>1</v>
      </c>
      <c r="I2200">
        <v>1</v>
      </c>
      <c r="J2200">
        <v>2005</v>
      </c>
      <c r="K2200" t="s">
        <v>94</v>
      </c>
      <c r="L2200">
        <v>99</v>
      </c>
      <c r="M2200" t="s">
        <v>842</v>
      </c>
      <c r="N2200" t="s">
        <v>593</v>
      </c>
      <c r="O2200" t="s">
        <v>594</v>
      </c>
      <c r="P2200" t="s">
        <v>595</v>
      </c>
      <c r="R2200" t="s">
        <v>596</v>
      </c>
      <c r="T2200" t="s">
        <v>597</v>
      </c>
      <c r="U2200" t="s">
        <v>208</v>
      </c>
      <c r="V2200" t="s">
        <v>110</v>
      </c>
      <c r="W2200" t="s">
        <v>598</v>
      </c>
      <c r="X2200" t="s">
        <v>599</v>
      </c>
      <c r="Y2200" t="s">
        <v>119</v>
      </c>
    </row>
    <row r="2201" spans="1:25">
      <c r="A2201">
        <v>10375</v>
      </c>
      <c r="B2201">
        <v>37</v>
      </c>
      <c r="C2201">
        <v>100</v>
      </c>
      <c r="D2201">
        <v>3</v>
      </c>
      <c r="E2201">
        <v>6353.27</v>
      </c>
      <c r="F2201" s="4">
        <v>38413</v>
      </c>
      <c r="G2201" t="s">
        <v>93</v>
      </c>
      <c r="H2201">
        <v>1</v>
      </c>
      <c r="I2201">
        <v>2</v>
      </c>
      <c r="J2201">
        <v>2005</v>
      </c>
      <c r="K2201" t="s">
        <v>94</v>
      </c>
      <c r="L2201">
        <v>99</v>
      </c>
      <c r="M2201" t="s">
        <v>842</v>
      </c>
      <c r="N2201" t="s">
        <v>190</v>
      </c>
      <c r="O2201" t="s">
        <v>191</v>
      </c>
      <c r="P2201" t="s">
        <v>192</v>
      </c>
      <c r="R2201" t="s">
        <v>193</v>
      </c>
      <c r="T2201">
        <v>44000</v>
      </c>
      <c r="U2201" t="s">
        <v>109</v>
      </c>
      <c r="V2201" t="s">
        <v>110</v>
      </c>
      <c r="W2201" t="s">
        <v>194</v>
      </c>
      <c r="X2201" t="s">
        <v>195</v>
      </c>
      <c r="Y2201" t="s">
        <v>119</v>
      </c>
    </row>
    <row r="2202" spans="1:25">
      <c r="A2202">
        <v>10387</v>
      </c>
      <c r="B2202">
        <v>44</v>
      </c>
      <c r="C2202">
        <v>94.9</v>
      </c>
      <c r="D2202">
        <v>1</v>
      </c>
      <c r="E2202">
        <v>4175.6000000000004</v>
      </c>
      <c r="F2202" s="4">
        <v>38386</v>
      </c>
      <c r="G2202" t="s">
        <v>93</v>
      </c>
      <c r="H2202">
        <v>1</v>
      </c>
      <c r="I2202">
        <v>3</v>
      </c>
      <c r="J2202">
        <v>2005</v>
      </c>
      <c r="K2202" t="s">
        <v>94</v>
      </c>
      <c r="L2202">
        <v>99</v>
      </c>
      <c r="M2202" t="s">
        <v>842</v>
      </c>
      <c r="N2202" t="s">
        <v>284</v>
      </c>
      <c r="O2202" t="s">
        <v>285</v>
      </c>
      <c r="P2202" t="s">
        <v>286</v>
      </c>
      <c r="R2202" t="s">
        <v>287</v>
      </c>
      <c r="T2202">
        <v>79903</v>
      </c>
      <c r="U2202" t="s">
        <v>287</v>
      </c>
      <c r="V2202" t="s">
        <v>288</v>
      </c>
      <c r="W2202" t="s">
        <v>289</v>
      </c>
      <c r="X2202" t="s">
        <v>290</v>
      </c>
      <c r="Y2202" t="s">
        <v>119</v>
      </c>
    </row>
    <row r="2203" spans="1:25">
      <c r="A2203">
        <v>10401</v>
      </c>
      <c r="B2203">
        <v>49</v>
      </c>
      <c r="C2203">
        <v>100</v>
      </c>
      <c r="D2203">
        <v>1</v>
      </c>
      <c r="E2203">
        <v>4992.6099999999997</v>
      </c>
      <c r="F2203" s="4">
        <v>38415</v>
      </c>
      <c r="G2203" t="s">
        <v>518</v>
      </c>
      <c r="H2203">
        <v>2</v>
      </c>
      <c r="I2203">
        <v>4</v>
      </c>
      <c r="J2203">
        <v>2005</v>
      </c>
      <c r="K2203" t="s">
        <v>94</v>
      </c>
      <c r="L2203">
        <v>99</v>
      </c>
      <c r="M2203" t="s">
        <v>842</v>
      </c>
      <c r="N2203" t="s">
        <v>178</v>
      </c>
      <c r="O2203">
        <v>2015559350</v>
      </c>
      <c r="P2203" t="s">
        <v>179</v>
      </c>
      <c r="R2203" t="s">
        <v>180</v>
      </c>
      <c r="S2203" t="s">
        <v>181</v>
      </c>
      <c r="T2203">
        <v>94019</v>
      </c>
      <c r="U2203" t="s">
        <v>100</v>
      </c>
      <c r="V2203" t="s">
        <v>101</v>
      </c>
      <c r="W2203" t="s">
        <v>130</v>
      </c>
      <c r="X2203" t="s">
        <v>182</v>
      </c>
      <c r="Y2203" t="s">
        <v>119</v>
      </c>
    </row>
    <row r="2204" spans="1:25">
      <c r="A2204">
        <v>10416</v>
      </c>
      <c r="B2204">
        <v>45</v>
      </c>
      <c r="C2204">
        <v>100</v>
      </c>
      <c r="D2204">
        <v>2</v>
      </c>
      <c r="E2204">
        <v>4764.6000000000004</v>
      </c>
      <c r="F2204" s="4">
        <v>38630</v>
      </c>
      <c r="G2204" t="s">
        <v>93</v>
      </c>
      <c r="H2204">
        <v>2</v>
      </c>
      <c r="I2204">
        <v>5</v>
      </c>
      <c r="J2204">
        <v>2005</v>
      </c>
      <c r="K2204" t="s">
        <v>94</v>
      </c>
      <c r="L2204">
        <v>99</v>
      </c>
      <c r="M2204" t="s">
        <v>842</v>
      </c>
      <c r="N2204" t="s">
        <v>576</v>
      </c>
      <c r="O2204" t="s">
        <v>577</v>
      </c>
      <c r="P2204" t="s">
        <v>578</v>
      </c>
      <c r="R2204" t="s">
        <v>579</v>
      </c>
      <c r="T2204">
        <v>42100</v>
      </c>
      <c r="U2204" t="s">
        <v>352</v>
      </c>
      <c r="V2204" t="s">
        <v>110</v>
      </c>
      <c r="W2204" t="s">
        <v>580</v>
      </c>
      <c r="X2204" t="s">
        <v>581</v>
      </c>
      <c r="Y2204" t="s">
        <v>119</v>
      </c>
    </row>
    <row r="2205" spans="1:25">
      <c r="A2205">
        <v>10108</v>
      </c>
      <c r="B2205">
        <v>27</v>
      </c>
      <c r="C2205">
        <v>43.45</v>
      </c>
      <c r="D2205">
        <v>13</v>
      </c>
      <c r="E2205">
        <v>1173.1500000000001</v>
      </c>
      <c r="F2205" s="4">
        <v>37683</v>
      </c>
      <c r="G2205" t="s">
        <v>93</v>
      </c>
      <c r="H2205">
        <v>1</v>
      </c>
      <c r="I2205">
        <v>3</v>
      </c>
      <c r="J2205">
        <v>2003</v>
      </c>
      <c r="K2205" t="s">
        <v>94</v>
      </c>
      <c r="L2205">
        <v>40</v>
      </c>
      <c r="M2205" t="s">
        <v>843</v>
      </c>
      <c r="N2205" t="s">
        <v>547</v>
      </c>
      <c r="O2205" t="s">
        <v>548</v>
      </c>
      <c r="P2205" t="s">
        <v>549</v>
      </c>
      <c r="R2205" t="s">
        <v>550</v>
      </c>
      <c r="T2205" t="s">
        <v>551</v>
      </c>
      <c r="U2205" t="s">
        <v>552</v>
      </c>
      <c r="V2205" t="s">
        <v>288</v>
      </c>
      <c r="W2205" t="s">
        <v>553</v>
      </c>
      <c r="X2205" t="s">
        <v>554</v>
      </c>
      <c r="Y2205" t="s">
        <v>104</v>
      </c>
    </row>
    <row r="2206" spans="1:25">
      <c r="A2206">
        <v>10122</v>
      </c>
      <c r="B2206">
        <v>31</v>
      </c>
      <c r="C2206">
        <v>44.66</v>
      </c>
      <c r="D2206">
        <v>17</v>
      </c>
      <c r="E2206">
        <v>1384.46</v>
      </c>
      <c r="F2206" s="4">
        <v>37838</v>
      </c>
      <c r="G2206" t="s">
        <v>93</v>
      </c>
      <c r="H2206">
        <v>2</v>
      </c>
      <c r="I2206">
        <v>5</v>
      </c>
      <c r="J2206">
        <v>2003</v>
      </c>
      <c r="K2206" t="s">
        <v>94</v>
      </c>
      <c r="L2206">
        <v>40</v>
      </c>
      <c r="M2206" t="s">
        <v>843</v>
      </c>
      <c r="N2206" t="s">
        <v>555</v>
      </c>
      <c r="O2206" t="s">
        <v>556</v>
      </c>
      <c r="P2206" t="s">
        <v>557</v>
      </c>
      <c r="R2206" t="s">
        <v>558</v>
      </c>
      <c r="T2206">
        <v>13008</v>
      </c>
      <c r="U2206" t="s">
        <v>109</v>
      </c>
      <c r="V2206" t="s">
        <v>110</v>
      </c>
      <c r="W2206" t="s">
        <v>559</v>
      </c>
      <c r="X2206" t="s">
        <v>560</v>
      </c>
      <c r="Y2206" t="s">
        <v>104</v>
      </c>
    </row>
    <row r="2207" spans="1:25">
      <c r="A2207">
        <v>10135</v>
      </c>
      <c r="B2207">
        <v>33</v>
      </c>
      <c r="C2207">
        <v>40.229999999999997</v>
      </c>
      <c r="D2207">
        <v>14</v>
      </c>
      <c r="E2207">
        <v>1327.59</v>
      </c>
      <c r="F2207" s="4">
        <v>37659</v>
      </c>
      <c r="G2207" t="s">
        <v>93</v>
      </c>
      <c r="H2207">
        <v>3</v>
      </c>
      <c r="I2207">
        <v>7</v>
      </c>
      <c r="J2207">
        <v>2003</v>
      </c>
      <c r="K2207" t="s">
        <v>94</v>
      </c>
      <c r="L2207">
        <v>40</v>
      </c>
      <c r="M2207" t="s">
        <v>843</v>
      </c>
      <c r="N2207" t="s">
        <v>367</v>
      </c>
      <c r="O2207">
        <v>4155551450</v>
      </c>
      <c r="P2207" t="s">
        <v>368</v>
      </c>
      <c r="R2207" t="s">
        <v>369</v>
      </c>
      <c r="S2207" t="s">
        <v>124</v>
      </c>
      <c r="T2207">
        <v>97562</v>
      </c>
      <c r="U2207" t="s">
        <v>100</v>
      </c>
      <c r="V2207" t="s">
        <v>101</v>
      </c>
      <c r="W2207" t="s">
        <v>370</v>
      </c>
      <c r="X2207" t="s">
        <v>371</v>
      </c>
      <c r="Y2207" t="s">
        <v>104</v>
      </c>
    </row>
    <row r="2208" spans="1:25">
      <c r="A2208">
        <v>10145</v>
      </c>
      <c r="B2208">
        <v>31</v>
      </c>
      <c r="C2208">
        <v>35.799999999999997</v>
      </c>
      <c r="D2208">
        <v>1</v>
      </c>
      <c r="E2208">
        <v>1109.8</v>
      </c>
      <c r="F2208" t="s">
        <v>120</v>
      </c>
      <c r="G2208" t="s">
        <v>93</v>
      </c>
      <c r="H2208">
        <v>3</v>
      </c>
      <c r="I2208">
        <v>8</v>
      </c>
      <c r="J2208">
        <v>2003</v>
      </c>
      <c r="K2208" t="s">
        <v>94</v>
      </c>
      <c r="L2208">
        <v>40</v>
      </c>
      <c r="M2208" t="s">
        <v>843</v>
      </c>
      <c r="N2208" t="s">
        <v>121</v>
      </c>
      <c r="O2208">
        <v>6265557265</v>
      </c>
      <c r="P2208" t="s">
        <v>122</v>
      </c>
      <c r="R2208" t="s">
        <v>123</v>
      </c>
      <c r="S2208" t="s">
        <v>124</v>
      </c>
      <c r="T2208">
        <v>90003</v>
      </c>
      <c r="U2208" t="s">
        <v>100</v>
      </c>
      <c r="V2208" t="s">
        <v>101</v>
      </c>
      <c r="W2208" t="s">
        <v>125</v>
      </c>
      <c r="X2208" t="s">
        <v>126</v>
      </c>
      <c r="Y2208" t="s">
        <v>104</v>
      </c>
    </row>
    <row r="2209" spans="1:25">
      <c r="A2209">
        <v>10159</v>
      </c>
      <c r="B2209">
        <v>35</v>
      </c>
      <c r="C2209">
        <v>35.4</v>
      </c>
      <c r="D2209">
        <v>9</v>
      </c>
      <c r="E2209">
        <v>1239</v>
      </c>
      <c r="F2209" s="4">
        <v>37904</v>
      </c>
      <c r="G2209" t="s">
        <v>93</v>
      </c>
      <c r="H2209">
        <v>4</v>
      </c>
      <c r="I2209">
        <v>10</v>
      </c>
      <c r="J2209">
        <v>2003</v>
      </c>
      <c r="K2209" t="s">
        <v>94</v>
      </c>
      <c r="L2209">
        <v>40</v>
      </c>
      <c r="M2209" t="s">
        <v>843</v>
      </c>
      <c r="N2209" t="s">
        <v>127</v>
      </c>
      <c r="O2209">
        <v>6505551386</v>
      </c>
      <c r="P2209" t="s">
        <v>128</v>
      </c>
      <c r="R2209" t="s">
        <v>129</v>
      </c>
      <c r="S2209" t="s">
        <v>124</v>
      </c>
      <c r="U2209" t="s">
        <v>100</v>
      </c>
      <c r="V2209" t="s">
        <v>101</v>
      </c>
      <c r="W2209" t="s">
        <v>130</v>
      </c>
      <c r="X2209" t="s">
        <v>126</v>
      </c>
      <c r="Y2209" t="s">
        <v>104</v>
      </c>
    </row>
    <row r="2210" spans="1:25">
      <c r="A2210">
        <v>10169</v>
      </c>
      <c r="B2210">
        <v>26</v>
      </c>
      <c r="C2210">
        <v>39.83</v>
      </c>
      <c r="D2210">
        <v>9</v>
      </c>
      <c r="E2210">
        <v>1035.58</v>
      </c>
      <c r="F2210" s="4">
        <v>37722</v>
      </c>
      <c r="G2210" t="s">
        <v>93</v>
      </c>
      <c r="H2210">
        <v>4</v>
      </c>
      <c r="I2210">
        <v>11</v>
      </c>
      <c r="J2210">
        <v>2003</v>
      </c>
      <c r="K2210" t="s">
        <v>94</v>
      </c>
      <c r="L2210">
        <v>40</v>
      </c>
      <c r="M2210" t="s">
        <v>843</v>
      </c>
      <c r="N2210" t="s">
        <v>384</v>
      </c>
      <c r="O2210" t="s">
        <v>385</v>
      </c>
      <c r="P2210" t="s">
        <v>386</v>
      </c>
      <c r="Q2210" t="s">
        <v>387</v>
      </c>
      <c r="R2210" t="s">
        <v>388</v>
      </c>
      <c r="S2210" t="s">
        <v>239</v>
      </c>
      <c r="T2210">
        <v>2060</v>
      </c>
      <c r="U2210" t="s">
        <v>168</v>
      </c>
      <c r="V2210" t="s">
        <v>169</v>
      </c>
      <c r="W2210" t="s">
        <v>389</v>
      </c>
      <c r="X2210" t="s">
        <v>390</v>
      </c>
      <c r="Y2210" t="s">
        <v>104</v>
      </c>
    </row>
    <row r="2211" spans="1:25">
      <c r="A2211">
        <v>10180</v>
      </c>
      <c r="B2211">
        <v>34</v>
      </c>
      <c r="C2211">
        <v>45.46</v>
      </c>
      <c r="D2211">
        <v>4</v>
      </c>
      <c r="E2211">
        <v>1545.64</v>
      </c>
      <c r="F2211" s="4">
        <v>37936</v>
      </c>
      <c r="G2211" t="s">
        <v>93</v>
      </c>
      <c r="H2211">
        <v>4</v>
      </c>
      <c r="I2211">
        <v>11</v>
      </c>
      <c r="J2211">
        <v>2003</v>
      </c>
      <c r="K2211" t="s">
        <v>94</v>
      </c>
      <c r="L2211">
        <v>40</v>
      </c>
      <c r="M2211" t="s">
        <v>843</v>
      </c>
      <c r="N2211" t="s">
        <v>137</v>
      </c>
      <c r="O2211" t="s">
        <v>138</v>
      </c>
      <c r="P2211" t="s">
        <v>139</v>
      </c>
      <c r="R2211" t="s">
        <v>140</v>
      </c>
      <c r="T2211">
        <v>59000</v>
      </c>
      <c r="U2211" t="s">
        <v>109</v>
      </c>
      <c r="V2211" t="s">
        <v>110</v>
      </c>
      <c r="W2211" t="s">
        <v>141</v>
      </c>
      <c r="X2211" t="s">
        <v>142</v>
      </c>
      <c r="Y2211" t="s">
        <v>104</v>
      </c>
    </row>
    <row r="2212" spans="1:25">
      <c r="A2212">
        <v>10190</v>
      </c>
      <c r="B2212">
        <v>46</v>
      </c>
      <c r="C2212">
        <v>32.99</v>
      </c>
      <c r="D2212">
        <v>1</v>
      </c>
      <c r="E2212">
        <v>1517.54</v>
      </c>
      <c r="F2212" t="s">
        <v>818</v>
      </c>
      <c r="G2212" t="s">
        <v>93</v>
      </c>
      <c r="H2212">
        <v>4</v>
      </c>
      <c r="I2212">
        <v>11</v>
      </c>
      <c r="J2212">
        <v>2003</v>
      </c>
      <c r="K2212" t="s">
        <v>94</v>
      </c>
      <c r="L2212">
        <v>40</v>
      </c>
      <c r="M2212" t="s">
        <v>843</v>
      </c>
      <c r="N2212" t="s">
        <v>257</v>
      </c>
      <c r="O2212" t="s">
        <v>258</v>
      </c>
      <c r="P2212" t="s">
        <v>259</v>
      </c>
      <c r="R2212" t="s">
        <v>260</v>
      </c>
      <c r="T2212">
        <v>28034</v>
      </c>
      <c r="U2212" t="s">
        <v>261</v>
      </c>
      <c r="V2212" t="s">
        <v>110</v>
      </c>
      <c r="W2212" t="s">
        <v>262</v>
      </c>
      <c r="X2212" t="s">
        <v>263</v>
      </c>
      <c r="Y2212" t="s">
        <v>104</v>
      </c>
    </row>
    <row r="2213" spans="1:25">
      <c r="A2213">
        <v>10211</v>
      </c>
      <c r="B2213">
        <v>41</v>
      </c>
      <c r="C2213">
        <v>42.24</v>
      </c>
      <c r="D2213">
        <v>9</v>
      </c>
      <c r="E2213">
        <v>1731.84</v>
      </c>
      <c r="F2213" t="s">
        <v>155</v>
      </c>
      <c r="G2213" t="s">
        <v>93</v>
      </c>
      <c r="H2213">
        <v>1</v>
      </c>
      <c r="I2213">
        <v>1</v>
      </c>
      <c r="J2213">
        <v>2004</v>
      </c>
      <c r="K2213" t="s">
        <v>94</v>
      </c>
      <c r="L2213">
        <v>40</v>
      </c>
      <c r="M2213" t="s">
        <v>843</v>
      </c>
      <c r="N2213" t="s">
        <v>156</v>
      </c>
      <c r="O2213" t="s">
        <v>157</v>
      </c>
      <c r="P2213" t="s">
        <v>158</v>
      </c>
      <c r="R2213" t="s">
        <v>116</v>
      </c>
      <c r="T2213">
        <v>75016</v>
      </c>
      <c r="U2213" t="s">
        <v>109</v>
      </c>
      <c r="V2213" t="s">
        <v>110</v>
      </c>
      <c r="W2213" t="s">
        <v>159</v>
      </c>
      <c r="X2213" t="s">
        <v>160</v>
      </c>
      <c r="Y2213" t="s">
        <v>104</v>
      </c>
    </row>
    <row r="2214" spans="1:25">
      <c r="A2214">
        <v>10224</v>
      </c>
      <c r="B2214">
        <v>43</v>
      </c>
      <c r="C2214">
        <v>39.43</v>
      </c>
      <c r="D2214">
        <v>2</v>
      </c>
      <c r="E2214">
        <v>1695.49</v>
      </c>
      <c r="F2214" t="s">
        <v>642</v>
      </c>
      <c r="G2214" t="s">
        <v>93</v>
      </c>
      <c r="H2214">
        <v>1</v>
      </c>
      <c r="I2214">
        <v>2</v>
      </c>
      <c r="J2214">
        <v>2004</v>
      </c>
      <c r="K2214" t="s">
        <v>94</v>
      </c>
      <c r="L2214">
        <v>40</v>
      </c>
      <c r="M2214" t="s">
        <v>843</v>
      </c>
      <c r="N2214" t="s">
        <v>137</v>
      </c>
      <c r="O2214" t="s">
        <v>138</v>
      </c>
      <c r="P2214" t="s">
        <v>139</v>
      </c>
      <c r="R2214" t="s">
        <v>140</v>
      </c>
      <c r="T2214">
        <v>59000</v>
      </c>
      <c r="U2214" t="s">
        <v>109</v>
      </c>
      <c r="V2214" t="s">
        <v>110</v>
      </c>
      <c r="W2214" t="s">
        <v>141</v>
      </c>
      <c r="X2214" t="s">
        <v>142</v>
      </c>
      <c r="Y2214" t="s">
        <v>104</v>
      </c>
    </row>
    <row r="2215" spans="1:25">
      <c r="A2215">
        <v>10237</v>
      </c>
      <c r="B2215">
        <v>26</v>
      </c>
      <c r="C2215">
        <v>40.229999999999997</v>
      </c>
      <c r="D2215">
        <v>2</v>
      </c>
      <c r="E2215">
        <v>1045.98</v>
      </c>
      <c r="F2215" s="4">
        <v>38111</v>
      </c>
      <c r="G2215" t="s">
        <v>93</v>
      </c>
      <c r="H2215">
        <v>2</v>
      </c>
      <c r="I2215">
        <v>4</v>
      </c>
      <c r="J2215">
        <v>2004</v>
      </c>
      <c r="K2215" t="s">
        <v>94</v>
      </c>
      <c r="L2215">
        <v>40</v>
      </c>
      <c r="M2215" t="s">
        <v>843</v>
      </c>
      <c r="N2215" t="s">
        <v>172</v>
      </c>
      <c r="O2215">
        <v>2125551500</v>
      </c>
      <c r="P2215" t="s">
        <v>173</v>
      </c>
      <c r="Q2215" t="s">
        <v>174</v>
      </c>
      <c r="R2215" t="s">
        <v>98</v>
      </c>
      <c r="S2215" t="s">
        <v>99</v>
      </c>
      <c r="T2215">
        <v>10022</v>
      </c>
      <c r="U2215" t="s">
        <v>100</v>
      </c>
      <c r="V2215" t="s">
        <v>101</v>
      </c>
      <c r="W2215" t="s">
        <v>175</v>
      </c>
      <c r="X2215" t="s">
        <v>176</v>
      </c>
      <c r="Y2215" t="s">
        <v>104</v>
      </c>
    </row>
    <row r="2216" spans="1:25">
      <c r="A2216">
        <v>10252</v>
      </c>
      <c r="B2216">
        <v>36</v>
      </c>
      <c r="C2216">
        <v>48.28</v>
      </c>
      <c r="D2216">
        <v>6</v>
      </c>
      <c r="E2216">
        <v>1738.08</v>
      </c>
      <c r="F2216" t="s">
        <v>788</v>
      </c>
      <c r="G2216" t="s">
        <v>93</v>
      </c>
      <c r="H2216">
        <v>2</v>
      </c>
      <c r="I2216">
        <v>5</v>
      </c>
      <c r="J2216">
        <v>2004</v>
      </c>
      <c r="K2216" t="s">
        <v>94</v>
      </c>
      <c r="L2216">
        <v>40</v>
      </c>
      <c r="M2216" t="s">
        <v>843</v>
      </c>
      <c r="N2216" t="s">
        <v>156</v>
      </c>
      <c r="O2216" t="s">
        <v>157</v>
      </c>
      <c r="P2216" t="s">
        <v>158</v>
      </c>
      <c r="R2216" t="s">
        <v>116</v>
      </c>
      <c r="T2216">
        <v>75016</v>
      </c>
      <c r="U2216" t="s">
        <v>109</v>
      </c>
      <c r="V2216" t="s">
        <v>110</v>
      </c>
      <c r="W2216" t="s">
        <v>159</v>
      </c>
      <c r="X2216" t="s">
        <v>160</v>
      </c>
      <c r="Y2216" t="s">
        <v>104</v>
      </c>
    </row>
    <row r="2217" spans="1:25">
      <c r="A2217">
        <v>10264</v>
      </c>
      <c r="B2217">
        <v>20</v>
      </c>
      <c r="C2217">
        <v>32.590000000000003</v>
      </c>
      <c r="D2217">
        <v>4</v>
      </c>
      <c r="E2217">
        <v>651.79999999999995</v>
      </c>
      <c r="F2217" t="s">
        <v>794</v>
      </c>
      <c r="G2217" t="s">
        <v>93</v>
      </c>
      <c r="H2217">
        <v>2</v>
      </c>
      <c r="I2217">
        <v>6</v>
      </c>
      <c r="J2217">
        <v>2004</v>
      </c>
      <c r="K2217" t="s">
        <v>94</v>
      </c>
      <c r="L2217">
        <v>40</v>
      </c>
      <c r="M2217" t="s">
        <v>843</v>
      </c>
      <c r="N2217" t="s">
        <v>490</v>
      </c>
      <c r="O2217">
        <v>6175559555</v>
      </c>
      <c r="P2217" t="s">
        <v>491</v>
      </c>
      <c r="R2217" t="s">
        <v>492</v>
      </c>
      <c r="S2217" t="s">
        <v>200</v>
      </c>
      <c r="T2217">
        <v>51003</v>
      </c>
      <c r="U2217" t="s">
        <v>100</v>
      </c>
      <c r="V2217" t="s">
        <v>101</v>
      </c>
      <c r="W2217" t="s">
        <v>493</v>
      </c>
      <c r="X2217" t="s">
        <v>136</v>
      </c>
      <c r="Y2217" t="s">
        <v>104</v>
      </c>
    </row>
    <row r="2218" spans="1:25">
      <c r="A2218">
        <v>10276</v>
      </c>
      <c r="B2218">
        <v>27</v>
      </c>
      <c r="C2218">
        <v>36.61</v>
      </c>
      <c r="D2218">
        <v>10</v>
      </c>
      <c r="E2218">
        <v>988.47</v>
      </c>
      <c r="F2218" s="4">
        <v>38025</v>
      </c>
      <c r="G2218" t="s">
        <v>93</v>
      </c>
      <c r="H2218">
        <v>3</v>
      </c>
      <c r="I2218">
        <v>8</v>
      </c>
      <c r="J2218">
        <v>2004</v>
      </c>
      <c r="K2218" t="s">
        <v>94</v>
      </c>
      <c r="L2218">
        <v>40</v>
      </c>
      <c r="M2218" t="s">
        <v>843</v>
      </c>
      <c r="N2218" t="s">
        <v>582</v>
      </c>
      <c r="O2218">
        <v>6175557555</v>
      </c>
      <c r="P2218" t="s">
        <v>583</v>
      </c>
      <c r="R2218" t="s">
        <v>381</v>
      </c>
      <c r="S2218" t="s">
        <v>200</v>
      </c>
      <c r="T2218">
        <v>58339</v>
      </c>
      <c r="U2218" t="s">
        <v>100</v>
      </c>
      <c r="V2218" t="s">
        <v>101</v>
      </c>
      <c r="W2218" t="s">
        <v>584</v>
      </c>
      <c r="X2218" t="s">
        <v>585</v>
      </c>
      <c r="Y2218" t="s">
        <v>104</v>
      </c>
    </row>
    <row r="2219" spans="1:25">
      <c r="A2219">
        <v>10285</v>
      </c>
      <c r="B2219">
        <v>37</v>
      </c>
      <c r="C2219">
        <v>41.03</v>
      </c>
      <c r="D2219">
        <v>1</v>
      </c>
      <c r="E2219">
        <v>1518.11</v>
      </c>
      <c r="F2219" t="s">
        <v>196</v>
      </c>
      <c r="G2219" t="s">
        <v>93</v>
      </c>
      <c r="H2219">
        <v>3</v>
      </c>
      <c r="I2219">
        <v>8</v>
      </c>
      <c r="J2219">
        <v>2004</v>
      </c>
      <c r="K2219" t="s">
        <v>94</v>
      </c>
      <c r="L2219">
        <v>40</v>
      </c>
      <c r="M2219" t="s">
        <v>843</v>
      </c>
      <c r="N2219" t="s">
        <v>197</v>
      </c>
      <c r="O2219">
        <v>6175558555</v>
      </c>
      <c r="P2219" t="s">
        <v>198</v>
      </c>
      <c r="R2219" t="s">
        <v>199</v>
      </c>
      <c r="S2219" t="s">
        <v>200</v>
      </c>
      <c r="T2219">
        <v>51247</v>
      </c>
      <c r="U2219" t="s">
        <v>100</v>
      </c>
      <c r="V2219" t="s">
        <v>101</v>
      </c>
      <c r="W2219" t="s">
        <v>201</v>
      </c>
      <c r="X2219" t="s">
        <v>202</v>
      </c>
      <c r="Y2219" t="s">
        <v>104</v>
      </c>
    </row>
    <row r="2220" spans="1:25">
      <c r="A2220">
        <v>10299</v>
      </c>
      <c r="B2220">
        <v>24</v>
      </c>
      <c r="C2220">
        <v>42.24</v>
      </c>
      <c r="D2220">
        <v>4</v>
      </c>
      <c r="E2220">
        <v>1013.76</v>
      </c>
      <c r="F2220" t="s">
        <v>203</v>
      </c>
      <c r="G2220" t="s">
        <v>93</v>
      </c>
      <c r="H2220">
        <v>3</v>
      </c>
      <c r="I2220">
        <v>9</v>
      </c>
      <c r="J2220">
        <v>2004</v>
      </c>
      <c r="K2220" t="s">
        <v>94</v>
      </c>
      <c r="L2220">
        <v>40</v>
      </c>
      <c r="M2220" t="s">
        <v>843</v>
      </c>
      <c r="N2220" t="s">
        <v>204</v>
      </c>
      <c r="O2220" t="s">
        <v>205</v>
      </c>
      <c r="P2220" t="s">
        <v>206</v>
      </c>
      <c r="R2220" t="s">
        <v>207</v>
      </c>
      <c r="T2220">
        <v>21240</v>
      </c>
      <c r="U2220" t="s">
        <v>208</v>
      </c>
      <c r="V2220" t="s">
        <v>110</v>
      </c>
      <c r="W2220" t="s">
        <v>209</v>
      </c>
      <c r="X2220" t="s">
        <v>210</v>
      </c>
      <c r="Y2220" t="s">
        <v>104</v>
      </c>
    </row>
    <row r="2221" spans="1:25">
      <c r="A2221">
        <v>10310</v>
      </c>
      <c r="B2221">
        <v>36</v>
      </c>
      <c r="C2221">
        <v>43.05</v>
      </c>
      <c r="D2221">
        <v>17</v>
      </c>
      <c r="E2221">
        <v>1549.8</v>
      </c>
      <c r="F2221" t="s">
        <v>592</v>
      </c>
      <c r="G2221" t="s">
        <v>93</v>
      </c>
      <c r="H2221">
        <v>4</v>
      </c>
      <c r="I2221">
        <v>10</v>
      </c>
      <c r="J2221">
        <v>2004</v>
      </c>
      <c r="K2221" t="s">
        <v>94</v>
      </c>
      <c r="L2221">
        <v>40</v>
      </c>
      <c r="M2221" t="s">
        <v>843</v>
      </c>
      <c r="N2221" t="s">
        <v>562</v>
      </c>
      <c r="O2221" t="s">
        <v>563</v>
      </c>
      <c r="P2221" t="s">
        <v>564</v>
      </c>
      <c r="R2221" t="s">
        <v>565</v>
      </c>
      <c r="T2221">
        <v>50739</v>
      </c>
      <c r="U2221" t="s">
        <v>566</v>
      </c>
      <c r="V2221" t="s">
        <v>110</v>
      </c>
      <c r="W2221" t="s">
        <v>567</v>
      </c>
      <c r="X2221" t="s">
        <v>568</v>
      </c>
      <c r="Y2221" t="s">
        <v>104</v>
      </c>
    </row>
    <row r="2222" spans="1:25">
      <c r="A2222">
        <v>10319</v>
      </c>
      <c r="B2222">
        <v>29</v>
      </c>
      <c r="C2222">
        <v>38.22</v>
      </c>
      <c r="D2222">
        <v>5</v>
      </c>
      <c r="E2222">
        <v>1108.3800000000001</v>
      </c>
      <c r="F2222" s="4">
        <v>38057</v>
      </c>
      <c r="G2222" t="s">
        <v>93</v>
      </c>
      <c r="H2222">
        <v>4</v>
      </c>
      <c r="I2222">
        <v>11</v>
      </c>
      <c r="J2222">
        <v>2004</v>
      </c>
      <c r="K2222" t="s">
        <v>94</v>
      </c>
      <c r="L2222">
        <v>40</v>
      </c>
      <c r="M2222" t="s">
        <v>843</v>
      </c>
      <c r="N2222" t="s">
        <v>643</v>
      </c>
      <c r="O2222">
        <v>2125551957</v>
      </c>
      <c r="P2222" t="s">
        <v>644</v>
      </c>
      <c r="Q2222" t="s">
        <v>645</v>
      </c>
      <c r="R2222" t="s">
        <v>98</v>
      </c>
      <c r="S2222" t="s">
        <v>99</v>
      </c>
      <c r="T2222">
        <v>10022</v>
      </c>
      <c r="U2222" t="s">
        <v>100</v>
      </c>
      <c r="V2222" t="s">
        <v>101</v>
      </c>
      <c r="W2222" t="s">
        <v>646</v>
      </c>
      <c r="X2222" t="s">
        <v>647</v>
      </c>
      <c r="Y2222" t="s">
        <v>104</v>
      </c>
    </row>
    <row r="2223" spans="1:25">
      <c r="A2223">
        <v>10331</v>
      </c>
      <c r="B2223">
        <v>28</v>
      </c>
      <c r="C2223">
        <v>100</v>
      </c>
      <c r="D2223">
        <v>3</v>
      </c>
      <c r="E2223">
        <v>4102.5600000000004</v>
      </c>
      <c r="F2223" t="s">
        <v>695</v>
      </c>
      <c r="G2223" t="s">
        <v>93</v>
      </c>
      <c r="H2223">
        <v>4</v>
      </c>
      <c r="I2223">
        <v>11</v>
      </c>
      <c r="J2223">
        <v>2004</v>
      </c>
      <c r="K2223" t="s">
        <v>94</v>
      </c>
      <c r="L2223">
        <v>40</v>
      </c>
      <c r="M2223" t="s">
        <v>843</v>
      </c>
      <c r="N2223" t="s">
        <v>410</v>
      </c>
      <c r="O2223">
        <v>2155559857</v>
      </c>
      <c r="P2223" t="s">
        <v>411</v>
      </c>
      <c r="R2223" t="s">
        <v>306</v>
      </c>
      <c r="S2223" t="s">
        <v>221</v>
      </c>
      <c r="T2223">
        <v>71270</v>
      </c>
      <c r="U2223" t="s">
        <v>100</v>
      </c>
      <c r="V2223" t="s">
        <v>101</v>
      </c>
      <c r="W2223" t="s">
        <v>201</v>
      </c>
      <c r="X2223" t="s">
        <v>412</v>
      </c>
      <c r="Y2223" t="s">
        <v>119</v>
      </c>
    </row>
    <row r="2224" spans="1:25">
      <c r="A2224">
        <v>10343</v>
      </c>
      <c r="B2224">
        <v>29</v>
      </c>
      <c r="C2224">
        <v>100</v>
      </c>
      <c r="D2224">
        <v>5</v>
      </c>
      <c r="E2224">
        <v>3713.16</v>
      </c>
      <c r="F2224" t="s">
        <v>224</v>
      </c>
      <c r="G2224" t="s">
        <v>93</v>
      </c>
      <c r="H2224">
        <v>4</v>
      </c>
      <c r="I2224">
        <v>11</v>
      </c>
      <c r="J2224">
        <v>2004</v>
      </c>
      <c r="K2224" t="s">
        <v>94</v>
      </c>
      <c r="L2224">
        <v>40</v>
      </c>
      <c r="M2224" t="s">
        <v>843</v>
      </c>
      <c r="N2224" t="s">
        <v>105</v>
      </c>
      <c r="O2224" t="s">
        <v>106</v>
      </c>
      <c r="P2224" t="s">
        <v>107</v>
      </c>
      <c r="R2224" t="s">
        <v>108</v>
      </c>
      <c r="T2224">
        <v>51100</v>
      </c>
      <c r="U2224" t="s">
        <v>109</v>
      </c>
      <c r="V2224" t="s">
        <v>110</v>
      </c>
      <c r="W2224" t="s">
        <v>111</v>
      </c>
      <c r="X2224" t="s">
        <v>112</v>
      </c>
      <c r="Y2224" t="s">
        <v>119</v>
      </c>
    </row>
    <row r="2225" spans="1:25">
      <c r="A2225">
        <v>10355</v>
      </c>
      <c r="B2225">
        <v>38</v>
      </c>
      <c r="C2225">
        <v>39.83</v>
      </c>
      <c r="D2225">
        <v>10</v>
      </c>
      <c r="E2225">
        <v>1513.54</v>
      </c>
      <c r="F2225" s="4">
        <v>38180</v>
      </c>
      <c r="G2225" t="s">
        <v>93</v>
      </c>
      <c r="H2225">
        <v>4</v>
      </c>
      <c r="I2225">
        <v>12</v>
      </c>
      <c r="J2225">
        <v>2004</v>
      </c>
      <c r="K2225" t="s">
        <v>94</v>
      </c>
      <c r="L2225">
        <v>40</v>
      </c>
      <c r="M2225" t="s">
        <v>843</v>
      </c>
      <c r="N2225" t="s">
        <v>257</v>
      </c>
      <c r="O2225" t="s">
        <v>258</v>
      </c>
      <c r="P2225" t="s">
        <v>259</v>
      </c>
      <c r="R2225" t="s">
        <v>260</v>
      </c>
      <c r="T2225">
        <v>28034</v>
      </c>
      <c r="U2225" t="s">
        <v>261</v>
      </c>
      <c r="V2225" t="s">
        <v>110</v>
      </c>
      <c r="W2225" t="s">
        <v>262</v>
      </c>
      <c r="X2225" t="s">
        <v>263</v>
      </c>
      <c r="Y2225" t="s">
        <v>104</v>
      </c>
    </row>
    <row r="2226" spans="1:25">
      <c r="A2226">
        <v>10364</v>
      </c>
      <c r="B2226">
        <v>48</v>
      </c>
      <c r="C2226">
        <v>48.28</v>
      </c>
      <c r="D2226">
        <v>1</v>
      </c>
      <c r="E2226">
        <v>2317.44</v>
      </c>
      <c r="F2226" s="4">
        <v>38504</v>
      </c>
      <c r="G2226" t="s">
        <v>93</v>
      </c>
      <c r="H2226">
        <v>1</v>
      </c>
      <c r="I2226">
        <v>1</v>
      </c>
      <c r="J2226">
        <v>2005</v>
      </c>
      <c r="K2226" t="s">
        <v>94</v>
      </c>
      <c r="L2226">
        <v>40</v>
      </c>
      <c r="M2226" t="s">
        <v>843</v>
      </c>
      <c r="N2226" t="s">
        <v>555</v>
      </c>
      <c r="O2226" t="s">
        <v>556</v>
      </c>
      <c r="P2226" t="s">
        <v>557</v>
      </c>
      <c r="R2226" t="s">
        <v>558</v>
      </c>
      <c r="T2226">
        <v>13008</v>
      </c>
      <c r="U2226" t="s">
        <v>109</v>
      </c>
      <c r="V2226" t="s">
        <v>110</v>
      </c>
      <c r="W2226" t="s">
        <v>559</v>
      </c>
      <c r="X2226" t="s">
        <v>560</v>
      </c>
      <c r="Y2226" t="s">
        <v>104</v>
      </c>
    </row>
    <row r="2227" spans="1:25">
      <c r="A2227">
        <v>10378</v>
      </c>
      <c r="B2227">
        <v>40</v>
      </c>
      <c r="C2227">
        <v>82.46</v>
      </c>
      <c r="D2227">
        <v>1</v>
      </c>
      <c r="E2227">
        <v>3298.4</v>
      </c>
      <c r="F2227" s="4">
        <v>38627</v>
      </c>
      <c r="G2227" t="s">
        <v>93</v>
      </c>
      <c r="H2227">
        <v>1</v>
      </c>
      <c r="I2227">
        <v>2</v>
      </c>
      <c r="J2227">
        <v>2005</v>
      </c>
      <c r="K2227" t="s">
        <v>94</v>
      </c>
      <c r="L2227">
        <v>40</v>
      </c>
      <c r="M2227" t="s">
        <v>843</v>
      </c>
      <c r="N2227" t="s">
        <v>257</v>
      </c>
      <c r="O2227" t="s">
        <v>258</v>
      </c>
      <c r="P2227" t="s">
        <v>259</v>
      </c>
      <c r="R2227" t="s">
        <v>260</v>
      </c>
      <c r="T2227">
        <v>28034</v>
      </c>
      <c r="U2227" t="s">
        <v>261</v>
      </c>
      <c r="V2227" t="s">
        <v>110</v>
      </c>
      <c r="W2227" t="s">
        <v>262</v>
      </c>
      <c r="X2227" t="s">
        <v>263</v>
      </c>
      <c r="Y2227" t="s">
        <v>119</v>
      </c>
    </row>
    <row r="2228" spans="1:25">
      <c r="A2228">
        <v>10390</v>
      </c>
      <c r="B2228">
        <v>41</v>
      </c>
      <c r="C2228">
        <v>44.56</v>
      </c>
      <c r="D2228">
        <v>11</v>
      </c>
      <c r="E2228">
        <v>1826.96</v>
      </c>
      <c r="F2228" s="4">
        <v>38445</v>
      </c>
      <c r="G2228" t="s">
        <v>93</v>
      </c>
      <c r="H2228">
        <v>1</v>
      </c>
      <c r="I2228">
        <v>3</v>
      </c>
      <c r="J2228">
        <v>2005</v>
      </c>
      <c r="K2228" t="s">
        <v>94</v>
      </c>
      <c r="L2228">
        <v>40</v>
      </c>
      <c r="M2228" t="s">
        <v>843</v>
      </c>
      <c r="N2228" t="s">
        <v>367</v>
      </c>
      <c r="O2228">
        <v>4155551450</v>
      </c>
      <c r="P2228" t="s">
        <v>368</v>
      </c>
      <c r="R2228" t="s">
        <v>369</v>
      </c>
      <c r="S2228" t="s">
        <v>124</v>
      </c>
      <c r="T2228">
        <v>97562</v>
      </c>
      <c r="U2228" t="s">
        <v>100</v>
      </c>
      <c r="V2228" t="s">
        <v>101</v>
      </c>
      <c r="W2228" t="s">
        <v>370</v>
      </c>
      <c r="X2228" t="s">
        <v>371</v>
      </c>
      <c r="Y2228" t="s">
        <v>104</v>
      </c>
    </row>
    <row r="2229" spans="1:25">
      <c r="A2229">
        <v>10403</v>
      </c>
      <c r="B2229">
        <v>30</v>
      </c>
      <c r="C2229">
        <v>40.229999999999997</v>
      </c>
      <c r="D2229">
        <v>2</v>
      </c>
      <c r="E2229">
        <v>1206.9000000000001</v>
      </c>
      <c r="F2229" s="4">
        <v>38568</v>
      </c>
      <c r="G2229" t="s">
        <v>93</v>
      </c>
      <c r="H2229">
        <v>2</v>
      </c>
      <c r="I2229">
        <v>4</v>
      </c>
      <c r="J2229">
        <v>2005</v>
      </c>
      <c r="K2229" t="s">
        <v>94</v>
      </c>
      <c r="L2229">
        <v>40</v>
      </c>
      <c r="M2229" t="s">
        <v>843</v>
      </c>
      <c r="N2229" t="s">
        <v>247</v>
      </c>
      <c r="O2229" t="s">
        <v>248</v>
      </c>
      <c r="P2229" t="s">
        <v>249</v>
      </c>
      <c r="R2229" t="s">
        <v>250</v>
      </c>
      <c r="T2229" t="s">
        <v>251</v>
      </c>
      <c r="U2229" t="s">
        <v>252</v>
      </c>
      <c r="V2229" t="s">
        <v>110</v>
      </c>
      <c r="W2229" t="s">
        <v>253</v>
      </c>
      <c r="X2229" t="s">
        <v>254</v>
      </c>
      <c r="Y2229" t="s">
        <v>104</v>
      </c>
    </row>
    <row r="2230" spans="1:25">
      <c r="A2230">
        <v>10104</v>
      </c>
      <c r="B2230">
        <v>35</v>
      </c>
      <c r="C2230">
        <v>47.62</v>
      </c>
      <c r="D2230">
        <v>11</v>
      </c>
      <c r="E2230">
        <v>1666.7</v>
      </c>
      <c r="F2230" t="s">
        <v>648</v>
      </c>
      <c r="G2230" t="s">
        <v>93</v>
      </c>
      <c r="H2230">
        <v>1</v>
      </c>
      <c r="I2230">
        <v>1</v>
      </c>
      <c r="J2230">
        <v>2003</v>
      </c>
      <c r="K2230" t="s">
        <v>638</v>
      </c>
      <c r="L2230">
        <v>54</v>
      </c>
      <c r="M2230" t="s">
        <v>844</v>
      </c>
      <c r="N2230" t="s">
        <v>257</v>
      </c>
      <c r="O2230" t="s">
        <v>258</v>
      </c>
      <c r="P2230" t="s">
        <v>259</v>
      </c>
      <c r="R2230" t="s">
        <v>260</v>
      </c>
      <c r="T2230">
        <v>28034</v>
      </c>
      <c r="U2230" t="s">
        <v>261</v>
      </c>
      <c r="V2230" t="s">
        <v>110</v>
      </c>
      <c r="W2230" t="s">
        <v>262</v>
      </c>
      <c r="X2230" t="s">
        <v>263</v>
      </c>
      <c r="Y2230" t="s">
        <v>104</v>
      </c>
    </row>
    <row r="2231" spans="1:25">
      <c r="A2231">
        <v>10114</v>
      </c>
      <c r="B2231">
        <v>28</v>
      </c>
      <c r="C2231">
        <v>55.73</v>
      </c>
      <c r="D2231">
        <v>2</v>
      </c>
      <c r="E2231">
        <v>1560.44</v>
      </c>
      <c r="F2231" s="4">
        <v>37625</v>
      </c>
      <c r="G2231" t="s">
        <v>93</v>
      </c>
      <c r="H2231">
        <v>2</v>
      </c>
      <c r="I2231">
        <v>4</v>
      </c>
      <c r="J2231">
        <v>2003</v>
      </c>
      <c r="K2231" t="s">
        <v>638</v>
      </c>
      <c r="L2231">
        <v>54</v>
      </c>
      <c r="M2231" t="s">
        <v>844</v>
      </c>
      <c r="N2231" t="s">
        <v>520</v>
      </c>
      <c r="O2231" t="s">
        <v>521</v>
      </c>
      <c r="P2231" t="s">
        <v>522</v>
      </c>
      <c r="R2231" t="s">
        <v>116</v>
      </c>
      <c r="T2231">
        <v>75012</v>
      </c>
      <c r="U2231" t="s">
        <v>109</v>
      </c>
      <c r="V2231" t="s">
        <v>110</v>
      </c>
      <c r="W2231" t="s">
        <v>523</v>
      </c>
      <c r="X2231" t="s">
        <v>524</v>
      </c>
      <c r="Y2231" t="s">
        <v>104</v>
      </c>
    </row>
    <row r="2232" spans="1:25">
      <c r="A2232">
        <v>10127</v>
      </c>
      <c r="B2232">
        <v>45</v>
      </c>
      <c r="C2232">
        <v>51.95</v>
      </c>
      <c r="D2232">
        <v>13</v>
      </c>
      <c r="E2232">
        <v>2337.75</v>
      </c>
      <c r="F2232" s="4">
        <v>37686</v>
      </c>
      <c r="G2232" t="s">
        <v>93</v>
      </c>
      <c r="H2232">
        <v>2</v>
      </c>
      <c r="I2232">
        <v>6</v>
      </c>
      <c r="J2232">
        <v>2003</v>
      </c>
      <c r="K2232" t="s">
        <v>638</v>
      </c>
      <c r="L2232">
        <v>54</v>
      </c>
      <c r="M2232" t="s">
        <v>844</v>
      </c>
      <c r="N2232" t="s">
        <v>603</v>
      </c>
      <c r="O2232">
        <v>2125557413</v>
      </c>
      <c r="P2232" t="s">
        <v>604</v>
      </c>
      <c r="Q2232" t="s">
        <v>605</v>
      </c>
      <c r="R2232" t="s">
        <v>98</v>
      </c>
      <c r="S2232" t="s">
        <v>99</v>
      </c>
      <c r="T2232">
        <v>10022</v>
      </c>
      <c r="U2232" t="s">
        <v>100</v>
      </c>
      <c r="V2232" t="s">
        <v>101</v>
      </c>
      <c r="W2232" t="s">
        <v>125</v>
      </c>
      <c r="X2232" t="s">
        <v>606</v>
      </c>
      <c r="Y2232" t="s">
        <v>104</v>
      </c>
    </row>
    <row r="2233" spans="1:25">
      <c r="A2233">
        <v>10141</v>
      </c>
      <c r="B2233">
        <v>24</v>
      </c>
      <c r="C2233">
        <v>45.99</v>
      </c>
      <c r="D2233">
        <v>7</v>
      </c>
      <c r="E2233">
        <v>1103.76</v>
      </c>
      <c r="F2233" s="4">
        <v>37629</v>
      </c>
      <c r="G2233" t="s">
        <v>93</v>
      </c>
      <c r="H2233">
        <v>3</v>
      </c>
      <c r="I2233">
        <v>8</v>
      </c>
      <c r="J2233">
        <v>2003</v>
      </c>
      <c r="K2233" t="s">
        <v>638</v>
      </c>
      <c r="L2233">
        <v>54</v>
      </c>
      <c r="M2233" t="s">
        <v>844</v>
      </c>
      <c r="N2233" t="s">
        <v>593</v>
      </c>
      <c r="O2233" t="s">
        <v>594</v>
      </c>
      <c r="P2233" t="s">
        <v>595</v>
      </c>
      <c r="R2233" t="s">
        <v>596</v>
      </c>
      <c r="T2233" t="s">
        <v>597</v>
      </c>
      <c r="U2233" t="s">
        <v>208</v>
      </c>
      <c r="V2233" t="s">
        <v>110</v>
      </c>
      <c r="W2233" t="s">
        <v>598</v>
      </c>
      <c r="X2233" t="s">
        <v>599</v>
      </c>
      <c r="Y2233" t="s">
        <v>104</v>
      </c>
    </row>
    <row r="2234" spans="1:25">
      <c r="A2234">
        <v>10151</v>
      </c>
      <c r="B2234">
        <v>41</v>
      </c>
      <c r="C2234">
        <v>63.85</v>
      </c>
      <c r="D2234">
        <v>5</v>
      </c>
      <c r="E2234">
        <v>2617.85</v>
      </c>
      <c r="F2234" t="s">
        <v>661</v>
      </c>
      <c r="G2234" t="s">
        <v>93</v>
      </c>
      <c r="H2234">
        <v>3</v>
      </c>
      <c r="I2234">
        <v>9</v>
      </c>
      <c r="J2234">
        <v>2003</v>
      </c>
      <c r="K2234" t="s">
        <v>638</v>
      </c>
      <c r="L2234">
        <v>54</v>
      </c>
      <c r="M2234" t="s">
        <v>844</v>
      </c>
      <c r="N2234" t="s">
        <v>506</v>
      </c>
      <c r="O2234" t="s">
        <v>507</v>
      </c>
      <c r="P2234" t="s">
        <v>508</v>
      </c>
      <c r="R2234" t="s">
        <v>509</v>
      </c>
      <c r="T2234">
        <v>90110</v>
      </c>
      <c r="U2234" t="s">
        <v>208</v>
      </c>
      <c r="V2234" t="s">
        <v>110</v>
      </c>
      <c r="W2234" t="s">
        <v>510</v>
      </c>
      <c r="X2234" t="s">
        <v>511</v>
      </c>
      <c r="Y2234" t="s">
        <v>104</v>
      </c>
    </row>
    <row r="2235" spans="1:25">
      <c r="A2235">
        <v>10165</v>
      </c>
      <c r="B2235">
        <v>48</v>
      </c>
      <c r="C2235">
        <v>45.99</v>
      </c>
      <c r="D2235">
        <v>14</v>
      </c>
      <c r="E2235">
        <v>2207.52</v>
      </c>
      <c r="F2235" t="s">
        <v>608</v>
      </c>
      <c r="G2235" t="s">
        <v>93</v>
      </c>
      <c r="H2235">
        <v>4</v>
      </c>
      <c r="I2235">
        <v>10</v>
      </c>
      <c r="J2235">
        <v>2003</v>
      </c>
      <c r="K2235" t="s">
        <v>638</v>
      </c>
      <c r="L2235">
        <v>54</v>
      </c>
      <c r="M2235" t="s">
        <v>844</v>
      </c>
      <c r="N2235" t="s">
        <v>284</v>
      </c>
      <c r="O2235" t="s">
        <v>285</v>
      </c>
      <c r="P2235" t="s">
        <v>286</v>
      </c>
      <c r="R2235" t="s">
        <v>287</v>
      </c>
      <c r="T2235">
        <v>79903</v>
      </c>
      <c r="U2235" t="s">
        <v>287</v>
      </c>
      <c r="V2235" t="s">
        <v>288</v>
      </c>
      <c r="W2235" t="s">
        <v>289</v>
      </c>
      <c r="X2235" t="s">
        <v>290</v>
      </c>
      <c r="Y2235" t="s">
        <v>104</v>
      </c>
    </row>
    <row r="2236" spans="1:25">
      <c r="A2236">
        <v>10175</v>
      </c>
      <c r="B2236">
        <v>50</v>
      </c>
      <c r="C2236">
        <v>63.31</v>
      </c>
      <c r="D2236">
        <v>3</v>
      </c>
      <c r="E2236">
        <v>3165.5</v>
      </c>
      <c r="F2236" s="4">
        <v>37783</v>
      </c>
      <c r="G2236" t="s">
        <v>93</v>
      </c>
      <c r="H2236">
        <v>4</v>
      </c>
      <c r="I2236">
        <v>11</v>
      </c>
      <c r="J2236">
        <v>2003</v>
      </c>
      <c r="K2236" t="s">
        <v>638</v>
      </c>
      <c r="L2236">
        <v>54</v>
      </c>
      <c r="M2236" t="s">
        <v>844</v>
      </c>
      <c r="N2236" t="s">
        <v>433</v>
      </c>
      <c r="O2236" t="s">
        <v>434</v>
      </c>
      <c r="P2236" t="s">
        <v>435</v>
      </c>
      <c r="R2236" t="s">
        <v>436</v>
      </c>
      <c r="T2236" t="s">
        <v>437</v>
      </c>
      <c r="U2236" t="s">
        <v>252</v>
      </c>
      <c r="V2236" t="s">
        <v>110</v>
      </c>
      <c r="W2236" t="s">
        <v>130</v>
      </c>
      <c r="X2236" t="s">
        <v>438</v>
      </c>
      <c r="Y2236" t="s">
        <v>119</v>
      </c>
    </row>
    <row r="2237" spans="1:25">
      <c r="A2237">
        <v>10184</v>
      </c>
      <c r="B2237">
        <v>33</v>
      </c>
      <c r="C2237">
        <v>62.77</v>
      </c>
      <c r="D2237">
        <v>8</v>
      </c>
      <c r="E2237">
        <v>2071.41</v>
      </c>
      <c r="F2237" t="s">
        <v>451</v>
      </c>
      <c r="G2237" t="s">
        <v>93</v>
      </c>
      <c r="H2237">
        <v>4</v>
      </c>
      <c r="I2237">
        <v>11</v>
      </c>
      <c r="J2237">
        <v>2003</v>
      </c>
      <c r="K2237" t="s">
        <v>638</v>
      </c>
      <c r="L2237">
        <v>54</v>
      </c>
      <c r="M2237" t="s">
        <v>844</v>
      </c>
      <c r="N2237" t="s">
        <v>662</v>
      </c>
      <c r="O2237" t="s">
        <v>663</v>
      </c>
      <c r="P2237" t="s">
        <v>664</v>
      </c>
      <c r="R2237" t="s">
        <v>665</v>
      </c>
      <c r="T2237">
        <v>41101</v>
      </c>
      <c r="U2237" t="s">
        <v>261</v>
      </c>
      <c r="V2237" t="s">
        <v>110</v>
      </c>
      <c r="W2237" t="s">
        <v>666</v>
      </c>
      <c r="X2237" t="s">
        <v>667</v>
      </c>
      <c r="Y2237" t="s">
        <v>104</v>
      </c>
    </row>
    <row r="2238" spans="1:25">
      <c r="A2238">
        <v>10195</v>
      </c>
      <c r="B2238">
        <v>32</v>
      </c>
      <c r="C2238">
        <v>43.29</v>
      </c>
      <c r="D2238">
        <v>8</v>
      </c>
      <c r="E2238">
        <v>1385.28</v>
      </c>
      <c r="F2238" t="s">
        <v>309</v>
      </c>
      <c r="G2238" t="s">
        <v>93</v>
      </c>
      <c r="H2238">
        <v>4</v>
      </c>
      <c r="I2238">
        <v>11</v>
      </c>
      <c r="J2238">
        <v>2003</v>
      </c>
      <c r="K2238" t="s">
        <v>638</v>
      </c>
      <c r="L2238">
        <v>54</v>
      </c>
      <c r="M2238" t="s">
        <v>844</v>
      </c>
      <c r="N2238" t="s">
        <v>419</v>
      </c>
      <c r="O2238">
        <v>9145554562</v>
      </c>
      <c r="P2238" t="s">
        <v>420</v>
      </c>
      <c r="R2238" t="s">
        <v>421</v>
      </c>
      <c r="S2238" t="s">
        <v>99</v>
      </c>
      <c r="T2238">
        <v>24067</v>
      </c>
      <c r="U2238" t="s">
        <v>100</v>
      </c>
      <c r="V2238" t="s">
        <v>101</v>
      </c>
      <c r="W2238" t="s">
        <v>175</v>
      </c>
      <c r="X2238" t="s">
        <v>329</v>
      </c>
      <c r="Y2238" t="s">
        <v>104</v>
      </c>
    </row>
    <row r="2239" spans="1:25">
      <c r="A2239">
        <v>10207</v>
      </c>
      <c r="B2239">
        <v>27</v>
      </c>
      <c r="C2239">
        <v>60.06</v>
      </c>
      <c r="D2239">
        <v>9</v>
      </c>
      <c r="E2239">
        <v>1621.62</v>
      </c>
      <c r="F2239" s="4">
        <v>37876</v>
      </c>
      <c r="G2239" t="s">
        <v>93</v>
      </c>
      <c r="H2239">
        <v>4</v>
      </c>
      <c r="I2239">
        <v>12</v>
      </c>
      <c r="J2239">
        <v>2003</v>
      </c>
      <c r="K2239" t="s">
        <v>638</v>
      </c>
      <c r="L2239">
        <v>54</v>
      </c>
      <c r="M2239" t="s">
        <v>844</v>
      </c>
      <c r="N2239" t="s">
        <v>533</v>
      </c>
      <c r="O2239">
        <v>6175552555</v>
      </c>
      <c r="P2239" t="s">
        <v>534</v>
      </c>
      <c r="R2239" t="s">
        <v>492</v>
      </c>
      <c r="S2239" t="s">
        <v>200</v>
      </c>
      <c r="T2239">
        <v>51003</v>
      </c>
      <c r="U2239" t="s">
        <v>100</v>
      </c>
      <c r="V2239" t="s">
        <v>101</v>
      </c>
      <c r="W2239" t="s">
        <v>535</v>
      </c>
      <c r="X2239" t="s">
        <v>371</v>
      </c>
      <c r="Y2239" t="s">
        <v>104</v>
      </c>
    </row>
    <row r="2240" spans="1:25">
      <c r="A2240">
        <v>10219</v>
      </c>
      <c r="B2240">
        <v>35</v>
      </c>
      <c r="C2240">
        <v>55.19</v>
      </c>
      <c r="D2240">
        <v>4</v>
      </c>
      <c r="E2240">
        <v>1931.65</v>
      </c>
      <c r="F2240" s="4">
        <v>38262</v>
      </c>
      <c r="G2240" t="s">
        <v>93</v>
      </c>
      <c r="H2240">
        <v>1</v>
      </c>
      <c r="I2240">
        <v>2</v>
      </c>
      <c r="J2240">
        <v>2004</v>
      </c>
      <c r="K2240" t="s">
        <v>638</v>
      </c>
      <c r="L2240">
        <v>54</v>
      </c>
      <c r="M2240" t="s">
        <v>844</v>
      </c>
      <c r="N2240" t="s">
        <v>668</v>
      </c>
      <c r="O2240">
        <v>4155554312</v>
      </c>
      <c r="P2240" t="s">
        <v>669</v>
      </c>
      <c r="R2240" t="s">
        <v>670</v>
      </c>
      <c r="S2240" t="s">
        <v>124</v>
      </c>
      <c r="T2240">
        <v>94217</v>
      </c>
      <c r="U2240" t="s">
        <v>100</v>
      </c>
      <c r="V2240" t="s">
        <v>101</v>
      </c>
      <c r="W2240" t="s">
        <v>671</v>
      </c>
      <c r="X2240" t="s">
        <v>517</v>
      </c>
      <c r="Y2240" t="s">
        <v>104</v>
      </c>
    </row>
    <row r="2241" spans="1:25">
      <c r="A2241">
        <v>10229</v>
      </c>
      <c r="B2241">
        <v>23</v>
      </c>
      <c r="C2241">
        <v>54.11</v>
      </c>
      <c r="D2241">
        <v>3</v>
      </c>
      <c r="E2241">
        <v>1244.53</v>
      </c>
      <c r="F2241" s="4">
        <v>38294</v>
      </c>
      <c r="G2241" t="s">
        <v>93</v>
      </c>
      <c r="H2241">
        <v>1</v>
      </c>
      <c r="I2241">
        <v>3</v>
      </c>
      <c r="J2241">
        <v>2004</v>
      </c>
      <c r="K2241" t="s">
        <v>638</v>
      </c>
      <c r="L2241">
        <v>54</v>
      </c>
      <c r="M2241" t="s">
        <v>844</v>
      </c>
      <c r="N2241" t="s">
        <v>367</v>
      </c>
      <c r="O2241">
        <v>4155551450</v>
      </c>
      <c r="P2241" t="s">
        <v>368</v>
      </c>
      <c r="R2241" t="s">
        <v>369</v>
      </c>
      <c r="S2241" t="s">
        <v>124</v>
      </c>
      <c r="T2241">
        <v>97562</v>
      </c>
      <c r="U2241" t="s">
        <v>100</v>
      </c>
      <c r="V2241" t="s">
        <v>101</v>
      </c>
      <c r="W2241" t="s">
        <v>370</v>
      </c>
      <c r="X2241" t="s">
        <v>371</v>
      </c>
      <c r="Y2241" t="s">
        <v>104</v>
      </c>
    </row>
    <row r="2242" spans="1:25">
      <c r="A2242">
        <v>10246</v>
      </c>
      <c r="B2242">
        <v>35</v>
      </c>
      <c r="C2242">
        <v>48.7</v>
      </c>
      <c r="D2242">
        <v>7</v>
      </c>
      <c r="E2242">
        <v>1704.5</v>
      </c>
      <c r="F2242" s="4">
        <v>38112</v>
      </c>
      <c r="G2242" t="s">
        <v>93</v>
      </c>
      <c r="H2242">
        <v>2</v>
      </c>
      <c r="I2242">
        <v>5</v>
      </c>
      <c r="J2242">
        <v>2004</v>
      </c>
      <c r="K2242" t="s">
        <v>638</v>
      </c>
      <c r="L2242">
        <v>54</v>
      </c>
      <c r="M2242" t="s">
        <v>844</v>
      </c>
      <c r="N2242" t="s">
        <v>257</v>
      </c>
      <c r="O2242" t="s">
        <v>258</v>
      </c>
      <c r="P2242" t="s">
        <v>259</v>
      </c>
      <c r="R2242" t="s">
        <v>260</v>
      </c>
      <c r="T2242">
        <v>28034</v>
      </c>
      <c r="U2242" t="s">
        <v>261</v>
      </c>
      <c r="V2242" t="s">
        <v>110</v>
      </c>
      <c r="W2242" t="s">
        <v>262</v>
      </c>
      <c r="X2242" t="s">
        <v>263</v>
      </c>
      <c r="Y2242" t="s">
        <v>104</v>
      </c>
    </row>
    <row r="2243" spans="1:25">
      <c r="A2243">
        <v>10259</v>
      </c>
      <c r="B2243">
        <v>40</v>
      </c>
      <c r="C2243">
        <v>43.83</v>
      </c>
      <c r="D2243">
        <v>6</v>
      </c>
      <c r="E2243">
        <v>1753.2</v>
      </c>
      <c r="F2243" t="s">
        <v>337</v>
      </c>
      <c r="G2243" t="s">
        <v>93</v>
      </c>
      <c r="H2243">
        <v>2</v>
      </c>
      <c r="I2243">
        <v>6</v>
      </c>
      <c r="J2243">
        <v>2004</v>
      </c>
      <c r="K2243" t="s">
        <v>638</v>
      </c>
      <c r="L2243">
        <v>54</v>
      </c>
      <c r="M2243" t="s">
        <v>844</v>
      </c>
      <c r="N2243" t="s">
        <v>536</v>
      </c>
      <c r="O2243" t="s">
        <v>537</v>
      </c>
      <c r="P2243" t="s">
        <v>538</v>
      </c>
      <c r="Q2243" t="s">
        <v>539</v>
      </c>
      <c r="R2243" t="s">
        <v>287</v>
      </c>
      <c r="T2243">
        <v>69045</v>
      </c>
      <c r="U2243" t="s">
        <v>287</v>
      </c>
      <c r="V2243" t="s">
        <v>169</v>
      </c>
      <c r="W2243" t="s">
        <v>540</v>
      </c>
      <c r="X2243" t="s">
        <v>541</v>
      </c>
      <c r="Y2243" t="s">
        <v>104</v>
      </c>
    </row>
    <row r="2244" spans="1:25">
      <c r="A2244">
        <v>10271</v>
      </c>
      <c r="B2244">
        <v>35</v>
      </c>
      <c r="C2244">
        <v>47.62</v>
      </c>
      <c r="D2244">
        <v>7</v>
      </c>
      <c r="E2244">
        <v>1666.7</v>
      </c>
      <c r="F2244" t="s">
        <v>623</v>
      </c>
      <c r="G2244" t="s">
        <v>93</v>
      </c>
      <c r="H2244">
        <v>3</v>
      </c>
      <c r="I2244">
        <v>7</v>
      </c>
      <c r="J2244">
        <v>2004</v>
      </c>
      <c r="K2244" t="s">
        <v>638</v>
      </c>
      <c r="L2244">
        <v>54</v>
      </c>
      <c r="M2244" t="s">
        <v>844</v>
      </c>
      <c r="N2244" t="s">
        <v>367</v>
      </c>
      <c r="O2244">
        <v>4155551450</v>
      </c>
      <c r="P2244" t="s">
        <v>368</v>
      </c>
      <c r="R2244" t="s">
        <v>369</v>
      </c>
      <c r="S2244" t="s">
        <v>124</v>
      </c>
      <c r="T2244">
        <v>97562</v>
      </c>
      <c r="U2244" t="s">
        <v>100</v>
      </c>
      <c r="V2244" t="s">
        <v>101</v>
      </c>
      <c r="W2244" t="s">
        <v>370</v>
      </c>
      <c r="X2244" t="s">
        <v>371</v>
      </c>
      <c r="Y2244" t="s">
        <v>104</v>
      </c>
    </row>
    <row r="2245" spans="1:25">
      <c r="A2245">
        <v>10281</v>
      </c>
      <c r="B2245">
        <v>31</v>
      </c>
      <c r="C2245">
        <v>55.19</v>
      </c>
      <c r="D2245">
        <v>3</v>
      </c>
      <c r="E2245">
        <v>1710.89</v>
      </c>
      <c r="F2245" t="s">
        <v>542</v>
      </c>
      <c r="G2245" t="s">
        <v>93</v>
      </c>
      <c r="H2245">
        <v>3</v>
      </c>
      <c r="I2245">
        <v>8</v>
      </c>
      <c r="J2245">
        <v>2004</v>
      </c>
      <c r="K2245" t="s">
        <v>638</v>
      </c>
      <c r="L2245">
        <v>54</v>
      </c>
      <c r="M2245" t="s">
        <v>844</v>
      </c>
      <c r="N2245" t="s">
        <v>218</v>
      </c>
      <c r="O2245">
        <v>2155551555</v>
      </c>
      <c r="P2245" t="s">
        <v>219</v>
      </c>
      <c r="R2245" t="s">
        <v>220</v>
      </c>
      <c r="S2245" t="s">
        <v>221</v>
      </c>
      <c r="T2245">
        <v>70267</v>
      </c>
      <c r="U2245" t="s">
        <v>100</v>
      </c>
      <c r="V2245" t="s">
        <v>101</v>
      </c>
      <c r="W2245" t="s">
        <v>102</v>
      </c>
      <c r="X2245" t="s">
        <v>222</v>
      </c>
      <c r="Y2245" t="s">
        <v>104</v>
      </c>
    </row>
    <row r="2246" spans="1:25">
      <c r="A2246">
        <v>10292</v>
      </c>
      <c r="B2246">
        <v>50</v>
      </c>
      <c r="C2246">
        <v>46.53</v>
      </c>
      <c r="D2246">
        <v>10</v>
      </c>
      <c r="E2246">
        <v>2326.5</v>
      </c>
      <c r="F2246" s="4">
        <v>38208</v>
      </c>
      <c r="G2246" t="s">
        <v>93</v>
      </c>
      <c r="H2246">
        <v>3</v>
      </c>
      <c r="I2246">
        <v>9</v>
      </c>
      <c r="J2246">
        <v>2004</v>
      </c>
      <c r="K2246" t="s">
        <v>638</v>
      </c>
      <c r="L2246">
        <v>54</v>
      </c>
      <c r="M2246" t="s">
        <v>844</v>
      </c>
      <c r="N2246" t="s">
        <v>96</v>
      </c>
      <c r="O2246">
        <v>2125557818</v>
      </c>
      <c r="P2246" t="s">
        <v>97</v>
      </c>
      <c r="R2246" t="s">
        <v>98</v>
      </c>
      <c r="S2246" t="s">
        <v>99</v>
      </c>
      <c r="T2246">
        <v>10022</v>
      </c>
      <c r="U2246" t="s">
        <v>100</v>
      </c>
      <c r="V2246" t="s">
        <v>101</v>
      </c>
      <c r="W2246" t="s">
        <v>102</v>
      </c>
      <c r="X2246" t="s">
        <v>103</v>
      </c>
      <c r="Y2246" t="s">
        <v>104</v>
      </c>
    </row>
    <row r="2247" spans="1:25">
      <c r="A2247">
        <v>10305</v>
      </c>
      <c r="B2247">
        <v>40</v>
      </c>
      <c r="C2247">
        <v>57.9</v>
      </c>
      <c r="D2247">
        <v>7</v>
      </c>
      <c r="E2247">
        <v>2316</v>
      </c>
      <c r="F2247" t="s">
        <v>543</v>
      </c>
      <c r="G2247" t="s">
        <v>93</v>
      </c>
      <c r="H2247">
        <v>4</v>
      </c>
      <c r="I2247">
        <v>10</v>
      </c>
      <c r="J2247">
        <v>2004</v>
      </c>
      <c r="K2247" t="s">
        <v>638</v>
      </c>
      <c r="L2247">
        <v>54</v>
      </c>
      <c r="M2247" t="s">
        <v>844</v>
      </c>
      <c r="N2247" t="s">
        <v>197</v>
      </c>
      <c r="O2247">
        <v>6175558555</v>
      </c>
      <c r="P2247" t="s">
        <v>198</v>
      </c>
      <c r="R2247" t="s">
        <v>199</v>
      </c>
      <c r="S2247" t="s">
        <v>200</v>
      </c>
      <c r="T2247">
        <v>51247</v>
      </c>
      <c r="U2247" t="s">
        <v>100</v>
      </c>
      <c r="V2247" t="s">
        <v>101</v>
      </c>
      <c r="W2247" t="s">
        <v>201</v>
      </c>
      <c r="X2247" t="s">
        <v>202</v>
      </c>
      <c r="Y2247" t="s">
        <v>104</v>
      </c>
    </row>
    <row r="2248" spans="1:25">
      <c r="A2248">
        <v>10313</v>
      </c>
      <c r="B2248">
        <v>38</v>
      </c>
      <c r="C2248">
        <v>45.45</v>
      </c>
      <c r="D2248">
        <v>1</v>
      </c>
      <c r="E2248">
        <v>1727.1</v>
      </c>
      <c r="F2248" t="s">
        <v>544</v>
      </c>
      <c r="G2248" t="s">
        <v>93</v>
      </c>
      <c r="H2248">
        <v>4</v>
      </c>
      <c r="I2248">
        <v>10</v>
      </c>
      <c r="J2248">
        <v>2004</v>
      </c>
      <c r="K2248" t="s">
        <v>638</v>
      </c>
      <c r="L2248">
        <v>54</v>
      </c>
      <c r="M2248" t="s">
        <v>844</v>
      </c>
      <c r="N2248" t="s">
        <v>316</v>
      </c>
      <c r="O2248" t="s">
        <v>317</v>
      </c>
      <c r="P2248" t="s">
        <v>318</v>
      </c>
      <c r="R2248" t="s">
        <v>319</v>
      </c>
      <c r="S2248" t="s">
        <v>320</v>
      </c>
      <c r="T2248" t="s">
        <v>321</v>
      </c>
      <c r="U2248" t="s">
        <v>322</v>
      </c>
      <c r="V2248" t="s">
        <v>101</v>
      </c>
      <c r="W2248" t="s">
        <v>323</v>
      </c>
      <c r="X2248" t="s">
        <v>324</v>
      </c>
      <c r="Y2248" t="s">
        <v>104</v>
      </c>
    </row>
    <row r="2249" spans="1:25">
      <c r="A2249">
        <v>10325</v>
      </c>
      <c r="B2249">
        <v>38</v>
      </c>
      <c r="C2249">
        <v>100</v>
      </c>
      <c r="D2249">
        <v>3</v>
      </c>
      <c r="E2249">
        <v>8844.1200000000008</v>
      </c>
      <c r="F2249" s="4">
        <v>38118</v>
      </c>
      <c r="G2249" t="s">
        <v>93</v>
      </c>
      <c r="H2249">
        <v>4</v>
      </c>
      <c r="I2249">
        <v>11</v>
      </c>
      <c r="J2249">
        <v>2004</v>
      </c>
      <c r="K2249" t="s">
        <v>638</v>
      </c>
      <c r="L2249">
        <v>54</v>
      </c>
      <c r="M2249" t="s">
        <v>844</v>
      </c>
      <c r="N2249" t="s">
        <v>212</v>
      </c>
      <c r="O2249" t="s">
        <v>213</v>
      </c>
      <c r="P2249" t="s">
        <v>214</v>
      </c>
      <c r="R2249" t="s">
        <v>215</v>
      </c>
      <c r="T2249">
        <v>4110</v>
      </c>
      <c r="U2249" t="s">
        <v>149</v>
      </c>
      <c r="V2249" t="s">
        <v>110</v>
      </c>
      <c r="W2249" t="s">
        <v>216</v>
      </c>
      <c r="X2249" t="s">
        <v>217</v>
      </c>
      <c r="Y2249" t="s">
        <v>232</v>
      </c>
    </row>
    <row r="2250" spans="1:25">
      <c r="A2250">
        <v>10335</v>
      </c>
      <c r="B2250">
        <v>40</v>
      </c>
      <c r="C2250">
        <v>60.6</v>
      </c>
      <c r="D2250">
        <v>3</v>
      </c>
      <c r="E2250">
        <v>2424</v>
      </c>
      <c r="F2250" t="s">
        <v>545</v>
      </c>
      <c r="G2250" t="s">
        <v>93</v>
      </c>
      <c r="H2250">
        <v>4</v>
      </c>
      <c r="I2250">
        <v>11</v>
      </c>
      <c r="J2250">
        <v>2004</v>
      </c>
      <c r="K2250" t="s">
        <v>638</v>
      </c>
      <c r="L2250">
        <v>54</v>
      </c>
      <c r="M2250" t="s">
        <v>844</v>
      </c>
      <c r="N2250" t="s">
        <v>367</v>
      </c>
      <c r="O2250">
        <v>4155551450</v>
      </c>
      <c r="P2250" t="s">
        <v>368</v>
      </c>
      <c r="R2250" t="s">
        <v>369</v>
      </c>
      <c r="S2250" t="s">
        <v>124</v>
      </c>
      <c r="T2250">
        <v>97562</v>
      </c>
      <c r="U2250" t="s">
        <v>100</v>
      </c>
      <c r="V2250" t="s">
        <v>101</v>
      </c>
      <c r="W2250" t="s">
        <v>370</v>
      </c>
      <c r="X2250" t="s">
        <v>371</v>
      </c>
      <c r="Y2250" t="s">
        <v>104</v>
      </c>
    </row>
    <row r="2251" spans="1:25">
      <c r="A2251">
        <v>10349</v>
      </c>
      <c r="B2251">
        <v>33</v>
      </c>
      <c r="C2251">
        <v>46.53</v>
      </c>
      <c r="D2251">
        <v>1</v>
      </c>
      <c r="E2251">
        <v>1535.49</v>
      </c>
      <c r="F2251" s="4">
        <v>37998</v>
      </c>
      <c r="G2251" t="s">
        <v>93</v>
      </c>
      <c r="H2251">
        <v>4</v>
      </c>
      <c r="I2251">
        <v>12</v>
      </c>
      <c r="J2251">
        <v>2004</v>
      </c>
      <c r="K2251" t="s">
        <v>638</v>
      </c>
      <c r="L2251">
        <v>54</v>
      </c>
      <c r="M2251" t="s">
        <v>844</v>
      </c>
      <c r="N2251" t="s">
        <v>603</v>
      </c>
      <c r="O2251">
        <v>2125557413</v>
      </c>
      <c r="P2251" t="s">
        <v>604</v>
      </c>
      <c r="Q2251" t="s">
        <v>605</v>
      </c>
      <c r="R2251" t="s">
        <v>98</v>
      </c>
      <c r="S2251" t="s">
        <v>99</v>
      </c>
      <c r="T2251">
        <v>10022</v>
      </c>
      <c r="U2251" t="s">
        <v>100</v>
      </c>
      <c r="V2251" t="s">
        <v>101</v>
      </c>
      <c r="W2251" t="s">
        <v>125</v>
      </c>
      <c r="X2251" t="s">
        <v>606</v>
      </c>
      <c r="Y2251" t="s">
        <v>104</v>
      </c>
    </row>
    <row r="2252" spans="1:25">
      <c r="A2252">
        <v>10359</v>
      </c>
      <c r="B2252">
        <v>36</v>
      </c>
      <c r="C2252">
        <v>100</v>
      </c>
      <c r="D2252">
        <v>3</v>
      </c>
      <c r="E2252">
        <v>6358.68</v>
      </c>
      <c r="F2252" t="s">
        <v>504</v>
      </c>
      <c r="G2252" t="s">
        <v>93</v>
      </c>
      <c r="H2252">
        <v>4</v>
      </c>
      <c r="I2252">
        <v>12</v>
      </c>
      <c r="J2252">
        <v>2004</v>
      </c>
      <c r="K2252" t="s">
        <v>638</v>
      </c>
      <c r="L2252">
        <v>54</v>
      </c>
      <c r="M2252" t="s">
        <v>844</v>
      </c>
      <c r="N2252" t="s">
        <v>105</v>
      </c>
      <c r="O2252" t="s">
        <v>106</v>
      </c>
      <c r="P2252" t="s">
        <v>107</v>
      </c>
      <c r="R2252" t="s">
        <v>108</v>
      </c>
      <c r="T2252">
        <v>51100</v>
      </c>
      <c r="U2252" t="s">
        <v>109</v>
      </c>
      <c r="V2252" t="s">
        <v>110</v>
      </c>
      <c r="W2252" t="s">
        <v>111</v>
      </c>
      <c r="X2252" t="s">
        <v>112</v>
      </c>
      <c r="Y2252" t="s">
        <v>119</v>
      </c>
    </row>
    <row r="2253" spans="1:25">
      <c r="A2253">
        <v>10371</v>
      </c>
      <c r="B2253">
        <v>20</v>
      </c>
      <c r="C2253">
        <v>66.47</v>
      </c>
      <c r="D2253">
        <v>2</v>
      </c>
      <c r="E2253">
        <v>1329.4</v>
      </c>
      <c r="F2253" t="s">
        <v>637</v>
      </c>
      <c r="G2253" t="s">
        <v>93</v>
      </c>
      <c r="H2253">
        <v>1</v>
      </c>
      <c r="I2253">
        <v>1</v>
      </c>
      <c r="J2253">
        <v>2005</v>
      </c>
      <c r="K2253" t="s">
        <v>638</v>
      </c>
      <c r="L2253">
        <v>54</v>
      </c>
      <c r="M2253" t="s">
        <v>844</v>
      </c>
      <c r="N2253" t="s">
        <v>367</v>
      </c>
      <c r="O2253">
        <v>4155551450</v>
      </c>
      <c r="P2253" t="s">
        <v>368</v>
      </c>
      <c r="R2253" t="s">
        <v>369</v>
      </c>
      <c r="S2253" t="s">
        <v>124</v>
      </c>
      <c r="T2253">
        <v>97562</v>
      </c>
      <c r="U2253" t="s">
        <v>100</v>
      </c>
      <c r="V2253" t="s">
        <v>101</v>
      </c>
      <c r="W2253" t="s">
        <v>370</v>
      </c>
      <c r="X2253" t="s">
        <v>371</v>
      </c>
      <c r="Y2253" t="s">
        <v>104</v>
      </c>
    </row>
    <row r="2254" spans="1:25">
      <c r="A2254">
        <v>10383</v>
      </c>
      <c r="B2254">
        <v>32</v>
      </c>
      <c r="C2254">
        <v>53.18</v>
      </c>
      <c r="D2254">
        <v>5</v>
      </c>
      <c r="E2254">
        <v>1701.76</v>
      </c>
      <c r="F2254" t="s">
        <v>760</v>
      </c>
      <c r="G2254" t="s">
        <v>93</v>
      </c>
      <c r="H2254">
        <v>1</v>
      </c>
      <c r="I2254">
        <v>2</v>
      </c>
      <c r="J2254">
        <v>2005</v>
      </c>
      <c r="K2254" t="s">
        <v>638</v>
      </c>
      <c r="L2254">
        <v>54</v>
      </c>
      <c r="M2254" t="s">
        <v>844</v>
      </c>
      <c r="N2254" t="s">
        <v>257</v>
      </c>
      <c r="O2254" t="s">
        <v>258</v>
      </c>
      <c r="P2254" t="s">
        <v>259</v>
      </c>
      <c r="R2254" t="s">
        <v>260</v>
      </c>
      <c r="T2254">
        <v>28034</v>
      </c>
      <c r="U2254" t="s">
        <v>261</v>
      </c>
      <c r="V2254" t="s">
        <v>110</v>
      </c>
      <c r="W2254" t="s">
        <v>262</v>
      </c>
      <c r="X2254" t="s">
        <v>263</v>
      </c>
      <c r="Y2254" t="s">
        <v>104</v>
      </c>
    </row>
    <row r="2255" spans="1:25">
      <c r="A2255">
        <v>10394</v>
      </c>
      <c r="B2255">
        <v>36</v>
      </c>
      <c r="C2255">
        <v>62.77</v>
      </c>
      <c r="D2255">
        <v>3</v>
      </c>
      <c r="E2255">
        <v>2259.7199999999998</v>
      </c>
      <c r="F2255" t="s">
        <v>784</v>
      </c>
      <c r="G2255" t="s">
        <v>93</v>
      </c>
      <c r="H2255">
        <v>1</v>
      </c>
      <c r="I2255">
        <v>3</v>
      </c>
      <c r="J2255">
        <v>2005</v>
      </c>
      <c r="K2255" t="s">
        <v>638</v>
      </c>
      <c r="L2255">
        <v>54</v>
      </c>
      <c r="M2255" t="s">
        <v>844</v>
      </c>
      <c r="N2255" t="s">
        <v>257</v>
      </c>
      <c r="O2255" t="s">
        <v>258</v>
      </c>
      <c r="P2255" t="s">
        <v>259</v>
      </c>
      <c r="R2255" t="s">
        <v>260</v>
      </c>
      <c r="T2255">
        <v>28034</v>
      </c>
      <c r="U2255" t="s">
        <v>261</v>
      </c>
      <c r="V2255" t="s">
        <v>110</v>
      </c>
      <c r="W2255" t="s">
        <v>262</v>
      </c>
      <c r="X2255" t="s">
        <v>263</v>
      </c>
      <c r="Y2255" t="s">
        <v>104</v>
      </c>
    </row>
    <row r="2256" spans="1:25">
      <c r="A2256">
        <v>10412</v>
      </c>
      <c r="B2256">
        <v>19</v>
      </c>
      <c r="C2256">
        <v>48.7</v>
      </c>
      <c r="D2256">
        <v>7</v>
      </c>
      <c r="E2256">
        <v>925.3</v>
      </c>
      <c r="F2256" s="4">
        <v>38416</v>
      </c>
      <c r="G2256" t="s">
        <v>93</v>
      </c>
      <c r="H2256">
        <v>2</v>
      </c>
      <c r="I2256">
        <v>5</v>
      </c>
      <c r="J2256">
        <v>2005</v>
      </c>
      <c r="K2256" t="s">
        <v>638</v>
      </c>
      <c r="L2256">
        <v>54</v>
      </c>
      <c r="M2256" t="s">
        <v>844</v>
      </c>
      <c r="N2256" t="s">
        <v>257</v>
      </c>
      <c r="O2256" t="s">
        <v>258</v>
      </c>
      <c r="P2256" t="s">
        <v>259</v>
      </c>
      <c r="R2256" t="s">
        <v>260</v>
      </c>
      <c r="T2256">
        <v>28034</v>
      </c>
      <c r="U2256" t="s">
        <v>261</v>
      </c>
      <c r="V2256" t="s">
        <v>110</v>
      </c>
      <c r="W2256" t="s">
        <v>262</v>
      </c>
      <c r="X2256" t="s">
        <v>263</v>
      </c>
      <c r="Y2256" t="s">
        <v>104</v>
      </c>
    </row>
    <row r="2257" spans="1:25">
      <c r="A2257">
        <v>10425</v>
      </c>
      <c r="B2257">
        <v>11</v>
      </c>
      <c r="C2257">
        <v>43.83</v>
      </c>
      <c r="D2257">
        <v>6</v>
      </c>
      <c r="E2257">
        <v>482.13</v>
      </c>
      <c r="F2257" t="s">
        <v>399</v>
      </c>
      <c r="G2257" t="s">
        <v>400</v>
      </c>
      <c r="H2257">
        <v>2</v>
      </c>
      <c r="I2257">
        <v>5</v>
      </c>
      <c r="J2257">
        <v>2005</v>
      </c>
      <c r="K2257" t="s">
        <v>638</v>
      </c>
      <c r="L2257">
        <v>54</v>
      </c>
      <c r="M2257" t="s">
        <v>844</v>
      </c>
      <c r="N2257" t="s">
        <v>190</v>
      </c>
      <c r="O2257" t="s">
        <v>191</v>
      </c>
      <c r="P2257" t="s">
        <v>192</v>
      </c>
      <c r="R2257" t="s">
        <v>193</v>
      </c>
      <c r="T2257">
        <v>44000</v>
      </c>
      <c r="U2257" t="s">
        <v>109</v>
      </c>
      <c r="V2257" t="s">
        <v>110</v>
      </c>
      <c r="W2257" t="s">
        <v>194</v>
      </c>
      <c r="X2257" t="s">
        <v>195</v>
      </c>
      <c r="Y2257" t="s">
        <v>104</v>
      </c>
    </row>
    <row r="2258" spans="1:25">
      <c r="A2258">
        <v>10104</v>
      </c>
      <c r="B2258">
        <v>49</v>
      </c>
      <c r="C2258">
        <v>65.87</v>
      </c>
      <c r="D2258">
        <v>4</v>
      </c>
      <c r="E2258">
        <v>3227.63</v>
      </c>
      <c r="F2258" t="s">
        <v>648</v>
      </c>
      <c r="G2258" t="s">
        <v>93</v>
      </c>
      <c r="H2258">
        <v>1</v>
      </c>
      <c r="I2258">
        <v>1</v>
      </c>
      <c r="J2258">
        <v>2003</v>
      </c>
      <c r="K2258" t="s">
        <v>785</v>
      </c>
      <c r="L2258">
        <v>62</v>
      </c>
      <c r="M2258" t="s">
        <v>845</v>
      </c>
      <c r="N2258" t="s">
        <v>257</v>
      </c>
      <c r="O2258" t="s">
        <v>258</v>
      </c>
      <c r="P2258" t="s">
        <v>259</v>
      </c>
      <c r="R2258" t="s">
        <v>260</v>
      </c>
      <c r="T2258">
        <v>28034</v>
      </c>
      <c r="U2258" t="s">
        <v>261</v>
      </c>
      <c r="V2258" t="s">
        <v>110</v>
      </c>
      <c r="W2258" t="s">
        <v>262</v>
      </c>
      <c r="X2258" t="s">
        <v>263</v>
      </c>
      <c r="Y2258" t="s">
        <v>119</v>
      </c>
    </row>
    <row r="2259" spans="1:25">
      <c r="A2259">
        <v>10116</v>
      </c>
      <c r="B2259">
        <v>27</v>
      </c>
      <c r="C2259">
        <v>63.38</v>
      </c>
      <c r="D2259">
        <v>1</v>
      </c>
      <c r="E2259">
        <v>1711.26</v>
      </c>
      <c r="F2259" s="4">
        <v>37929</v>
      </c>
      <c r="G2259" t="s">
        <v>93</v>
      </c>
      <c r="H2259">
        <v>2</v>
      </c>
      <c r="I2259">
        <v>4</v>
      </c>
      <c r="J2259">
        <v>2003</v>
      </c>
      <c r="K2259" t="s">
        <v>785</v>
      </c>
      <c r="L2259">
        <v>62</v>
      </c>
      <c r="M2259" t="s">
        <v>845</v>
      </c>
      <c r="N2259" t="s">
        <v>743</v>
      </c>
      <c r="O2259" t="s">
        <v>744</v>
      </c>
      <c r="P2259" t="s">
        <v>745</v>
      </c>
      <c r="R2259" t="s">
        <v>746</v>
      </c>
      <c r="T2259" t="s">
        <v>747</v>
      </c>
      <c r="U2259" t="s">
        <v>480</v>
      </c>
      <c r="V2259" t="s">
        <v>110</v>
      </c>
      <c r="W2259" t="s">
        <v>748</v>
      </c>
      <c r="X2259" t="s">
        <v>749</v>
      </c>
      <c r="Y2259" t="s">
        <v>104</v>
      </c>
    </row>
    <row r="2260" spans="1:25">
      <c r="A2260">
        <v>10127</v>
      </c>
      <c r="B2260">
        <v>29</v>
      </c>
      <c r="C2260">
        <v>70.84</v>
      </c>
      <c r="D2260">
        <v>6</v>
      </c>
      <c r="E2260">
        <v>2054.36</v>
      </c>
      <c r="F2260" s="4">
        <v>37686</v>
      </c>
      <c r="G2260" t="s">
        <v>93</v>
      </c>
      <c r="H2260">
        <v>2</v>
      </c>
      <c r="I2260">
        <v>6</v>
      </c>
      <c r="J2260">
        <v>2003</v>
      </c>
      <c r="K2260" t="s">
        <v>785</v>
      </c>
      <c r="L2260">
        <v>62</v>
      </c>
      <c r="M2260" t="s">
        <v>845</v>
      </c>
      <c r="N2260" t="s">
        <v>603</v>
      </c>
      <c r="O2260">
        <v>2125557413</v>
      </c>
      <c r="P2260" t="s">
        <v>604</v>
      </c>
      <c r="Q2260" t="s">
        <v>605</v>
      </c>
      <c r="R2260" t="s">
        <v>98</v>
      </c>
      <c r="S2260" t="s">
        <v>99</v>
      </c>
      <c r="T2260">
        <v>10022</v>
      </c>
      <c r="U2260" t="s">
        <v>100</v>
      </c>
      <c r="V2260" t="s">
        <v>101</v>
      </c>
      <c r="W2260" t="s">
        <v>125</v>
      </c>
      <c r="X2260" t="s">
        <v>606</v>
      </c>
      <c r="Y2260" t="s">
        <v>104</v>
      </c>
    </row>
    <row r="2261" spans="1:25">
      <c r="A2261">
        <v>10142</v>
      </c>
      <c r="B2261">
        <v>42</v>
      </c>
      <c r="C2261">
        <v>74.569999999999993</v>
      </c>
      <c r="D2261">
        <v>16</v>
      </c>
      <c r="E2261">
        <v>3131.94</v>
      </c>
      <c r="F2261" s="4">
        <v>37841</v>
      </c>
      <c r="G2261" t="s">
        <v>93</v>
      </c>
      <c r="H2261">
        <v>3</v>
      </c>
      <c r="I2261">
        <v>8</v>
      </c>
      <c r="J2261">
        <v>2003</v>
      </c>
      <c r="K2261" t="s">
        <v>785</v>
      </c>
      <c r="L2261">
        <v>62</v>
      </c>
      <c r="M2261" t="s">
        <v>845</v>
      </c>
      <c r="N2261" t="s">
        <v>367</v>
      </c>
      <c r="O2261">
        <v>4155551450</v>
      </c>
      <c r="P2261" t="s">
        <v>368</v>
      </c>
      <c r="R2261" t="s">
        <v>369</v>
      </c>
      <c r="S2261" t="s">
        <v>124</v>
      </c>
      <c r="T2261">
        <v>97562</v>
      </c>
      <c r="U2261" t="s">
        <v>100</v>
      </c>
      <c r="V2261" t="s">
        <v>101</v>
      </c>
      <c r="W2261" t="s">
        <v>370</v>
      </c>
      <c r="X2261" t="s">
        <v>371</v>
      </c>
      <c r="Y2261" t="s">
        <v>119</v>
      </c>
    </row>
    <row r="2262" spans="1:25">
      <c r="A2262">
        <v>10152</v>
      </c>
      <c r="B2262">
        <v>33</v>
      </c>
      <c r="C2262">
        <v>50.95</v>
      </c>
      <c r="D2262">
        <v>2</v>
      </c>
      <c r="E2262">
        <v>1681.35</v>
      </c>
      <c r="F2262" t="s">
        <v>798</v>
      </c>
      <c r="G2262" t="s">
        <v>93</v>
      </c>
      <c r="H2262">
        <v>3</v>
      </c>
      <c r="I2262">
        <v>9</v>
      </c>
      <c r="J2262">
        <v>2003</v>
      </c>
      <c r="K2262" t="s">
        <v>785</v>
      </c>
      <c r="L2262">
        <v>62</v>
      </c>
      <c r="M2262" t="s">
        <v>845</v>
      </c>
      <c r="N2262" t="s">
        <v>296</v>
      </c>
      <c r="O2262" t="s">
        <v>297</v>
      </c>
      <c r="P2262" t="s">
        <v>298</v>
      </c>
      <c r="R2262" t="s">
        <v>299</v>
      </c>
      <c r="S2262" t="s">
        <v>300</v>
      </c>
      <c r="T2262">
        <v>4101</v>
      </c>
      <c r="U2262" t="s">
        <v>168</v>
      </c>
      <c r="V2262" t="s">
        <v>169</v>
      </c>
      <c r="W2262" t="s">
        <v>301</v>
      </c>
      <c r="X2262" t="s">
        <v>302</v>
      </c>
      <c r="Y2262" t="s">
        <v>104</v>
      </c>
    </row>
    <row r="2263" spans="1:25">
      <c r="A2263">
        <v>10165</v>
      </c>
      <c r="B2263">
        <v>44</v>
      </c>
      <c r="C2263">
        <v>53.44</v>
      </c>
      <c r="D2263">
        <v>7</v>
      </c>
      <c r="E2263">
        <v>2351.36</v>
      </c>
      <c r="F2263" t="s">
        <v>608</v>
      </c>
      <c r="G2263" t="s">
        <v>93</v>
      </c>
      <c r="H2263">
        <v>4</v>
      </c>
      <c r="I2263">
        <v>10</v>
      </c>
      <c r="J2263">
        <v>2003</v>
      </c>
      <c r="K2263" t="s">
        <v>785</v>
      </c>
      <c r="L2263">
        <v>62</v>
      </c>
      <c r="M2263" t="s">
        <v>845</v>
      </c>
      <c r="N2263" t="s">
        <v>284</v>
      </c>
      <c r="O2263" t="s">
        <v>285</v>
      </c>
      <c r="P2263" t="s">
        <v>286</v>
      </c>
      <c r="R2263" t="s">
        <v>287</v>
      </c>
      <c r="T2263">
        <v>79903</v>
      </c>
      <c r="U2263" t="s">
        <v>287</v>
      </c>
      <c r="V2263" t="s">
        <v>288</v>
      </c>
      <c r="W2263" t="s">
        <v>289</v>
      </c>
      <c r="X2263" t="s">
        <v>290</v>
      </c>
      <c r="Y2263" t="s">
        <v>104</v>
      </c>
    </row>
    <row r="2264" spans="1:25">
      <c r="A2264">
        <v>10176</v>
      </c>
      <c r="B2264">
        <v>22</v>
      </c>
      <c r="C2264">
        <v>64</v>
      </c>
      <c r="D2264">
        <v>6</v>
      </c>
      <c r="E2264">
        <v>1408</v>
      </c>
      <c r="F2264" s="4">
        <v>37783</v>
      </c>
      <c r="G2264" t="s">
        <v>93</v>
      </c>
      <c r="H2264">
        <v>4</v>
      </c>
      <c r="I2264">
        <v>11</v>
      </c>
      <c r="J2264">
        <v>2003</v>
      </c>
      <c r="K2264" t="s">
        <v>785</v>
      </c>
      <c r="L2264">
        <v>62</v>
      </c>
      <c r="M2264" t="s">
        <v>845</v>
      </c>
      <c r="N2264" t="s">
        <v>576</v>
      </c>
      <c r="O2264" t="s">
        <v>577</v>
      </c>
      <c r="P2264" t="s">
        <v>578</v>
      </c>
      <c r="R2264" t="s">
        <v>579</v>
      </c>
      <c r="T2264">
        <v>42100</v>
      </c>
      <c r="U2264" t="s">
        <v>352</v>
      </c>
      <c r="V2264" t="s">
        <v>110</v>
      </c>
      <c r="W2264" t="s">
        <v>580</v>
      </c>
      <c r="X2264" t="s">
        <v>581</v>
      </c>
      <c r="Y2264" t="s">
        <v>104</v>
      </c>
    </row>
    <row r="2265" spans="1:25">
      <c r="A2265">
        <v>10184</v>
      </c>
      <c r="B2265">
        <v>48</v>
      </c>
      <c r="C2265">
        <v>50.95</v>
      </c>
      <c r="D2265">
        <v>1</v>
      </c>
      <c r="E2265">
        <v>2445.6</v>
      </c>
      <c r="F2265" t="s">
        <v>451</v>
      </c>
      <c r="G2265" t="s">
        <v>93</v>
      </c>
      <c r="H2265">
        <v>4</v>
      </c>
      <c r="I2265">
        <v>11</v>
      </c>
      <c r="J2265">
        <v>2003</v>
      </c>
      <c r="K2265" t="s">
        <v>785</v>
      </c>
      <c r="L2265">
        <v>62</v>
      </c>
      <c r="M2265" t="s">
        <v>845</v>
      </c>
      <c r="N2265" t="s">
        <v>662</v>
      </c>
      <c r="O2265" t="s">
        <v>663</v>
      </c>
      <c r="P2265" t="s">
        <v>664</v>
      </c>
      <c r="R2265" t="s">
        <v>665</v>
      </c>
      <c r="T2265">
        <v>41101</v>
      </c>
      <c r="U2265" t="s">
        <v>261</v>
      </c>
      <c r="V2265" t="s">
        <v>110</v>
      </c>
      <c r="W2265" t="s">
        <v>666</v>
      </c>
      <c r="X2265" t="s">
        <v>667</v>
      </c>
      <c r="Y2265" t="s">
        <v>104</v>
      </c>
    </row>
    <row r="2266" spans="1:25">
      <c r="A2266">
        <v>10195</v>
      </c>
      <c r="B2266">
        <v>33</v>
      </c>
      <c r="C2266">
        <v>54.68</v>
      </c>
      <c r="D2266">
        <v>1</v>
      </c>
      <c r="E2266">
        <v>1804.44</v>
      </c>
      <c r="F2266" t="s">
        <v>309</v>
      </c>
      <c r="G2266" t="s">
        <v>93</v>
      </c>
      <c r="H2266">
        <v>4</v>
      </c>
      <c r="I2266">
        <v>11</v>
      </c>
      <c r="J2266">
        <v>2003</v>
      </c>
      <c r="K2266" t="s">
        <v>785</v>
      </c>
      <c r="L2266">
        <v>62</v>
      </c>
      <c r="M2266" t="s">
        <v>845</v>
      </c>
      <c r="N2266" t="s">
        <v>419</v>
      </c>
      <c r="O2266">
        <v>9145554562</v>
      </c>
      <c r="P2266" t="s">
        <v>420</v>
      </c>
      <c r="R2266" t="s">
        <v>421</v>
      </c>
      <c r="S2266" t="s">
        <v>99</v>
      </c>
      <c r="T2266">
        <v>24067</v>
      </c>
      <c r="U2266" t="s">
        <v>100</v>
      </c>
      <c r="V2266" t="s">
        <v>101</v>
      </c>
      <c r="W2266" t="s">
        <v>175</v>
      </c>
      <c r="X2266" t="s">
        <v>329</v>
      </c>
      <c r="Y2266" t="s">
        <v>104</v>
      </c>
    </row>
    <row r="2267" spans="1:25">
      <c r="A2267">
        <v>10207</v>
      </c>
      <c r="B2267">
        <v>45</v>
      </c>
      <c r="C2267">
        <v>56.55</v>
      </c>
      <c r="D2267">
        <v>2</v>
      </c>
      <c r="E2267">
        <v>2544.75</v>
      </c>
      <c r="F2267" s="4">
        <v>37876</v>
      </c>
      <c r="G2267" t="s">
        <v>93</v>
      </c>
      <c r="H2267">
        <v>4</v>
      </c>
      <c r="I2267">
        <v>12</v>
      </c>
      <c r="J2267">
        <v>2003</v>
      </c>
      <c r="K2267" t="s">
        <v>785</v>
      </c>
      <c r="L2267">
        <v>62</v>
      </c>
      <c r="M2267" t="s">
        <v>845</v>
      </c>
      <c r="N2267" t="s">
        <v>533</v>
      </c>
      <c r="O2267">
        <v>6175552555</v>
      </c>
      <c r="P2267" t="s">
        <v>534</v>
      </c>
      <c r="R2267" t="s">
        <v>492</v>
      </c>
      <c r="S2267" t="s">
        <v>200</v>
      </c>
      <c r="T2267">
        <v>51003</v>
      </c>
      <c r="U2267" t="s">
        <v>100</v>
      </c>
      <c r="V2267" t="s">
        <v>101</v>
      </c>
      <c r="W2267" t="s">
        <v>535</v>
      </c>
      <c r="X2267" t="s">
        <v>371</v>
      </c>
      <c r="Y2267" t="s">
        <v>104</v>
      </c>
    </row>
    <row r="2268" spans="1:25">
      <c r="A2268">
        <v>10220</v>
      </c>
      <c r="B2268">
        <v>20</v>
      </c>
      <c r="C2268">
        <v>52.82</v>
      </c>
      <c r="D2268">
        <v>6</v>
      </c>
      <c r="E2268">
        <v>1056.4000000000001</v>
      </c>
      <c r="F2268" s="4">
        <v>38323</v>
      </c>
      <c r="G2268" t="s">
        <v>93</v>
      </c>
      <c r="H2268">
        <v>1</v>
      </c>
      <c r="I2268">
        <v>2</v>
      </c>
      <c r="J2268">
        <v>2004</v>
      </c>
      <c r="K2268" t="s">
        <v>785</v>
      </c>
      <c r="L2268">
        <v>62</v>
      </c>
      <c r="M2268" t="s">
        <v>845</v>
      </c>
      <c r="N2268" t="s">
        <v>609</v>
      </c>
      <c r="O2268" t="s">
        <v>610</v>
      </c>
      <c r="P2268" t="s">
        <v>611</v>
      </c>
      <c r="Q2268" t="s">
        <v>612</v>
      </c>
      <c r="R2268" t="s">
        <v>613</v>
      </c>
      <c r="T2268">
        <v>2</v>
      </c>
      <c r="U2268" t="s">
        <v>614</v>
      </c>
      <c r="V2268" t="s">
        <v>110</v>
      </c>
      <c r="W2268" t="s">
        <v>615</v>
      </c>
      <c r="X2268" t="s">
        <v>616</v>
      </c>
      <c r="Y2268" t="s">
        <v>104</v>
      </c>
    </row>
    <row r="2269" spans="1:25">
      <c r="A2269">
        <v>10230</v>
      </c>
      <c r="B2269">
        <v>46</v>
      </c>
      <c r="C2269">
        <v>60.9</v>
      </c>
      <c r="D2269">
        <v>4</v>
      </c>
      <c r="E2269">
        <v>2801.4</v>
      </c>
      <c r="F2269" t="s">
        <v>650</v>
      </c>
      <c r="G2269" t="s">
        <v>93</v>
      </c>
      <c r="H2269">
        <v>1</v>
      </c>
      <c r="I2269">
        <v>3</v>
      </c>
      <c r="J2269">
        <v>2004</v>
      </c>
      <c r="K2269" t="s">
        <v>785</v>
      </c>
      <c r="L2269">
        <v>62</v>
      </c>
      <c r="M2269" t="s">
        <v>845</v>
      </c>
      <c r="N2269" t="s">
        <v>587</v>
      </c>
      <c r="O2269" t="s">
        <v>588</v>
      </c>
      <c r="P2269" t="s">
        <v>589</v>
      </c>
      <c r="R2269" t="s">
        <v>590</v>
      </c>
      <c r="T2269">
        <v>60528</v>
      </c>
      <c r="U2269" t="s">
        <v>566</v>
      </c>
      <c r="V2269" t="s">
        <v>110</v>
      </c>
      <c r="W2269" t="s">
        <v>591</v>
      </c>
      <c r="X2269" t="s">
        <v>532</v>
      </c>
      <c r="Y2269" t="s">
        <v>104</v>
      </c>
    </row>
    <row r="2270" spans="1:25">
      <c r="A2270">
        <v>10247</v>
      </c>
      <c r="B2270">
        <v>40</v>
      </c>
      <c r="C2270">
        <v>49.71</v>
      </c>
      <c r="D2270">
        <v>6</v>
      </c>
      <c r="E2270">
        <v>1988.4</v>
      </c>
      <c r="F2270" s="4">
        <v>38112</v>
      </c>
      <c r="G2270" t="s">
        <v>93</v>
      </c>
      <c r="H2270">
        <v>2</v>
      </c>
      <c r="I2270">
        <v>5</v>
      </c>
      <c r="J2270">
        <v>2004</v>
      </c>
      <c r="K2270" t="s">
        <v>785</v>
      </c>
      <c r="L2270">
        <v>62</v>
      </c>
      <c r="M2270" t="s">
        <v>845</v>
      </c>
      <c r="N2270" t="s">
        <v>593</v>
      </c>
      <c r="O2270" t="s">
        <v>594</v>
      </c>
      <c r="P2270" t="s">
        <v>595</v>
      </c>
      <c r="R2270" t="s">
        <v>596</v>
      </c>
      <c r="T2270" t="s">
        <v>597</v>
      </c>
      <c r="U2270" t="s">
        <v>208</v>
      </c>
      <c r="V2270" t="s">
        <v>110</v>
      </c>
      <c r="W2270" t="s">
        <v>598</v>
      </c>
      <c r="X2270" t="s">
        <v>599</v>
      </c>
      <c r="Y2270" t="s">
        <v>104</v>
      </c>
    </row>
    <row r="2271" spans="1:25">
      <c r="A2271">
        <v>10272</v>
      </c>
      <c r="B2271">
        <v>45</v>
      </c>
      <c r="C2271">
        <v>64.63</v>
      </c>
      <c r="D2271">
        <v>6</v>
      </c>
      <c r="E2271">
        <v>2908.35</v>
      </c>
      <c r="F2271" t="s">
        <v>623</v>
      </c>
      <c r="G2271" t="s">
        <v>93</v>
      </c>
      <c r="H2271">
        <v>3</v>
      </c>
      <c r="I2271">
        <v>7</v>
      </c>
      <c r="J2271">
        <v>2004</v>
      </c>
      <c r="K2271" t="s">
        <v>785</v>
      </c>
      <c r="L2271">
        <v>62</v>
      </c>
      <c r="M2271" t="s">
        <v>845</v>
      </c>
      <c r="N2271" t="s">
        <v>218</v>
      </c>
      <c r="O2271">
        <v>2155551555</v>
      </c>
      <c r="P2271" t="s">
        <v>219</v>
      </c>
      <c r="R2271" t="s">
        <v>220</v>
      </c>
      <c r="S2271" t="s">
        <v>221</v>
      </c>
      <c r="T2271">
        <v>70267</v>
      </c>
      <c r="U2271" t="s">
        <v>100</v>
      </c>
      <c r="V2271" t="s">
        <v>101</v>
      </c>
      <c r="W2271" t="s">
        <v>102</v>
      </c>
      <c r="X2271" t="s">
        <v>222</v>
      </c>
      <c r="Y2271" t="s">
        <v>104</v>
      </c>
    </row>
    <row r="2272" spans="1:25">
      <c r="A2272">
        <v>10282</v>
      </c>
      <c r="B2272">
        <v>36</v>
      </c>
      <c r="C2272">
        <v>59.65</v>
      </c>
      <c r="D2272">
        <v>9</v>
      </c>
      <c r="E2272">
        <v>2147.4</v>
      </c>
      <c r="F2272" t="s">
        <v>483</v>
      </c>
      <c r="G2272" t="s">
        <v>93</v>
      </c>
      <c r="H2272">
        <v>3</v>
      </c>
      <c r="I2272">
        <v>8</v>
      </c>
      <c r="J2272">
        <v>2004</v>
      </c>
      <c r="K2272" t="s">
        <v>785</v>
      </c>
      <c r="L2272">
        <v>62</v>
      </c>
      <c r="M2272" t="s">
        <v>845</v>
      </c>
      <c r="N2272" t="s">
        <v>367</v>
      </c>
      <c r="O2272">
        <v>4155551450</v>
      </c>
      <c r="P2272" t="s">
        <v>368</v>
      </c>
      <c r="R2272" t="s">
        <v>369</v>
      </c>
      <c r="S2272" t="s">
        <v>124</v>
      </c>
      <c r="T2272">
        <v>97562</v>
      </c>
      <c r="U2272" t="s">
        <v>100</v>
      </c>
      <c r="V2272" t="s">
        <v>101</v>
      </c>
      <c r="W2272" t="s">
        <v>370</v>
      </c>
      <c r="X2272" t="s">
        <v>371</v>
      </c>
      <c r="Y2272" t="s">
        <v>104</v>
      </c>
    </row>
    <row r="2273" spans="1:25">
      <c r="A2273">
        <v>10292</v>
      </c>
      <c r="B2273">
        <v>31</v>
      </c>
      <c r="C2273">
        <v>67.73</v>
      </c>
      <c r="D2273">
        <v>3</v>
      </c>
      <c r="E2273">
        <v>2099.63</v>
      </c>
      <c r="F2273" s="4">
        <v>38208</v>
      </c>
      <c r="G2273" t="s">
        <v>93</v>
      </c>
      <c r="H2273">
        <v>3</v>
      </c>
      <c r="I2273">
        <v>9</v>
      </c>
      <c r="J2273">
        <v>2004</v>
      </c>
      <c r="K2273" t="s">
        <v>785</v>
      </c>
      <c r="L2273">
        <v>62</v>
      </c>
      <c r="M2273" t="s">
        <v>845</v>
      </c>
      <c r="N2273" t="s">
        <v>96</v>
      </c>
      <c r="O2273">
        <v>2125557818</v>
      </c>
      <c r="P2273" t="s">
        <v>97</v>
      </c>
      <c r="R2273" t="s">
        <v>98</v>
      </c>
      <c r="S2273" t="s">
        <v>99</v>
      </c>
      <c r="T2273">
        <v>10022</v>
      </c>
      <c r="U2273" t="s">
        <v>100</v>
      </c>
      <c r="V2273" t="s">
        <v>101</v>
      </c>
      <c r="W2273" t="s">
        <v>102</v>
      </c>
      <c r="X2273" t="s">
        <v>103</v>
      </c>
      <c r="Y2273" t="s">
        <v>104</v>
      </c>
    </row>
    <row r="2274" spans="1:25">
      <c r="A2274">
        <v>10306</v>
      </c>
      <c r="B2274">
        <v>46</v>
      </c>
      <c r="C2274">
        <v>50.33</v>
      </c>
      <c r="D2274">
        <v>17</v>
      </c>
      <c r="E2274">
        <v>2315.1799999999998</v>
      </c>
      <c r="F2274" t="s">
        <v>494</v>
      </c>
      <c r="G2274" t="s">
        <v>93</v>
      </c>
      <c r="H2274">
        <v>4</v>
      </c>
      <c r="I2274">
        <v>10</v>
      </c>
      <c r="J2274">
        <v>2004</v>
      </c>
      <c r="K2274" t="s">
        <v>785</v>
      </c>
      <c r="L2274">
        <v>62</v>
      </c>
      <c r="M2274" t="s">
        <v>845</v>
      </c>
      <c r="N2274" t="s">
        <v>624</v>
      </c>
      <c r="O2274" t="s">
        <v>625</v>
      </c>
      <c r="P2274" t="s">
        <v>626</v>
      </c>
      <c r="R2274" t="s">
        <v>627</v>
      </c>
      <c r="T2274" t="s">
        <v>628</v>
      </c>
      <c r="U2274" t="s">
        <v>252</v>
      </c>
      <c r="V2274" t="s">
        <v>110</v>
      </c>
      <c r="W2274" t="s">
        <v>629</v>
      </c>
      <c r="X2274" t="s">
        <v>167</v>
      </c>
      <c r="Y2274" t="s">
        <v>104</v>
      </c>
    </row>
    <row r="2275" spans="1:25">
      <c r="A2275">
        <v>10314</v>
      </c>
      <c r="B2275">
        <v>35</v>
      </c>
      <c r="C2275">
        <v>66.489999999999995</v>
      </c>
      <c r="D2275">
        <v>9</v>
      </c>
      <c r="E2275">
        <v>2327.15</v>
      </c>
      <c r="F2275" t="s">
        <v>544</v>
      </c>
      <c r="G2275" t="s">
        <v>93</v>
      </c>
      <c r="H2275">
        <v>4</v>
      </c>
      <c r="I2275">
        <v>10</v>
      </c>
      <c r="J2275">
        <v>2004</v>
      </c>
      <c r="K2275" t="s">
        <v>785</v>
      </c>
      <c r="L2275">
        <v>62</v>
      </c>
      <c r="M2275" t="s">
        <v>845</v>
      </c>
      <c r="N2275" t="s">
        <v>630</v>
      </c>
      <c r="O2275" t="s">
        <v>631</v>
      </c>
      <c r="P2275" t="s">
        <v>632</v>
      </c>
      <c r="R2275" t="s">
        <v>633</v>
      </c>
      <c r="T2275">
        <v>8200</v>
      </c>
      <c r="U2275" t="s">
        <v>429</v>
      </c>
      <c r="V2275" t="s">
        <v>110</v>
      </c>
      <c r="W2275" t="s">
        <v>634</v>
      </c>
      <c r="X2275" t="s">
        <v>635</v>
      </c>
      <c r="Y2275" t="s">
        <v>104</v>
      </c>
    </row>
    <row r="2276" spans="1:25">
      <c r="A2276">
        <v>10325</v>
      </c>
      <c r="B2276">
        <v>28</v>
      </c>
      <c r="C2276">
        <v>100</v>
      </c>
      <c r="D2276">
        <v>2</v>
      </c>
      <c r="E2276">
        <v>5377.4</v>
      </c>
      <c r="F2276" s="4">
        <v>38118</v>
      </c>
      <c r="G2276" t="s">
        <v>93</v>
      </c>
      <c r="H2276">
        <v>4</v>
      </c>
      <c r="I2276">
        <v>11</v>
      </c>
      <c r="J2276">
        <v>2004</v>
      </c>
      <c r="K2276" t="s">
        <v>785</v>
      </c>
      <c r="L2276">
        <v>62</v>
      </c>
      <c r="M2276" t="s">
        <v>845</v>
      </c>
      <c r="N2276" t="s">
        <v>212</v>
      </c>
      <c r="O2276" t="s">
        <v>213</v>
      </c>
      <c r="P2276" t="s">
        <v>214</v>
      </c>
      <c r="R2276" t="s">
        <v>215</v>
      </c>
      <c r="T2276">
        <v>4110</v>
      </c>
      <c r="U2276" t="s">
        <v>149</v>
      </c>
      <c r="V2276" t="s">
        <v>110</v>
      </c>
      <c r="W2276" t="s">
        <v>216</v>
      </c>
      <c r="X2276" t="s">
        <v>217</v>
      </c>
      <c r="Y2276" t="s">
        <v>119</v>
      </c>
    </row>
    <row r="2277" spans="1:25">
      <c r="A2277">
        <v>10336</v>
      </c>
      <c r="B2277">
        <v>31</v>
      </c>
      <c r="C2277">
        <v>84.71</v>
      </c>
      <c r="D2277">
        <v>9</v>
      </c>
      <c r="E2277">
        <v>2626.01</v>
      </c>
      <c r="F2277" t="s">
        <v>636</v>
      </c>
      <c r="G2277" t="s">
        <v>93</v>
      </c>
      <c r="H2277">
        <v>4</v>
      </c>
      <c r="I2277">
        <v>11</v>
      </c>
      <c r="J2277">
        <v>2004</v>
      </c>
      <c r="K2277" t="s">
        <v>785</v>
      </c>
      <c r="L2277">
        <v>62</v>
      </c>
      <c r="M2277" t="s">
        <v>845</v>
      </c>
      <c r="N2277" t="s">
        <v>520</v>
      </c>
      <c r="O2277" t="s">
        <v>521</v>
      </c>
      <c r="P2277" t="s">
        <v>522</v>
      </c>
      <c r="R2277" t="s">
        <v>116</v>
      </c>
      <c r="T2277">
        <v>75012</v>
      </c>
      <c r="U2277" t="s">
        <v>109</v>
      </c>
      <c r="V2277" t="s">
        <v>110</v>
      </c>
      <c r="W2277" t="s">
        <v>523</v>
      </c>
      <c r="X2277" t="s">
        <v>524</v>
      </c>
      <c r="Y2277" t="s">
        <v>104</v>
      </c>
    </row>
    <row r="2278" spans="1:25">
      <c r="A2278">
        <v>10350</v>
      </c>
      <c r="B2278">
        <v>27</v>
      </c>
      <c r="C2278">
        <v>100</v>
      </c>
      <c r="D2278">
        <v>14</v>
      </c>
      <c r="E2278">
        <v>4406.3999999999996</v>
      </c>
      <c r="F2278" s="4">
        <v>38029</v>
      </c>
      <c r="G2278" t="s">
        <v>93</v>
      </c>
      <c r="H2278">
        <v>4</v>
      </c>
      <c r="I2278">
        <v>12</v>
      </c>
      <c r="J2278">
        <v>2004</v>
      </c>
      <c r="K2278" t="s">
        <v>785</v>
      </c>
      <c r="L2278">
        <v>62</v>
      </c>
      <c r="M2278" t="s">
        <v>845</v>
      </c>
      <c r="N2278" t="s">
        <v>257</v>
      </c>
      <c r="O2278" t="s">
        <v>258</v>
      </c>
      <c r="P2278" t="s">
        <v>259</v>
      </c>
      <c r="R2278" t="s">
        <v>260</v>
      </c>
      <c r="T2278">
        <v>28034</v>
      </c>
      <c r="U2278" t="s">
        <v>261</v>
      </c>
      <c r="V2278" t="s">
        <v>110</v>
      </c>
      <c r="W2278" t="s">
        <v>262</v>
      </c>
      <c r="X2278" t="s">
        <v>263</v>
      </c>
      <c r="Y2278" t="s">
        <v>119</v>
      </c>
    </row>
    <row r="2279" spans="1:25">
      <c r="A2279">
        <v>10359</v>
      </c>
      <c r="B2279">
        <v>22</v>
      </c>
      <c r="C2279">
        <v>100</v>
      </c>
      <c r="D2279">
        <v>1</v>
      </c>
      <c r="E2279">
        <v>4301.22</v>
      </c>
      <c r="F2279" t="s">
        <v>504</v>
      </c>
      <c r="G2279" t="s">
        <v>93</v>
      </c>
      <c r="H2279">
        <v>4</v>
      </c>
      <c r="I2279">
        <v>12</v>
      </c>
      <c r="J2279">
        <v>2004</v>
      </c>
      <c r="K2279" t="s">
        <v>785</v>
      </c>
      <c r="L2279">
        <v>62</v>
      </c>
      <c r="M2279" t="s">
        <v>845</v>
      </c>
      <c r="N2279" t="s">
        <v>105</v>
      </c>
      <c r="O2279" t="s">
        <v>106</v>
      </c>
      <c r="P2279" t="s">
        <v>107</v>
      </c>
      <c r="R2279" t="s">
        <v>108</v>
      </c>
      <c r="T2279">
        <v>51100</v>
      </c>
      <c r="U2279" t="s">
        <v>109</v>
      </c>
      <c r="V2279" t="s">
        <v>110</v>
      </c>
      <c r="W2279" t="s">
        <v>111</v>
      </c>
      <c r="X2279" t="s">
        <v>112</v>
      </c>
      <c r="Y2279" t="s">
        <v>119</v>
      </c>
    </row>
    <row r="2280" spans="1:25">
      <c r="A2280">
        <v>10371</v>
      </c>
      <c r="B2280">
        <v>30</v>
      </c>
      <c r="C2280">
        <v>99.55</v>
      </c>
      <c r="D2280">
        <v>11</v>
      </c>
      <c r="E2280">
        <v>2986.5</v>
      </c>
      <c r="F2280" t="s">
        <v>637</v>
      </c>
      <c r="G2280" t="s">
        <v>93</v>
      </c>
      <c r="H2280">
        <v>1</v>
      </c>
      <c r="I2280">
        <v>1</v>
      </c>
      <c r="J2280">
        <v>2005</v>
      </c>
      <c r="K2280" t="s">
        <v>785</v>
      </c>
      <c r="L2280">
        <v>62</v>
      </c>
      <c r="M2280" t="s">
        <v>845</v>
      </c>
      <c r="N2280" t="s">
        <v>367</v>
      </c>
      <c r="O2280">
        <v>4155551450</v>
      </c>
      <c r="P2280" t="s">
        <v>368</v>
      </c>
      <c r="R2280" t="s">
        <v>369</v>
      </c>
      <c r="S2280" t="s">
        <v>124</v>
      </c>
      <c r="T2280">
        <v>97562</v>
      </c>
      <c r="U2280" t="s">
        <v>100</v>
      </c>
      <c r="V2280" t="s">
        <v>101</v>
      </c>
      <c r="W2280" t="s">
        <v>370</v>
      </c>
      <c r="X2280" t="s">
        <v>371</v>
      </c>
      <c r="Y2280" t="s">
        <v>104</v>
      </c>
    </row>
    <row r="2281" spans="1:25">
      <c r="A2281">
        <v>10383</v>
      </c>
      <c r="B2281">
        <v>44</v>
      </c>
      <c r="C2281">
        <v>36.07</v>
      </c>
      <c r="D2281">
        <v>8</v>
      </c>
      <c r="E2281">
        <v>1587.08</v>
      </c>
      <c r="F2281" t="s">
        <v>760</v>
      </c>
      <c r="G2281" t="s">
        <v>93</v>
      </c>
      <c r="H2281">
        <v>1</v>
      </c>
      <c r="I2281">
        <v>2</v>
      </c>
      <c r="J2281">
        <v>2005</v>
      </c>
      <c r="K2281" t="s">
        <v>785</v>
      </c>
      <c r="L2281">
        <v>62</v>
      </c>
      <c r="M2281" t="s">
        <v>845</v>
      </c>
      <c r="N2281" t="s">
        <v>257</v>
      </c>
      <c r="O2281" t="s">
        <v>258</v>
      </c>
      <c r="P2281" t="s">
        <v>259</v>
      </c>
      <c r="R2281" t="s">
        <v>260</v>
      </c>
      <c r="T2281">
        <v>28034</v>
      </c>
      <c r="U2281" t="s">
        <v>261</v>
      </c>
      <c r="V2281" t="s">
        <v>110</v>
      </c>
      <c r="W2281" t="s">
        <v>262</v>
      </c>
      <c r="X2281" t="s">
        <v>263</v>
      </c>
      <c r="Y2281" t="s">
        <v>104</v>
      </c>
    </row>
    <row r="2282" spans="1:25">
      <c r="A2282">
        <v>10394</v>
      </c>
      <c r="B2282">
        <v>30</v>
      </c>
      <c r="C2282">
        <v>60.28</v>
      </c>
      <c r="D2282">
        <v>4</v>
      </c>
      <c r="E2282">
        <v>1808.4</v>
      </c>
      <c r="F2282" t="s">
        <v>784</v>
      </c>
      <c r="G2282" t="s">
        <v>93</v>
      </c>
      <c r="H2282">
        <v>1</v>
      </c>
      <c r="I2282">
        <v>3</v>
      </c>
      <c r="J2282">
        <v>2005</v>
      </c>
      <c r="K2282" t="s">
        <v>785</v>
      </c>
      <c r="L2282">
        <v>62</v>
      </c>
      <c r="M2282" t="s">
        <v>845</v>
      </c>
      <c r="N2282" t="s">
        <v>257</v>
      </c>
      <c r="O2282" t="s">
        <v>258</v>
      </c>
      <c r="P2282" t="s">
        <v>259</v>
      </c>
      <c r="R2282" t="s">
        <v>260</v>
      </c>
      <c r="T2282">
        <v>28034</v>
      </c>
      <c r="U2282" t="s">
        <v>261</v>
      </c>
      <c r="V2282" t="s">
        <v>110</v>
      </c>
      <c r="W2282" t="s">
        <v>262</v>
      </c>
      <c r="X2282" t="s">
        <v>263</v>
      </c>
      <c r="Y2282" t="s">
        <v>104</v>
      </c>
    </row>
    <row r="2283" spans="1:25">
      <c r="A2283">
        <v>10413</v>
      </c>
      <c r="B2283">
        <v>24</v>
      </c>
      <c r="C2283">
        <v>49.71</v>
      </c>
      <c r="D2283">
        <v>6</v>
      </c>
      <c r="E2283">
        <v>1193.04</v>
      </c>
      <c r="F2283" s="4">
        <v>38477</v>
      </c>
      <c r="G2283" t="s">
        <v>93</v>
      </c>
      <c r="H2283">
        <v>2</v>
      </c>
      <c r="I2283">
        <v>5</v>
      </c>
      <c r="J2283">
        <v>2005</v>
      </c>
      <c r="K2283" t="s">
        <v>785</v>
      </c>
      <c r="L2283">
        <v>62</v>
      </c>
      <c r="M2283" t="s">
        <v>845</v>
      </c>
      <c r="N2283" t="s">
        <v>184</v>
      </c>
      <c r="O2283">
        <v>2035552570</v>
      </c>
      <c r="P2283" t="s">
        <v>185</v>
      </c>
      <c r="R2283" t="s">
        <v>186</v>
      </c>
      <c r="S2283" t="s">
        <v>187</v>
      </c>
      <c r="T2283">
        <v>97562</v>
      </c>
      <c r="U2283" t="s">
        <v>100</v>
      </c>
      <c r="V2283" t="s">
        <v>101</v>
      </c>
      <c r="W2283" t="s">
        <v>188</v>
      </c>
      <c r="X2283" t="s">
        <v>126</v>
      </c>
      <c r="Y2283" t="s">
        <v>104</v>
      </c>
    </row>
    <row r="2284" spans="1:25">
      <c r="A2284">
        <v>10103</v>
      </c>
      <c r="B2284">
        <v>45</v>
      </c>
      <c r="C2284">
        <v>75.63</v>
      </c>
      <c r="D2284">
        <v>7</v>
      </c>
      <c r="E2284">
        <v>3403.35</v>
      </c>
      <c r="F2284" t="s">
        <v>264</v>
      </c>
      <c r="G2284" t="s">
        <v>93</v>
      </c>
      <c r="H2284">
        <v>1</v>
      </c>
      <c r="I2284">
        <v>1</v>
      </c>
      <c r="J2284">
        <v>2003</v>
      </c>
      <c r="K2284" t="s">
        <v>638</v>
      </c>
      <c r="L2284">
        <v>64</v>
      </c>
      <c r="M2284" t="s">
        <v>846</v>
      </c>
      <c r="N2284" t="s">
        <v>212</v>
      </c>
      <c r="O2284" t="s">
        <v>213</v>
      </c>
      <c r="P2284" t="s">
        <v>214</v>
      </c>
      <c r="R2284" t="s">
        <v>215</v>
      </c>
      <c r="T2284">
        <v>4110</v>
      </c>
      <c r="U2284" t="s">
        <v>149</v>
      </c>
      <c r="V2284" t="s">
        <v>110</v>
      </c>
      <c r="W2284" t="s">
        <v>216</v>
      </c>
      <c r="X2284" t="s">
        <v>217</v>
      </c>
      <c r="Y2284" t="s">
        <v>119</v>
      </c>
    </row>
    <row r="2285" spans="1:25">
      <c r="A2285">
        <v>10113</v>
      </c>
      <c r="B2285">
        <v>23</v>
      </c>
      <c r="C2285">
        <v>68.52</v>
      </c>
      <c r="D2285">
        <v>1</v>
      </c>
      <c r="E2285">
        <v>1575.96</v>
      </c>
      <c r="F2285" t="s">
        <v>640</v>
      </c>
      <c r="G2285" t="s">
        <v>93</v>
      </c>
      <c r="H2285">
        <v>1</v>
      </c>
      <c r="I2285">
        <v>3</v>
      </c>
      <c r="J2285">
        <v>2003</v>
      </c>
      <c r="K2285" t="s">
        <v>638</v>
      </c>
      <c r="L2285">
        <v>64</v>
      </c>
      <c r="M2285" t="s">
        <v>846</v>
      </c>
      <c r="N2285" t="s">
        <v>367</v>
      </c>
      <c r="O2285">
        <v>4155551450</v>
      </c>
      <c r="P2285" t="s">
        <v>368</v>
      </c>
      <c r="R2285" t="s">
        <v>369</v>
      </c>
      <c r="S2285" t="s">
        <v>124</v>
      </c>
      <c r="T2285">
        <v>97562</v>
      </c>
      <c r="U2285" t="s">
        <v>100</v>
      </c>
      <c r="V2285" t="s">
        <v>101</v>
      </c>
      <c r="W2285" t="s">
        <v>370</v>
      </c>
      <c r="X2285" t="s">
        <v>371</v>
      </c>
      <c r="Y2285" t="s">
        <v>104</v>
      </c>
    </row>
    <row r="2286" spans="1:25">
      <c r="A2286">
        <v>10126</v>
      </c>
      <c r="B2286">
        <v>26</v>
      </c>
      <c r="C2286">
        <v>62.7</v>
      </c>
      <c r="D2286">
        <v>7</v>
      </c>
      <c r="E2286">
        <v>1630.2</v>
      </c>
      <c r="F2286" t="s">
        <v>276</v>
      </c>
      <c r="G2286" t="s">
        <v>93</v>
      </c>
      <c r="H2286">
        <v>2</v>
      </c>
      <c r="I2286">
        <v>5</v>
      </c>
      <c r="J2286">
        <v>2003</v>
      </c>
      <c r="K2286" t="s">
        <v>638</v>
      </c>
      <c r="L2286">
        <v>64</v>
      </c>
      <c r="M2286" t="s">
        <v>846</v>
      </c>
      <c r="N2286" t="s">
        <v>277</v>
      </c>
      <c r="O2286" t="s">
        <v>278</v>
      </c>
      <c r="P2286" t="s">
        <v>279</v>
      </c>
      <c r="R2286" t="s">
        <v>260</v>
      </c>
      <c r="T2286">
        <v>28023</v>
      </c>
      <c r="U2286" t="s">
        <v>261</v>
      </c>
      <c r="V2286" t="s">
        <v>110</v>
      </c>
      <c r="W2286" t="s">
        <v>280</v>
      </c>
      <c r="X2286" t="s">
        <v>281</v>
      </c>
      <c r="Y2286" t="s">
        <v>104</v>
      </c>
    </row>
    <row r="2287" spans="1:25">
      <c r="A2287">
        <v>10140</v>
      </c>
      <c r="B2287">
        <v>28</v>
      </c>
      <c r="C2287">
        <v>60.76</v>
      </c>
      <c r="D2287">
        <v>7</v>
      </c>
      <c r="E2287">
        <v>1701.28</v>
      </c>
      <c r="F2287" t="s">
        <v>282</v>
      </c>
      <c r="G2287" t="s">
        <v>93</v>
      </c>
      <c r="H2287">
        <v>3</v>
      </c>
      <c r="I2287">
        <v>7</v>
      </c>
      <c r="J2287">
        <v>2003</v>
      </c>
      <c r="K2287" t="s">
        <v>638</v>
      </c>
      <c r="L2287">
        <v>64</v>
      </c>
      <c r="M2287" t="s">
        <v>846</v>
      </c>
      <c r="N2287" t="s">
        <v>132</v>
      </c>
      <c r="O2287">
        <v>6505556809</v>
      </c>
      <c r="P2287" t="s">
        <v>133</v>
      </c>
      <c r="R2287" t="s">
        <v>134</v>
      </c>
      <c r="S2287" t="s">
        <v>124</v>
      </c>
      <c r="T2287">
        <v>94217</v>
      </c>
      <c r="U2287" t="s">
        <v>100</v>
      </c>
      <c r="V2287" t="s">
        <v>101</v>
      </c>
      <c r="W2287" t="s">
        <v>135</v>
      </c>
      <c r="X2287" t="s">
        <v>136</v>
      </c>
      <c r="Y2287" t="s">
        <v>104</v>
      </c>
    </row>
    <row r="2288" spans="1:25">
      <c r="A2288">
        <v>10150</v>
      </c>
      <c r="B2288">
        <v>49</v>
      </c>
      <c r="C2288">
        <v>58.18</v>
      </c>
      <c r="D2288">
        <v>4</v>
      </c>
      <c r="E2288">
        <v>2850.82</v>
      </c>
      <c r="F2288" t="s">
        <v>283</v>
      </c>
      <c r="G2288" t="s">
        <v>93</v>
      </c>
      <c r="H2288">
        <v>3</v>
      </c>
      <c r="I2288">
        <v>9</v>
      </c>
      <c r="J2288">
        <v>2003</v>
      </c>
      <c r="K2288" t="s">
        <v>638</v>
      </c>
      <c r="L2288">
        <v>64</v>
      </c>
      <c r="M2288" t="s">
        <v>846</v>
      </c>
      <c r="N2288" t="s">
        <v>284</v>
      </c>
      <c r="O2288" t="s">
        <v>285</v>
      </c>
      <c r="P2288" t="s">
        <v>286</v>
      </c>
      <c r="R2288" t="s">
        <v>287</v>
      </c>
      <c r="T2288">
        <v>79903</v>
      </c>
      <c r="U2288" t="s">
        <v>287</v>
      </c>
      <c r="V2288" t="s">
        <v>288</v>
      </c>
      <c r="W2288" t="s">
        <v>289</v>
      </c>
      <c r="X2288" t="s">
        <v>290</v>
      </c>
      <c r="Y2288" t="s">
        <v>104</v>
      </c>
    </row>
    <row r="2289" spans="1:25">
      <c r="A2289">
        <v>10164</v>
      </c>
      <c r="B2289">
        <v>49</v>
      </c>
      <c r="C2289">
        <v>54.94</v>
      </c>
      <c r="D2289">
        <v>5</v>
      </c>
      <c r="E2289">
        <v>2692.06</v>
      </c>
      <c r="F2289" t="s">
        <v>525</v>
      </c>
      <c r="G2289" t="s">
        <v>526</v>
      </c>
      <c r="H2289">
        <v>4</v>
      </c>
      <c r="I2289">
        <v>10</v>
      </c>
      <c r="J2289">
        <v>2003</v>
      </c>
      <c r="K2289" t="s">
        <v>638</v>
      </c>
      <c r="L2289">
        <v>64</v>
      </c>
      <c r="M2289" t="s">
        <v>846</v>
      </c>
      <c r="N2289" t="s">
        <v>527</v>
      </c>
      <c r="O2289" t="s">
        <v>528</v>
      </c>
      <c r="P2289" t="s">
        <v>529</v>
      </c>
      <c r="R2289" t="s">
        <v>530</v>
      </c>
      <c r="T2289">
        <v>8010</v>
      </c>
      <c r="U2289" t="s">
        <v>229</v>
      </c>
      <c r="V2289" t="s">
        <v>110</v>
      </c>
      <c r="W2289" t="s">
        <v>531</v>
      </c>
      <c r="X2289" t="s">
        <v>532</v>
      </c>
      <c r="Y2289" t="s">
        <v>104</v>
      </c>
    </row>
    <row r="2290" spans="1:25">
      <c r="A2290">
        <v>10175</v>
      </c>
      <c r="B2290">
        <v>29</v>
      </c>
      <c r="C2290">
        <v>74.98</v>
      </c>
      <c r="D2290">
        <v>12</v>
      </c>
      <c r="E2290">
        <v>2174.42</v>
      </c>
      <c r="F2290" s="4">
        <v>37783</v>
      </c>
      <c r="G2290" t="s">
        <v>93</v>
      </c>
      <c r="H2290">
        <v>4</v>
      </c>
      <c r="I2290">
        <v>11</v>
      </c>
      <c r="J2290">
        <v>2003</v>
      </c>
      <c r="K2290" t="s">
        <v>638</v>
      </c>
      <c r="L2290">
        <v>64</v>
      </c>
      <c r="M2290" t="s">
        <v>846</v>
      </c>
      <c r="N2290" t="s">
        <v>433</v>
      </c>
      <c r="O2290" t="s">
        <v>434</v>
      </c>
      <c r="P2290" t="s">
        <v>435</v>
      </c>
      <c r="R2290" t="s">
        <v>436</v>
      </c>
      <c r="T2290" t="s">
        <v>437</v>
      </c>
      <c r="U2290" t="s">
        <v>252</v>
      </c>
      <c r="V2290" t="s">
        <v>110</v>
      </c>
      <c r="W2290" t="s">
        <v>130</v>
      </c>
      <c r="X2290" t="s">
        <v>438</v>
      </c>
      <c r="Y2290" t="s">
        <v>104</v>
      </c>
    </row>
    <row r="2291" spans="1:25">
      <c r="A2291">
        <v>10183</v>
      </c>
      <c r="B2291">
        <v>49</v>
      </c>
      <c r="C2291">
        <v>64.64</v>
      </c>
      <c r="D2291">
        <v>4</v>
      </c>
      <c r="E2291">
        <v>3167.36</v>
      </c>
      <c r="F2291" t="s">
        <v>303</v>
      </c>
      <c r="G2291" t="s">
        <v>93</v>
      </c>
      <c r="H2291">
        <v>4</v>
      </c>
      <c r="I2291">
        <v>11</v>
      </c>
      <c r="J2291">
        <v>2003</v>
      </c>
      <c r="K2291" t="s">
        <v>638</v>
      </c>
      <c r="L2291">
        <v>64</v>
      </c>
      <c r="M2291" t="s">
        <v>846</v>
      </c>
      <c r="N2291" t="s">
        <v>304</v>
      </c>
      <c r="O2291">
        <v>2155554695</v>
      </c>
      <c r="P2291" t="s">
        <v>305</v>
      </c>
      <c r="R2291" t="s">
        <v>306</v>
      </c>
      <c r="S2291" t="s">
        <v>221</v>
      </c>
      <c r="T2291">
        <v>71270</v>
      </c>
      <c r="U2291" t="s">
        <v>100</v>
      </c>
      <c r="V2291" t="s">
        <v>101</v>
      </c>
      <c r="W2291" t="s">
        <v>307</v>
      </c>
      <c r="X2291" t="s">
        <v>308</v>
      </c>
      <c r="Y2291" t="s">
        <v>119</v>
      </c>
    </row>
    <row r="2292" spans="1:25">
      <c r="A2292">
        <v>10194</v>
      </c>
      <c r="B2292">
        <v>39</v>
      </c>
      <c r="C2292">
        <v>54.94</v>
      </c>
      <c r="D2292">
        <v>7</v>
      </c>
      <c r="E2292">
        <v>2142.66</v>
      </c>
      <c r="F2292" t="s">
        <v>309</v>
      </c>
      <c r="G2292" t="s">
        <v>93</v>
      </c>
      <c r="H2292">
        <v>4</v>
      </c>
      <c r="I2292">
        <v>11</v>
      </c>
      <c r="J2292">
        <v>2003</v>
      </c>
      <c r="K2292" t="s">
        <v>638</v>
      </c>
      <c r="L2292">
        <v>64</v>
      </c>
      <c r="M2292" t="s">
        <v>846</v>
      </c>
      <c r="N2292" t="s">
        <v>310</v>
      </c>
      <c r="O2292" t="s">
        <v>311</v>
      </c>
      <c r="P2292" t="s">
        <v>312</v>
      </c>
      <c r="R2292" t="s">
        <v>313</v>
      </c>
      <c r="T2292">
        <v>69004</v>
      </c>
      <c r="U2292" t="s">
        <v>109</v>
      </c>
      <c r="V2292" t="s">
        <v>110</v>
      </c>
      <c r="W2292" t="s">
        <v>314</v>
      </c>
      <c r="X2292" t="s">
        <v>315</v>
      </c>
      <c r="Y2292" t="s">
        <v>104</v>
      </c>
    </row>
    <row r="2293" spans="1:25">
      <c r="A2293">
        <v>10206</v>
      </c>
      <c r="B2293">
        <v>36</v>
      </c>
      <c r="C2293">
        <v>58.82</v>
      </c>
      <c r="D2293">
        <v>2</v>
      </c>
      <c r="E2293">
        <v>2117.52</v>
      </c>
      <c r="F2293" s="4">
        <v>37753</v>
      </c>
      <c r="G2293" t="s">
        <v>93</v>
      </c>
      <c r="H2293">
        <v>4</v>
      </c>
      <c r="I2293">
        <v>12</v>
      </c>
      <c r="J2293">
        <v>2003</v>
      </c>
      <c r="K2293" t="s">
        <v>638</v>
      </c>
      <c r="L2293">
        <v>64</v>
      </c>
      <c r="M2293" t="s">
        <v>846</v>
      </c>
      <c r="N2293" t="s">
        <v>316</v>
      </c>
      <c r="O2293" t="s">
        <v>317</v>
      </c>
      <c r="P2293" t="s">
        <v>318</v>
      </c>
      <c r="R2293" t="s">
        <v>319</v>
      </c>
      <c r="S2293" t="s">
        <v>320</v>
      </c>
      <c r="T2293" t="s">
        <v>321</v>
      </c>
      <c r="U2293" t="s">
        <v>322</v>
      </c>
      <c r="V2293" t="s">
        <v>101</v>
      </c>
      <c r="W2293" t="s">
        <v>323</v>
      </c>
      <c r="X2293" t="s">
        <v>324</v>
      </c>
      <c r="Y2293" t="s">
        <v>104</v>
      </c>
    </row>
    <row r="2294" spans="1:25">
      <c r="A2294">
        <v>10217</v>
      </c>
      <c r="B2294">
        <v>39</v>
      </c>
      <c r="C2294">
        <v>62.05</v>
      </c>
      <c r="D2294">
        <v>7</v>
      </c>
      <c r="E2294">
        <v>2419.9499999999998</v>
      </c>
      <c r="F2294" s="4">
        <v>38079</v>
      </c>
      <c r="G2294" t="s">
        <v>93</v>
      </c>
      <c r="H2294">
        <v>1</v>
      </c>
      <c r="I2294">
        <v>2</v>
      </c>
      <c r="J2294">
        <v>2004</v>
      </c>
      <c r="K2294" t="s">
        <v>638</v>
      </c>
      <c r="L2294">
        <v>64</v>
      </c>
      <c r="M2294" t="s">
        <v>846</v>
      </c>
      <c r="N2294" t="s">
        <v>536</v>
      </c>
      <c r="O2294" t="s">
        <v>537</v>
      </c>
      <c r="P2294" t="s">
        <v>538</v>
      </c>
      <c r="Q2294" t="s">
        <v>539</v>
      </c>
      <c r="R2294" t="s">
        <v>287</v>
      </c>
      <c r="T2294">
        <v>69045</v>
      </c>
      <c r="U2294" t="s">
        <v>287</v>
      </c>
      <c r="V2294" t="s">
        <v>169</v>
      </c>
      <c r="W2294" t="s">
        <v>540</v>
      </c>
      <c r="X2294" t="s">
        <v>541</v>
      </c>
      <c r="Y2294" t="s">
        <v>104</v>
      </c>
    </row>
    <row r="2295" spans="1:25">
      <c r="A2295">
        <v>10229</v>
      </c>
      <c r="B2295">
        <v>30</v>
      </c>
      <c r="C2295">
        <v>73.040000000000006</v>
      </c>
      <c r="D2295">
        <v>12</v>
      </c>
      <c r="E2295">
        <v>2191.1999999999998</v>
      </c>
      <c r="F2295" s="4">
        <v>38294</v>
      </c>
      <c r="G2295" t="s">
        <v>93</v>
      </c>
      <c r="H2295">
        <v>1</v>
      </c>
      <c r="I2295">
        <v>3</v>
      </c>
      <c r="J2295">
        <v>2004</v>
      </c>
      <c r="K2295" t="s">
        <v>638</v>
      </c>
      <c r="L2295">
        <v>64</v>
      </c>
      <c r="M2295" t="s">
        <v>846</v>
      </c>
      <c r="N2295" t="s">
        <v>367</v>
      </c>
      <c r="O2295">
        <v>4155551450</v>
      </c>
      <c r="P2295" t="s">
        <v>368</v>
      </c>
      <c r="R2295" t="s">
        <v>369</v>
      </c>
      <c r="S2295" t="s">
        <v>124</v>
      </c>
      <c r="T2295">
        <v>97562</v>
      </c>
      <c r="U2295" t="s">
        <v>100</v>
      </c>
      <c r="V2295" t="s">
        <v>101</v>
      </c>
      <c r="W2295" t="s">
        <v>370</v>
      </c>
      <c r="X2295" t="s">
        <v>371</v>
      </c>
      <c r="Y2295" t="s">
        <v>104</v>
      </c>
    </row>
    <row r="2296" spans="1:25">
      <c r="A2296">
        <v>10245</v>
      </c>
      <c r="B2296">
        <v>44</v>
      </c>
      <c r="C2296">
        <v>69.16</v>
      </c>
      <c r="D2296">
        <v>5</v>
      </c>
      <c r="E2296">
        <v>3043.04</v>
      </c>
      <c r="F2296" s="4">
        <v>38082</v>
      </c>
      <c r="G2296" t="s">
        <v>93</v>
      </c>
      <c r="H2296">
        <v>2</v>
      </c>
      <c r="I2296">
        <v>5</v>
      </c>
      <c r="J2296">
        <v>2004</v>
      </c>
      <c r="K2296" t="s">
        <v>638</v>
      </c>
      <c r="L2296">
        <v>64</v>
      </c>
      <c r="M2296" t="s">
        <v>846</v>
      </c>
      <c r="N2296" t="s">
        <v>333</v>
      </c>
      <c r="O2296">
        <v>2035559545</v>
      </c>
      <c r="P2296" t="s">
        <v>334</v>
      </c>
      <c r="R2296" t="s">
        <v>335</v>
      </c>
      <c r="S2296" t="s">
        <v>187</v>
      </c>
      <c r="T2296">
        <v>97823</v>
      </c>
      <c r="U2296" t="s">
        <v>100</v>
      </c>
      <c r="V2296" t="s">
        <v>101</v>
      </c>
      <c r="W2296" t="s">
        <v>154</v>
      </c>
      <c r="X2296" t="s">
        <v>336</v>
      </c>
      <c r="Y2296" t="s">
        <v>119</v>
      </c>
    </row>
    <row r="2297" spans="1:25">
      <c r="A2297">
        <v>10258</v>
      </c>
      <c r="B2297">
        <v>20</v>
      </c>
      <c r="C2297">
        <v>61.41</v>
      </c>
      <c r="D2297">
        <v>2</v>
      </c>
      <c r="E2297">
        <v>1228.2</v>
      </c>
      <c r="F2297" t="s">
        <v>337</v>
      </c>
      <c r="G2297" t="s">
        <v>93</v>
      </c>
      <c r="H2297">
        <v>2</v>
      </c>
      <c r="I2297">
        <v>6</v>
      </c>
      <c r="J2297">
        <v>2004</v>
      </c>
      <c r="K2297" t="s">
        <v>638</v>
      </c>
      <c r="L2297">
        <v>64</v>
      </c>
      <c r="M2297" t="s">
        <v>846</v>
      </c>
      <c r="N2297" t="s">
        <v>338</v>
      </c>
      <c r="O2297" t="s">
        <v>339</v>
      </c>
      <c r="P2297" t="s">
        <v>340</v>
      </c>
      <c r="R2297" t="s">
        <v>341</v>
      </c>
      <c r="S2297" t="s">
        <v>342</v>
      </c>
      <c r="T2297" t="s">
        <v>343</v>
      </c>
      <c r="U2297" t="s">
        <v>288</v>
      </c>
      <c r="V2297" t="s">
        <v>288</v>
      </c>
      <c r="W2297" t="s">
        <v>344</v>
      </c>
      <c r="X2297" t="s">
        <v>345</v>
      </c>
      <c r="Y2297" t="s">
        <v>104</v>
      </c>
    </row>
    <row r="2298" spans="1:25">
      <c r="A2298">
        <v>10270</v>
      </c>
      <c r="B2298">
        <v>21</v>
      </c>
      <c r="C2298">
        <v>63.35</v>
      </c>
      <c r="D2298">
        <v>5</v>
      </c>
      <c r="E2298">
        <v>1330.35</v>
      </c>
      <c r="F2298" t="s">
        <v>346</v>
      </c>
      <c r="G2298" t="s">
        <v>93</v>
      </c>
      <c r="H2298">
        <v>3</v>
      </c>
      <c r="I2298">
        <v>7</v>
      </c>
      <c r="J2298">
        <v>2004</v>
      </c>
      <c r="K2298" t="s">
        <v>638</v>
      </c>
      <c r="L2298">
        <v>64</v>
      </c>
      <c r="M2298" t="s">
        <v>846</v>
      </c>
      <c r="N2298" t="s">
        <v>234</v>
      </c>
      <c r="O2298" t="s">
        <v>235</v>
      </c>
      <c r="P2298" t="s">
        <v>236</v>
      </c>
      <c r="Q2298" t="s">
        <v>237</v>
      </c>
      <c r="R2298" t="s">
        <v>238</v>
      </c>
      <c r="S2298" t="s">
        <v>239</v>
      </c>
      <c r="T2298">
        <v>2067</v>
      </c>
      <c r="U2298" t="s">
        <v>168</v>
      </c>
      <c r="V2298" t="s">
        <v>169</v>
      </c>
      <c r="W2298" t="s">
        <v>240</v>
      </c>
      <c r="X2298" t="s">
        <v>241</v>
      </c>
      <c r="Y2298" t="s">
        <v>104</v>
      </c>
    </row>
    <row r="2299" spans="1:25">
      <c r="A2299">
        <v>10281</v>
      </c>
      <c r="B2299">
        <v>36</v>
      </c>
      <c r="C2299">
        <v>77.569999999999993</v>
      </c>
      <c r="D2299">
        <v>12</v>
      </c>
      <c r="E2299">
        <v>2792.52</v>
      </c>
      <c r="F2299" t="s">
        <v>542</v>
      </c>
      <c r="G2299" t="s">
        <v>93</v>
      </c>
      <c r="H2299">
        <v>3</v>
      </c>
      <c r="I2299">
        <v>8</v>
      </c>
      <c r="J2299">
        <v>2004</v>
      </c>
      <c r="K2299" t="s">
        <v>638</v>
      </c>
      <c r="L2299">
        <v>64</v>
      </c>
      <c r="M2299" t="s">
        <v>846</v>
      </c>
      <c r="N2299" t="s">
        <v>218</v>
      </c>
      <c r="O2299">
        <v>2155551555</v>
      </c>
      <c r="P2299" t="s">
        <v>219</v>
      </c>
      <c r="R2299" t="s">
        <v>220</v>
      </c>
      <c r="S2299" t="s">
        <v>221</v>
      </c>
      <c r="T2299">
        <v>70267</v>
      </c>
      <c r="U2299" t="s">
        <v>100</v>
      </c>
      <c r="V2299" t="s">
        <v>101</v>
      </c>
      <c r="W2299" t="s">
        <v>102</v>
      </c>
      <c r="X2299" t="s">
        <v>222</v>
      </c>
      <c r="Y2299" t="s">
        <v>104</v>
      </c>
    </row>
    <row r="2300" spans="1:25">
      <c r="A2300">
        <v>10291</v>
      </c>
      <c r="B2300">
        <v>32</v>
      </c>
      <c r="C2300">
        <v>71.75</v>
      </c>
      <c r="D2300">
        <v>7</v>
      </c>
      <c r="E2300">
        <v>2296</v>
      </c>
      <c r="F2300" s="4">
        <v>38208</v>
      </c>
      <c r="G2300" t="s">
        <v>93</v>
      </c>
      <c r="H2300">
        <v>3</v>
      </c>
      <c r="I2300">
        <v>9</v>
      </c>
      <c r="J2300">
        <v>2004</v>
      </c>
      <c r="K2300" t="s">
        <v>638</v>
      </c>
      <c r="L2300">
        <v>64</v>
      </c>
      <c r="M2300" t="s">
        <v>846</v>
      </c>
      <c r="N2300" t="s">
        <v>355</v>
      </c>
      <c r="O2300" t="s">
        <v>356</v>
      </c>
      <c r="P2300" t="s">
        <v>357</v>
      </c>
      <c r="R2300" t="s">
        <v>358</v>
      </c>
      <c r="T2300" t="s">
        <v>359</v>
      </c>
      <c r="U2300" t="s">
        <v>273</v>
      </c>
      <c r="V2300" t="s">
        <v>110</v>
      </c>
      <c r="W2300" t="s">
        <v>360</v>
      </c>
      <c r="X2300" t="s">
        <v>295</v>
      </c>
      <c r="Y2300" t="s">
        <v>104</v>
      </c>
    </row>
    <row r="2301" spans="1:25">
      <c r="A2301">
        <v>10304</v>
      </c>
      <c r="B2301">
        <v>36</v>
      </c>
      <c r="C2301">
        <v>73.040000000000006</v>
      </c>
      <c r="D2301">
        <v>2</v>
      </c>
      <c r="E2301">
        <v>2629.44</v>
      </c>
      <c r="F2301" s="4">
        <v>38301</v>
      </c>
      <c r="G2301" t="s">
        <v>93</v>
      </c>
      <c r="H2301">
        <v>4</v>
      </c>
      <c r="I2301">
        <v>10</v>
      </c>
      <c r="J2301">
        <v>2004</v>
      </c>
      <c r="K2301" t="s">
        <v>638</v>
      </c>
      <c r="L2301">
        <v>64</v>
      </c>
      <c r="M2301" t="s">
        <v>846</v>
      </c>
      <c r="N2301" t="s">
        <v>361</v>
      </c>
      <c r="O2301" t="s">
        <v>362</v>
      </c>
      <c r="P2301" t="s">
        <v>363</v>
      </c>
      <c r="R2301" t="s">
        <v>364</v>
      </c>
      <c r="T2301">
        <v>78000</v>
      </c>
      <c r="U2301" t="s">
        <v>109</v>
      </c>
      <c r="V2301" t="s">
        <v>110</v>
      </c>
      <c r="W2301" t="s">
        <v>365</v>
      </c>
      <c r="X2301" t="s">
        <v>118</v>
      </c>
      <c r="Y2301" t="s">
        <v>104</v>
      </c>
    </row>
    <row r="2302" spans="1:25">
      <c r="A2302">
        <v>10313</v>
      </c>
      <c r="B2302">
        <v>34</v>
      </c>
      <c r="C2302">
        <v>56.24</v>
      </c>
      <c r="D2302">
        <v>10</v>
      </c>
      <c r="E2302">
        <v>1912.16</v>
      </c>
      <c r="F2302" t="s">
        <v>544</v>
      </c>
      <c r="G2302" t="s">
        <v>93</v>
      </c>
      <c r="H2302">
        <v>4</v>
      </c>
      <c r="I2302">
        <v>10</v>
      </c>
      <c r="J2302">
        <v>2004</v>
      </c>
      <c r="K2302" t="s">
        <v>638</v>
      </c>
      <c r="L2302">
        <v>64</v>
      </c>
      <c r="M2302" t="s">
        <v>846</v>
      </c>
      <c r="N2302" t="s">
        <v>316</v>
      </c>
      <c r="O2302" t="s">
        <v>317</v>
      </c>
      <c r="P2302" t="s">
        <v>318</v>
      </c>
      <c r="R2302" t="s">
        <v>319</v>
      </c>
      <c r="S2302" t="s">
        <v>320</v>
      </c>
      <c r="T2302" t="s">
        <v>321</v>
      </c>
      <c r="U2302" t="s">
        <v>322</v>
      </c>
      <c r="V2302" t="s">
        <v>101</v>
      </c>
      <c r="W2302" t="s">
        <v>323</v>
      </c>
      <c r="X2302" t="s">
        <v>324</v>
      </c>
      <c r="Y2302" t="s">
        <v>104</v>
      </c>
    </row>
    <row r="2303" spans="1:25">
      <c r="A2303">
        <v>10324</v>
      </c>
      <c r="B2303">
        <v>48</v>
      </c>
      <c r="C2303">
        <v>100</v>
      </c>
      <c r="D2303">
        <v>4</v>
      </c>
      <c r="E2303">
        <v>8209.44</v>
      </c>
      <c r="F2303" s="4">
        <v>38118</v>
      </c>
      <c r="G2303" t="s">
        <v>93</v>
      </c>
      <c r="H2303">
        <v>4</v>
      </c>
      <c r="I2303">
        <v>11</v>
      </c>
      <c r="J2303">
        <v>2004</v>
      </c>
      <c r="K2303" t="s">
        <v>638</v>
      </c>
      <c r="L2303">
        <v>64</v>
      </c>
      <c r="M2303" t="s">
        <v>846</v>
      </c>
      <c r="N2303" t="s">
        <v>172</v>
      </c>
      <c r="O2303">
        <v>2125551500</v>
      </c>
      <c r="P2303" t="s">
        <v>173</v>
      </c>
      <c r="Q2303" t="s">
        <v>174</v>
      </c>
      <c r="R2303" t="s">
        <v>98</v>
      </c>
      <c r="S2303" t="s">
        <v>99</v>
      </c>
      <c r="T2303">
        <v>10022</v>
      </c>
      <c r="U2303" t="s">
        <v>100</v>
      </c>
      <c r="V2303" t="s">
        <v>101</v>
      </c>
      <c r="W2303" t="s">
        <v>175</v>
      </c>
      <c r="X2303" t="s">
        <v>176</v>
      </c>
      <c r="Y2303" t="s">
        <v>232</v>
      </c>
    </row>
    <row r="2304" spans="1:25">
      <c r="A2304">
        <v>10333</v>
      </c>
      <c r="B2304">
        <v>33</v>
      </c>
      <c r="C2304">
        <v>73.69</v>
      </c>
      <c r="D2304">
        <v>4</v>
      </c>
      <c r="E2304">
        <v>2431.77</v>
      </c>
      <c r="F2304" t="s">
        <v>376</v>
      </c>
      <c r="G2304" t="s">
        <v>93</v>
      </c>
      <c r="H2304">
        <v>4</v>
      </c>
      <c r="I2304">
        <v>11</v>
      </c>
      <c r="J2304">
        <v>2004</v>
      </c>
      <c r="K2304" t="s">
        <v>638</v>
      </c>
      <c r="L2304">
        <v>64</v>
      </c>
      <c r="M2304" t="s">
        <v>846</v>
      </c>
      <c r="N2304" t="s">
        <v>152</v>
      </c>
      <c r="O2304">
        <v>6505555787</v>
      </c>
      <c r="P2304" t="s">
        <v>153</v>
      </c>
      <c r="R2304" t="s">
        <v>129</v>
      </c>
      <c r="S2304" t="s">
        <v>124</v>
      </c>
      <c r="U2304" t="s">
        <v>100</v>
      </c>
      <c r="V2304" t="s">
        <v>101</v>
      </c>
      <c r="W2304" t="s">
        <v>154</v>
      </c>
      <c r="X2304" t="s">
        <v>126</v>
      </c>
      <c r="Y2304" t="s">
        <v>104</v>
      </c>
    </row>
    <row r="2305" spans="1:25">
      <c r="A2305">
        <v>10348</v>
      </c>
      <c r="B2305">
        <v>31</v>
      </c>
      <c r="C2305">
        <v>100</v>
      </c>
      <c r="D2305">
        <v>5</v>
      </c>
      <c r="E2305">
        <v>3139.99</v>
      </c>
      <c r="F2305" s="4">
        <v>37997</v>
      </c>
      <c r="G2305" t="s">
        <v>93</v>
      </c>
      <c r="H2305">
        <v>4</v>
      </c>
      <c r="I2305">
        <v>11</v>
      </c>
      <c r="J2305">
        <v>2004</v>
      </c>
      <c r="K2305" t="s">
        <v>638</v>
      </c>
      <c r="L2305">
        <v>64</v>
      </c>
      <c r="M2305" t="s">
        <v>846</v>
      </c>
      <c r="N2305" t="s">
        <v>277</v>
      </c>
      <c r="O2305" t="s">
        <v>278</v>
      </c>
      <c r="P2305" t="s">
        <v>279</v>
      </c>
      <c r="R2305" t="s">
        <v>260</v>
      </c>
      <c r="T2305">
        <v>28023</v>
      </c>
      <c r="U2305" t="s">
        <v>261</v>
      </c>
      <c r="V2305" t="s">
        <v>110</v>
      </c>
      <c r="W2305" t="s">
        <v>280</v>
      </c>
      <c r="X2305" t="s">
        <v>281</v>
      </c>
      <c r="Y2305" t="s">
        <v>119</v>
      </c>
    </row>
    <row r="2306" spans="1:25">
      <c r="A2306">
        <v>10358</v>
      </c>
      <c r="B2306">
        <v>36</v>
      </c>
      <c r="C2306">
        <v>100</v>
      </c>
      <c r="D2306">
        <v>2</v>
      </c>
      <c r="E2306">
        <v>5669.64</v>
      </c>
      <c r="F2306" s="4">
        <v>38272</v>
      </c>
      <c r="G2306" t="s">
        <v>93</v>
      </c>
      <c r="H2306">
        <v>4</v>
      </c>
      <c r="I2306">
        <v>12</v>
      </c>
      <c r="J2306">
        <v>2004</v>
      </c>
      <c r="K2306" t="s">
        <v>638</v>
      </c>
      <c r="L2306">
        <v>64</v>
      </c>
      <c r="M2306" t="s">
        <v>846</v>
      </c>
      <c r="N2306" t="s">
        <v>257</v>
      </c>
      <c r="O2306" t="s">
        <v>258</v>
      </c>
      <c r="P2306" t="s">
        <v>259</v>
      </c>
      <c r="R2306" t="s">
        <v>260</v>
      </c>
      <c r="T2306">
        <v>28034</v>
      </c>
      <c r="U2306" t="s">
        <v>261</v>
      </c>
      <c r="V2306" t="s">
        <v>110</v>
      </c>
      <c r="W2306" t="s">
        <v>262</v>
      </c>
      <c r="X2306" t="s">
        <v>263</v>
      </c>
      <c r="Y2306" t="s">
        <v>119</v>
      </c>
    </row>
    <row r="2307" spans="1:25">
      <c r="A2307">
        <v>10370</v>
      </c>
      <c r="B2307">
        <v>25</v>
      </c>
      <c r="C2307">
        <v>100</v>
      </c>
      <c r="D2307">
        <v>3</v>
      </c>
      <c r="E2307">
        <v>3160.25</v>
      </c>
      <c r="F2307" t="s">
        <v>378</v>
      </c>
      <c r="G2307" t="s">
        <v>93</v>
      </c>
      <c r="H2307">
        <v>1</v>
      </c>
      <c r="I2307">
        <v>1</v>
      </c>
      <c r="J2307">
        <v>2005</v>
      </c>
      <c r="K2307" t="s">
        <v>638</v>
      </c>
      <c r="L2307">
        <v>64</v>
      </c>
      <c r="M2307" t="s">
        <v>846</v>
      </c>
      <c r="N2307" t="s">
        <v>384</v>
      </c>
      <c r="O2307" t="s">
        <v>385</v>
      </c>
      <c r="P2307" t="s">
        <v>386</v>
      </c>
      <c r="Q2307" t="s">
        <v>387</v>
      </c>
      <c r="R2307" t="s">
        <v>388</v>
      </c>
      <c r="S2307" t="s">
        <v>239</v>
      </c>
      <c r="T2307">
        <v>2060</v>
      </c>
      <c r="U2307" t="s">
        <v>168</v>
      </c>
      <c r="V2307" t="s">
        <v>169</v>
      </c>
      <c r="W2307" t="s">
        <v>389</v>
      </c>
      <c r="X2307" t="s">
        <v>390</v>
      </c>
      <c r="Y2307" t="s">
        <v>119</v>
      </c>
    </row>
    <row r="2308" spans="1:25">
      <c r="A2308">
        <v>10382</v>
      </c>
      <c r="B2308">
        <v>48</v>
      </c>
      <c r="C2308">
        <v>100</v>
      </c>
      <c r="D2308">
        <v>8</v>
      </c>
      <c r="E2308">
        <v>6799.68</v>
      </c>
      <c r="F2308" t="s">
        <v>383</v>
      </c>
      <c r="G2308" t="s">
        <v>93</v>
      </c>
      <c r="H2308">
        <v>1</v>
      </c>
      <c r="I2308">
        <v>2</v>
      </c>
      <c r="J2308">
        <v>2005</v>
      </c>
      <c r="K2308" t="s">
        <v>638</v>
      </c>
      <c r="L2308">
        <v>64</v>
      </c>
      <c r="M2308" t="s">
        <v>846</v>
      </c>
      <c r="N2308" t="s">
        <v>367</v>
      </c>
      <c r="O2308">
        <v>4155551450</v>
      </c>
      <c r="P2308" t="s">
        <v>368</v>
      </c>
      <c r="R2308" t="s">
        <v>369</v>
      </c>
      <c r="S2308" t="s">
        <v>124</v>
      </c>
      <c r="T2308">
        <v>97562</v>
      </c>
      <c r="U2308" t="s">
        <v>100</v>
      </c>
      <c r="V2308" t="s">
        <v>101</v>
      </c>
      <c r="W2308" t="s">
        <v>370</v>
      </c>
      <c r="X2308" t="s">
        <v>371</v>
      </c>
      <c r="Y2308" t="s">
        <v>119</v>
      </c>
    </row>
    <row r="2309" spans="1:25">
      <c r="A2309">
        <v>10411</v>
      </c>
      <c r="B2309">
        <v>27</v>
      </c>
      <c r="C2309">
        <v>69.16</v>
      </c>
      <c r="D2309">
        <v>5</v>
      </c>
      <c r="E2309">
        <v>1867.32</v>
      </c>
      <c r="F2309" s="4">
        <v>38357</v>
      </c>
      <c r="G2309" t="s">
        <v>93</v>
      </c>
      <c r="H2309">
        <v>2</v>
      </c>
      <c r="I2309">
        <v>5</v>
      </c>
      <c r="J2309">
        <v>2005</v>
      </c>
      <c r="K2309" t="s">
        <v>638</v>
      </c>
      <c r="L2309">
        <v>64</v>
      </c>
      <c r="M2309" t="s">
        <v>846</v>
      </c>
      <c r="N2309" t="s">
        <v>391</v>
      </c>
      <c r="O2309" t="s">
        <v>392</v>
      </c>
      <c r="P2309" t="s">
        <v>393</v>
      </c>
      <c r="R2309" t="s">
        <v>394</v>
      </c>
      <c r="S2309" t="s">
        <v>395</v>
      </c>
      <c r="T2309" t="s">
        <v>396</v>
      </c>
      <c r="U2309" t="s">
        <v>322</v>
      </c>
      <c r="V2309" t="s">
        <v>101</v>
      </c>
      <c r="W2309" t="s">
        <v>397</v>
      </c>
      <c r="X2309" t="s">
        <v>398</v>
      </c>
      <c r="Y2309" t="s">
        <v>104</v>
      </c>
    </row>
    <row r="2310" spans="1:25">
      <c r="A2310">
        <v>10424</v>
      </c>
      <c r="B2310">
        <v>44</v>
      </c>
      <c r="C2310">
        <v>61.41</v>
      </c>
      <c r="D2310">
        <v>2</v>
      </c>
      <c r="E2310">
        <v>2702.04</v>
      </c>
      <c r="F2310" t="s">
        <v>399</v>
      </c>
      <c r="G2310" t="s">
        <v>400</v>
      </c>
      <c r="H2310">
        <v>2</v>
      </c>
      <c r="I2310">
        <v>5</v>
      </c>
      <c r="J2310">
        <v>2005</v>
      </c>
      <c r="K2310" t="s">
        <v>638</v>
      </c>
      <c r="L2310">
        <v>64</v>
      </c>
      <c r="M2310" t="s">
        <v>846</v>
      </c>
      <c r="N2310" t="s">
        <v>257</v>
      </c>
      <c r="O2310" t="s">
        <v>258</v>
      </c>
      <c r="P2310" t="s">
        <v>259</v>
      </c>
      <c r="R2310" t="s">
        <v>260</v>
      </c>
      <c r="T2310">
        <v>28034</v>
      </c>
      <c r="U2310" t="s">
        <v>261</v>
      </c>
      <c r="V2310" t="s">
        <v>110</v>
      </c>
      <c r="W2310" t="s">
        <v>262</v>
      </c>
      <c r="X2310" t="s">
        <v>263</v>
      </c>
      <c r="Y2310" t="s">
        <v>104</v>
      </c>
    </row>
    <row r="2311" spans="1:25">
      <c r="A2311">
        <v>10106</v>
      </c>
      <c r="B2311">
        <v>33</v>
      </c>
      <c r="C2311">
        <v>72.92</v>
      </c>
      <c r="D2311">
        <v>5</v>
      </c>
      <c r="E2311">
        <v>2406.36</v>
      </c>
      <c r="F2311" t="s">
        <v>725</v>
      </c>
      <c r="G2311" t="s">
        <v>93</v>
      </c>
      <c r="H2311">
        <v>1</v>
      </c>
      <c r="I2311">
        <v>2</v>
      </c>
      <c r="J2311">
        <v>2003</v>
      </c>
      <c r="K2311" t="s">
        <v>697</v>
      </c>
      <c r="L2311">
        <v>68</v>
      </c>
      <c r="M2311" t="s">
        <v>847</v>
      </c>
      <c r="N2311" t="s">
        <v>703</v>
      </c>
      <c r="O2311" t="s">
        <v>704</v>
      </c>
      <c r="P2311" t="s">
        <v>705</v>
      </c>
      <c r="R2311" t="s">
        <v>706</v>
      </c>
      <c r="T2311">
        <v>24100</v>
      </c>
      <c r="U2311" t="s">
        <v>352</v>
      </c>
      <c r="V2311" t="s">
        <v>110</v>
      </c>
      <c r="W2311" t="s">
        <v>707</v>
      </c>
      <c r="X2311" t="s">
        <v>708</v>
      </c>
      <c r="Y2311" t="s">
        <v>104</v>
      </c>
    </row>
    <row r="2312" spans="1:25">
      <c r="A2312">
        <v>10120</v>
      </c>
      <c r="B2312">
        <v>29</v>
      </c>
      <c r="C2312">
        <v>72.23</v>
      </c>
      <c r="D2312">
        <v>11</v>
      </c>
      <c r="E2312">
        <v>2094.67</v>
      </c>
      <c r="F2312" t="s">
        <v>402</v>
      </c>
      <c r="G2312" t="s">
        <v>93</v>
      </c>
      <c r="H2312">
        <v>2</v>
      </c>
      <c r="I2312">
        <v>4</v>
      </c>
      <c r="J2312">
        <v>2003</v>
      </c>
      <c r="K2312" t="s">
        <v>697</v>
      </c>
      <c r="L2312">
        <v>68</v>
      </c>
      <c r="M2312" t="s">
        <v>847</v>
      </c>
      <c r="N2312" t="s">
        <v>162</v>
      </c>
      <c r="O2312" t="s">
        <v>163</v>
      </c>
      <c r="P2312" t="s">
        <v>164</v>
      </c>
      <c r="Q2312" t="s">
        <v>165</v>
      </c>
      <c r="R2312" t="s">
        <v>166</v>
      </c>
      <c r="S2312" t="s">
        <v>167</v>
      </c>
      <c r="T2312">
        <v>3004</v>
      </c>
      <c r="U2312" t="s">
        <v>168</v>
      </c>
      <c r="V2312" t="s">
        <v>169</v>
      </c>
      <c r="W2312" t="s">
        <v>170</v>
      </c>
      <c r="X2312" t="s">
        <v>171</v>
      </c>
      <c r="Y2312" t="s">
        <v>104</v>
      </c>
    </row>
    <row r="2313" spans="1:25">
      <c r="A2313">
        <v>10133</v>
      </c>
      <c r="B2313">
        <v>49</v>
      </c>
      <c r="C2313">
        <v>57.1</v>
      </c>
      <c r="D2313">
        <v>6</v>
      </c>
      <c r="E2313">
        <v>2797.9</v>
      </c>
      <c r="F2313" t="s">
        <v>766</v>
      </c>
      <c r="G2313" t="s">
        <v>93</v>
      </c>
      <c r="H2313">
        <v>2</v>
      </c>
      <c r="I2313">
        <v>6</v>
      </c>
      <c r="J2313">
        <v>2003</v>
      </c>
      <c r="K2313" t="s">
        <v>697</v>
      </c>
      <c r="L2313">
        <v>68</v>
      </c>
      <c r="M2313" t="s">
        <v>847</v>
      </c>
      <c r="N2313" t="s">
        <v>257</v>
      </c>
      <c r="O2313" t="s">
        <v>258</v>
      </c>
      <c r="P2313" t="s">
        <v>259</v>
      </c>
      <c r="R2313" t="s">
        <v>260</v>
      </c>
      <c r="T2313">
        <v>28034</v>
      </c>
      <c r="U2313" t="s">
        <v>261</v>
      </c>
      <c r="V2313" t="s">
        <v>110</v>
      </c>
      <c r="W2313" t="s">
        <v>262</v>
      </c>
      <c r="X2313" t="s">
        <v>263</v>
      </c>
      <c r="Y2313" t="s">
        <v>104</v>
      </c>
    </row>
    <row r="2314" spans="1:25">
      <c r="A2314">
        <v>10144</v>
      </c>
      <c r="B2314">
        <v>20</v>
      </c>
      <c r="C2314">
        <v>81.86</v>
      </c>
      <c r="D2314">
        <v>1</v>
      </c>
      <c r="E2314">
        <v>1637.2</v>
      </c>
      <c r="F2314" t="s">
        <v>848</v>
      </c>
      <c r="G2314" t="s">
        <v>93</v>
      </c>
      <c r="H2314">
        <v>3</v>
      </c>
      <c r="I2314">
        <v>8</v>
      </c>
      <c r="J2314">
        <v>2003</v>
      </c>
      <c r="K2314" t="s">
        <v>697</v>
      </c>
      <c r="L2314">
        <v>68</v>
      </c>
      <c r="M2314" t="s">
        <v>847</v>
      </c>
      <c r="N2314" t="s">
        <v>743</v>
      </c>
      <c r="O2314" t="s">
        <v>744</v>
      </c>
      <c r="P2314" t="s">
        <v>745</v>
      </c>
      <c r="R2314" t="s">
        <v>746</v>
      </c>
      <c r="T2314" t="s">
        <v>747</v>
      </c>
      <c r="U2314" t="s">
        <v>480</v>
      </c>
      <c r="V2314" t="s">
        <v>110</v>
      </c>
      <c r="W2314" t="s">
        <v>748</v>
      </c>
      <c r="X2314" t="s">
        <v>749</v>
      </c>
      <c r="Y2314" t="s">
        <v>104</v>
      </c>
    </row>
    <row r="2315" spans="1:25">
      <c r="A2315">
        <v>10168</v>
      </c>
      <c r="B2315">
        <v>31</v>
      </c>
      <c r="C2315">
        <v>73.61</v>
      </c>
      <c r="D2315">
        <v>12</v>
      </c>
      <c r="E2315">
        <v>2281.91</v>
      </c>
      <c r="F2315" t="s">
        <v>131</v>
      </c>
      <c r="G2315" t="s">
        <v>93</v>
      </c>
      <c r="H2315">
        <v>4</v>
      </c>
      <c r="I2315">
        <v>10</v>
      </c>
      <c r="J2315">
        <v>2003</v>
      </c>
      <c r="K2315" t="s">
        <v>697</v>
      </c>
      <c r="L2315">
        <v>68</v>
      </c>
      <c r="M2315" t="s">
        <v>847</v>
      </c>
      <c r="N2315" t="s">
        <v>132</v>
      </c>
      <c r="O2315">
        <v>6505556809</v>
      </c>
      <c r="P2315" t="s">
        <v>133</v>
      </c>
      <c r="R2315" t="s">
        <v>134</v>
      </c>
      <c r="S2315" t="s">
        <v>124</v>
      </c>
      <c r="T2315">
        <v>94217</v>
      </c>
      <c r="U2315" t="s">
        <v>100</v>
      </c>
      <c r="V2315" t="s">
        <v>101</v>
      </c>
      <c r="W2315" t="s">
        <v>135</v>
      </c>
      <c r="X2315" t="s">
        <v>136</v>
      </c>
      <c r="Y2315" t="s">
        <v>104</v>
      </c>
    </row>
    <row r="2316" spans="1:25">
      <c r="A2316">
        <v>10210</v>
      </c>
      <c r="B2316">
        <v>39</v>
      </c>
      <c r="C2316">
        <v>59.16</v>
      </c>
      <c r="D2316">
        <v>10</v>
      </c>
      <c r="E2316">
        <v>2307.2399999999998</v>
      </c>
      <c r="F2316" s="4">
        <v>38322</v>
      </c>
      <c r="G2316" t="s">
        <v>93</v>
      </c>
      <c r="H2316">
        <v>1</v>
      </c>
      <c r="I2316">
        <v>1</v>
      </c>
      <c r="J2316">
        <v>2004</v>
      </c>
      <c r="K2316" t="s">
        <v>697</v>
      </c>
      <c r="L2316">
        <v>68</v>
      </c>
      <c r="M2316" t="s">
        <v>847</v>
      </c>
      <c r="N2316" t="s">
        <v>403</v>
      </c>
      <c r="O2316" t="s">
        <v>404</v>
      </c>
      <c r="P2316" t="s">
        <v>405</v>
      </c>
      <c r="R2316" t="s">
        <v>406</v>
      </c>
      <c r="S2316" t="s">
        <v>406</v>
      </c>
      <c r="T2316" t="s">
        <v>407</v>
      </c>
      <c r="U2316" t="s">
        <v>288</v>
      </c>
      <c r="V2316" t="s">
        <v>288</v>
      </c>
      <c r="W2316" t="s">
        <v>408</v>
      </c>
      <c r="X2316" t="s">
        <v>409</v>
      </c>
      <c r="Y2316" t="s">
        <v>104</v>
      </c>
    </row>
    <row r="2317" spans="1:25">
      <c r="A2317">
        <v>10223</v>
      </c>
      <c r="B2317">
        <v>20</v>
      </c>
      <c r="C2317">
        <v>66.040000000000006</v>
      </c>
      <c r="D2317">
        <v>12</v>
      </c>
      <c r="E2317">
        <v>1320.8</v>
      </c>
      <c r="F2317" t="s">
        <v>161</v>
      </c>
      <c r="G2317" t="s">
        <v>93</v>
      </c>
      <c r="H2317">
        <v>1</v>
      </c>
      <c r="I2317">
        <v>2</v>
      </c>
      <c r="J2317">
        <v>2004</v>
      </c>
      <c r="K2317" t="s">
        <v>697</v>
      </c>
      <c r="L2317">
        <v>68</v>
      </c>
      <c r="M2317" t="s">
        <v>847</v>
      </c>
      <c r="N2317" t="s">
        <v>162</v>
      </c>
      <c r="O2317" t="s">
        <v>163</v>
      </c>
      <c r="P2317" t="s">
        <v>164</v>
      </c>
      <c r="Q2317" t="s">
        <v>165</v>
      </c>
      <c r="R2317" t="s">
        <v>166</v>
      </c>
      <c r="S2317" t="s">
        <v>167</v>
      </c>
      <c r="T2317">
        <v>3004</v>
      </c>
      <c r="U2317" t="s">
        <v>168</v>
      </c>
      <c r="V2317" t="s">
        <v>169</v>
      </c>
      <c r="W2317" t="s">
        <v>170</v>
      </c>
      <c r="X2317" t="s">
        <v>171</v>
      </c>
      <c r="Y2317" t="s">
        <v>104</v>
      </c>
    </row>
    <row r="2318" spans="1:25">
      <c r="A2318">
        <v>10235</v>
      </c>
      <c r="B2318">
        <v>34</v>
      </c>
      <c r="C2318">
        <v>77.73</v>
      </c>
      <c r="D2318">
        <v>6</v>
      </c>
      <c r="E2318">
        <v>2642.82</v>
      </c>
      <c r="F2318" s="4">
        <v>38021</v>
      </c>
      <c r="G2318" t="s">
        <v>93</v>
      </c>
      <c r="H2318">
        <v>2</v>
      </c>
      <c r="I2318">
        <v>4</v>
      </c>
      <c r="J2318">
        <v>2004</v>
      </c>
      <c r="K2318" t="s">
        <v>697</v>
      </c>
      <c r="L2318">
        <v>68</v>
      </c>
      <c r="M2318" t="s">
        <v>847</v>
      </c>
      <c r="N2318" t="s">
        <v>484</v>
      </c>
      <c r="O2318" t="s">
        <v>485</v>
      </c>
      <c r="P2318" t="s">
        <v>486</v>
      </c>
      <c r="R2318" t="s">
        <v>487</v>
      </c>
      <c r="S2318" t="s">
        <v>320</v>
      </c>
      <c r="T2318" t="s">
        <v>488</v>
      </c>
      <c r="U2318" t="s">
        <v>322</v>
      </c>
      <c r="V2318" t="s">
        <v>101</v>
      </c>
      <c r="W2318" t="s">
        <v>489</v>
      </c>
      <c r="X2318" t="s">
        <v>254</v>
      </c>
      <c r="Y2318" t="s">
        <v>104</v>
      </c>
    </row>
    <row r="2319" spans="1:25">
      <c r="A2319">
        <v>10250</v>
      </c>
      <c r="B2319">
        <v>50</v>
      </c>
      <c r="C2319">
        <v>61.22</v>
      </c>
      <c r="D2319">
        <v>7</v>
      </c>
      <c r="E2319">
        <v>3061</v>
      </c>
      <c r="F2319" s="4">
        <v>38296</v>
      </c>
      <c r="G2319" t="s">
        <v>93</v>
      </c>
      <c r="H2319">
        <v>2</v>
      </c>
      <c r="I2319">
        <v>5</v>
      </c>
      <c r="J2319">
        <v>2004</v>
      </c>
      <c r="K2319" t="s">
        <v>697</v>
      </c>
      <c r="L2319">
        <v>68</v>
      </c>
      <c r="M2319" t="s">
        <v>847</v>
      </c>
      <c r="N2319" t="s">
        <v>514</v>
      </c>
      <c r="O2319">
        <v>4085553659</v>
      </c>
      <c r="P2319" t="s">
        <v>515</v>
      </c>
      <c r="R2319" t="s">
        <v>516</v>
      </c>
      <c r="S2319" t="s">
        <v>124</v>
      </c>
      <c r="T2319">
        <v>94217</v>
      </c>
      <c r="U2319" t="s">
        <v>100</v>
      </c>
      <c r="V2319" t="s">
        <v>101</v>
      </c>
      <c r="W2319" t="s">
        <v>175</v>
      </c>
      <c r="X2319" t="s">
        <v>517</v>
      </c>
      <c r="Y2319" t="s">
        <v>119</v>
      </c>
    </row>
    <row r="2320" spans="1:25">
      <c r="A2320">
        <v>10262</v>
      </c>
      <c r="B2320">
        <v>40</v>
      </c>
      <c r="C2320">
        <v>79.11</v>
      </c>
      <c r="D2320">
        <v>2</v>
      </c>
      <c r="E2320">
        <v>3164.4</v>
      </c>
      <c r="F2320" t="s">
        <v>734</v>
      </c>
      <c r="G2320" t="s">
        <v>444</v>
      </c>
      <c r="H2320">
        <v>2</v>
      </c>
      <c r="I2320">
        <v>6</v>
      </c>
      <c r="J2320">
        <v>2004</v>
      </c>
      <c r="K2320" t="s">
        <v>697</v>
      </c>
      <c r="L2320">
        <v>68</v>
      </c>
      <c r="M2320" t="s">
        <v>847</v>
      </c>
      <c r="N2320" t="s">
        <v>257</v>
      </c>
      <c r="O2320" t="s">
        <v>258</v>
      </c>
      <c r="P2320" t="s">
        <v>259</v>
      </c>
      <c r="R2320" t="s">
        <v>260</v>
      </c>
      <c r="T2320">
        <v>28034</v>
      </c>
      <c r="U2320" t="s">
        <v>261</v>
      </c>
      <c r="V2320" t="s">
        <v>110</v>
      </c>
      <c r="W2320" t="s">
        <v>262</v>
      </c>
      <c r="X2320" t="s">
        <v>263</v>
      </c>
      <c r="Y2320" t="s">
        <v>119</v>
      </c>
    </row>
    <row r="2321" spans="1:25">
      <c r="A2321">
        <v>10275</v>
      </c>
      <c r="B2321">
        <v>28</v>
      </c>
      <c r="C2321">
        <v>63.97</v>
      </c>
      <c r="D2321">
        <v>12</v>
      </c>
      <c r="E2321">
        <v>1791.16</v>
      </c>
      <c r="F2321" t="s">
        <v>189</v>
      </c>
      <c r="G2321" t="s">
        <v>93</v>
      </c>
      <c r="H2321">
        <v>3</v>
      </c>
      <c r="I2321">
        <v>7</v>
      </c>
      <c r="J2321">
        <v>2004</v>
      </c>
      <c r="K2321" t="s">
        <v>697</v>
      </c>
      <c r="L2321">
        <v>68</v>
      </c>
      <c r="M2321" t="s">
        <v>847</v>
      </c>
      <c r="N2321" t="s">
        <v>190</v>
      </c>
      <c r="O2321" t="s">
        <v>191</v>
      </c>
      <c r="P2321" t="s">
        <v>192</v>
      </c>
      <c r="R2321" t="s">
        <v>193</v>
      </c>
      <c r="T2321">
        <v>44000</v>
      </c>
      <c r="U2321" t="s">
        <v>109</v>
      </c>
      <c r="V2321" t="s">
        <v>110</v>
      </c>
      <c r="W2321" t="s">
        <v>194</v>
      </c>
      <c r="X2321" t="s">
        <v>195</v>
      </c>
      <c r="Y2321" t="s">
        <v>104</v>
      </c>
    </row>
    <row r="2322" spans="1:25">
      <c r="A2322">
        <v>10284</v>
      </c>
      <c r="B2322">
        <v>50</v>
      </c>
      <c r="C2322">
        <v>81.86</v>
      </c>
      <c r="D2322">
        <v>4</v>
      </c>
      <c r="E2322">
        <v>4093</v>
      </c>
      <c r="F2322" t="s">
        <v>735</v>
      </c>
      <c r="G2322" t="s">
        <v>93</v>
      </c>
      <c r="H2322">
        <v>3</v>
      </c>
      <c r="I2322">
        <v>8</v>
      </c>
      <c r="J2322">
        <v>2004</v>
      </c>
      <c r="K2322" t="s">
        <v>697</v>
      </c>
      <c r="L2322">
        <v>68</v>
      </c>
      <c r="M2322" t="s">
        <v>847</v>
      </c>
      <c r="N2322" t="s">
        <v>688</v>
      </c>
      <c r="O2322" t="s">
        <v>689</v>
      </c>
      <c r="P2322" t="s">
        <v>690</v>
      </c>
      <c r="R2322" t="s">
        <v>691</v>
      </c>
      <c r="T2322" t="s">
        <v>692</v>
      </c>
      <c r="U2322" t="s">
        <v>149</v>
      </c>
      <c r="V2322" t="s">
        <v>110</v>
      </c>
      <c r="W2322" t="s">
        <v>693</v>
      </c>
      <c r="X2322" t="s">
        <v>694</v>
      </c>
      <c r="Y2322" t="s">
        <v>119</v>
      </c>
    </row>
    <row r="2323" spans="1:25">
      <c r="A2323">
        <v>10297</v>
      </c>
      <c r="B2323">
        <v>28</v>
      </c>
      <c r="C2323">
        <v>79.8</v>
      </c>
      <c r="D2323">
        <v>7</v>
      </c>
      <c r="E2323">
        <v>2234.4</v>
      </c>
      <c r="F2323" t="s">
        <v>767</v>
      </c>
      <c r="G2323" t="s">
        <v>93</v>
      </c>
      <c r="H2323">
        <v>3</v>
      </c>
      <c r="I2323">
        <v>9</v>
      </c>
      <c r="J2323">
        <v>2004</v>
      </c>
      <c r="K2323" t="s">
        <v>697</v>
      </c>
      <c r="L2323">
        <v>68</v>
      </c>
      <c r="M2323" t="s">
        <v>847</v>
      </c>
      <c r="N2323" t="s">
        <v>609</v>
      </c>
      <c r="O2323" t="s">
        <v>610</v>
      </c>
      <c r="P2323" t="s">
        <v>611</v>
      </c>
      <c r="Q2323" t="s">
        <v>612</v>
      </c>
      <c r="R2323" t="s">
        <v>613</v>
      </c>
      <c r="T2323">
        <v>2</v>
      </c>
      <c r="U2323" t="s">
        <v>614</v>
      </c>
      <c r="V2323" t="s">
        <v>110</v>
      </c>
      <c r="W2323" t="s">
        <v>615</v>
      </c>
      <c r="X2323" t="s">
        <v>616</v>
      </c>
      <c r="Y2323" t="s">
        <v>104</v>
      </c>
    </row>
    <row r="2324" spans="1:25">
      <c r="A2324">
        <v>10308</v>
      </c>
      <c r="B2324">
        <v>46</v>
      </c>
      <c r="C2324">
        <v>66.040000000000006</v>
      </c>
      <c r="D2324">
        <v>10</v>
      </c>
      <c r="E2324">
        <v>3037.84</v>
      </c>
      <c r="F2324" t="s">
        <v>211</v>
      </c>
      <c r="G2324" t="s">
        <v>93</v>
      </c>
      <c r="H2324">
        <v>4</v>
      </c>
      <c r="I2324">
        <v>10</v>
      </c>
      <c r="J2324">
        <v>2004</v>
      </c>
      <c r="K2324" t="s">
        <v>697</v>
      </c>
      <c r="L2324">
        <v>68</v>
      </c>
      <c r="M2324" t="s">
        <v>847</v>
      </c>
      <c r="N2324" t="s">
        <v>419</v>
      </c>
      <c r="O2324">
        <v>9145554562</v>
      </c>
      <c r="P2324" t="s">
        <v>420</v>
      </c>
      <c r="R2324" t="s">
        <v>421</v>
      </c>
      <c r="S2324" t="s">
        <v>99</v>
      </c>
      <c r="T2324">
        <v>24067</v>
      </c>
      <c r="U2324" t="s">
        <v>100</v>
      </c>
      <c r="V2324" t="s">
        <v>101</v>
      </c>
      <c r="W2324" t="s">
        <v>175</v>
      </c>
      <c r="X2324" t="s">
        <v>329</v>
      </c>
      <c r="Y2324" t="s">
        <v>119</v>
      </c>
    </row>
    <row r="2325" spans="1:25">
      <c r="A2325">
        <v>10316</v>
      </c>
      <c r="B2325">
        <v>24</v>
      </c>
      <c r="C2325">
        <v>59.16</v>
      </c>
      <c r="D2325">
        <v>2</v>
      </c>
      <c r="E2325">
        <v>1419.84</v>
      </c>
      <c r="F2325" s="4">
        <v>37997</v>
      </c>
      <c r="G2325" t="s">
        <v>93</v>
      </c>
      <c r="H2325">
        <v>4</v>
      </c>
      <c r="I2325">
        <v>11</v>
      </c>
      <c r="J2325">
        <v>2004</v>
      </c>
      <c r="K2325" t="s">
        <v>697</v>
      </c>
      <c r="L2325">
        <v>68</v>
      </c>
      <c r="M2325" t="s">
        <v>847</v>
      </c>
      <c r="N2325" t="s">
        <v>495</v>
      </c>
      <c r="O2325" t="s">
        <v>496</v>
      </c>
      <c r="P2325" t="s">
        <v>497</v>
      </c>
      <c r="R2325" t="s">
        <v>498</v>
      </c>
      <c r="S2325" t="s">
        <v>499</v>
      </c>
      <c r="T2325" t="s">
        <v>500</v>
      </c>
      <c r="U2325" t="s">
        <v>252</v>
      </c>
      <c r="V2325" t="s">
        <v>110</v>
      </c>
      <c r="W2325" t="s">
        <v>501</v>
      </c>
      <c r="X2325" t="s">
        <v>502</v>
      </c>
      <c r="Y2325" t="s">
        <v>104</v>
      </c>
    </row>
    <row r="2326" spans="1:25">
      <c r="A2326">
        <v>10328</v>
      </c>
      <c r="B2326">
        <v>24</v>
      </c>
      <c r="C2326">
        <v>81.17</v>
      </c>
      <c r="D2326">
        <v>5</v>
      </c>
      <c r="E2326">
        <v>1948.08</v>
      </c>
      <c r="F2326" s="4">
        <v>38332</v>
      </c>
      <c r="G2326" t="s">
        <v>93</v>
      </c>
      <c r="H2326">
        <v>4</v>
      </c>
      <c r="I2326">
        <v>11</v>
      </c>
      <c r="J2326">
        <v>2004</v>
      </c>
      <c r="K2326" t="s">
        <v>697</v>
      </c>
      <c r="L2326">
        <v>68</v>
      </c>
      <c r="M2326" t="s">
        <v>847</v>
      </c>
      <c r="N2326" t="s">
        <v>703</v>
      </c>
      <c r="O2326" t="s">
        <v>704</v>
      </c>
      <c r="P2326" t="s">
        <v>705</v>
      </c>
      <c r="R2326" t="s">
        <v>706</v>
      </c>
      <c r="T2326">
        <v>24100</v>
      </c>
      <c r="U2326" t="s">
        <v>352</v>
      </c>
      <c r="V2326" t="s">
        <v>110</v>
      </c>
      <c r="W2326" t="s">
        <v>707</v>
      </c>
      <c r="X2326" t="s">
        <v>708</v>
      </c>
      <c r="Y2326" t="s">
        <v>104</v>
      </c>
    </row>
    <row r="2327" spans="1:25">
      <c r="A2327">
        <v>10340</v>
      </c>
      <c r="B2327">
        <v>39</v>
      </c>
      <c r="C2327">
        <v>59.16</v>
      </c>
      <c r="D2327">
        <v>3</v>
      </c>
      <c r="E2327">
        <v>2307.2399999999998</v>
      </c>
      <c r="F2327" t="s">
        <v>224</v>
      </c>
      <c r="G2327" t="s">
        <v>93</v>
      </c>
      <c r="H2327">
        <v>4</v>
      </c>
      <c r="I2327">
        <v>11</v>
      </c>
      <c r="J2327">
        <v>2004</v>
      </c>
      <c r="K2327" t="s">
        <v>697</v>
      </c>
      <c r="L2327">
        <v>68</v>
      </c>
      <c r="M2327" t="s">
        <v>847</v>
      </c>
      <c r="N2327" t="s">
        <v>459</v>
      </c>
      <c r="O2327" t="s">
        <v>460</v>
      </c>
      <c r="P2327" t="s">
        <v>461</v>
      </c>
      <c r="R2327" t="s">
        <v>462</v>
      </c>
      <c r="T2327">
        <v>8022</v>
      </c>
      <c r="U2327" t="s">
        <v>261</v>
      </c>
      <c r="V2327" t="s">
        <v>110</v>
      </c>
      <c r="W2327" t="s">
        <v>463</v>
      </c>
      <c r="X2327" t="s">
        <v>464</v>
      </c>
      <c r="Y2327" t="s">
        <v>104</v>
      </c>
    </row>
    <row r="2328" spans="1:25">
      <c r="A2328">
        <v>10353</v>
      </c>
      <c r="B2328">
        <v>40</v>
      </c>
      <c r="C2328">
        <v>44.51</v>
      </c>
      <c r="D2328">
        <v>7</v>
      </c>
      <c r="E2328">
        <v>1780.4</v>
      </c>
      <c r="F2328" s="4">
        <v>38089</v>
      </c>
      <c r="G2328" t="s">
        <v>93</v>
      </c>
      <c r="H2328">
        <v>4</v>
      </c>
      <c r="I2328">
        <v>12</v>
      </c>
      <c r="J2328">
        <v>2004</v>
      </c>
      <c r="K2328" t="s">
        <v>697</v>
      </c>
      <c r="L2328">
        <v>68</v>
      </c>
      <c r="M2328" t="s">
        <v>847</v>
      </c>
      <c r="N2328" t="s">
        <v>729</v>
      </c>
      <c r="O2328">
        <v>2035554407</v>
      </c>
      <c r="P2328" t="s">
        <v>730</v>
      </c>
      <c r="R2328" t="s">
        <v>656</v>
      </c>
      <c r="S2328" t="s">
        <v>187</v>
      </c>
      <c r="T2328">
        <v>97561</v>
      </c>
      <c r="U2328" t="s">
        <v>100</v>
      </c>
      <c r="V2328" t="s">
        <v>101</v>
      </c>
      <c r="W2328" t="s">
        <v>731</v>
      </c>
      <c r="X2328" t="s">
        <v>732</v>
      </c>
      <c r="Y2328" t="s">
        <v>104</v>
      </c>
    </row>
    <row r="2329" spans="1:25">
      <c r="A2329">
        <v>10361</v>
      </c>
      <c r="B2329">
        <v>49</v>
      </c>
      <c r="C2329">
        <v>72.33</v>
      </c>
      <c r="D2329">
        <v>2</v>
      </c>
      <c r="E2329">
        <v>3544.17</v>
      </c>
      <c r="F2329" t="s">
        <v>233</v>
      </c>
      <c r="G2329" t="s">
        <v>93</v>
      </c>
      <c r="H2329">
        <v>4</v>
      </c>
      <c r="I2329">
        <v>12</v>
      </c>
      <c r="J2329">
        <v>2004</v>
      </c>
      <c r="K2329" t="s">
        <v>697</v>
      </c>
      <c r="L2329">
        <v>68</v>
      </c>
      <c r="M2329" t="s">
        <v>847</v>
      </c>
      <c r="N2329" t="s">
        <v>234</v>
      </c>
      <c r="O2329" t="s">
        <v>235</v>
      </c>
      <c r="P2329" t="s">
        <v>236</v>
      </c>
      <c r="Q2329" t="s">
        <v>237</v>
      </c>
      <c r="R2329" t="s">
        <v>238</v>
      </c>
      <c r="S2329" t="s">
        <v>239</v>
      </c>
      <c r="T2329">
        <v>2067</v>
      </c>
      <c r="U2329" t="s">
        <v>168</v>
      </c>
      <c r="V2329" t="s">
        <v>169</v>
      </c>
      <c r="W2329" t="s">
        <v>240</v>
      </c>
      <c r="X2329" t="s">
        <v>241</v>
      </c>
      <c r="Y2329" t="s">
        <v>119</v>
      </c>
    </row>
    <row r="2330" spans="1:25">
      <c r="A2330">
        <v>10375</v>
      </c>
      <c r="B2330">
        <v>44</v>
      </c>
      <c r="C2330">
        <v>82.26</v>
      </c>
      <c r="D2330">
        <v>4</v>
      </c>
      <c r="E2330">
        <v>3619.44</v>
      </c>
      <c r="F2330" s="4">
        <v>38413</v>
      </c>
      <c r="G2330" t="s">
        <v>93</v>
      </c>
      <c r="H2330">
        <v>1</v>
      </c>
      <c r="I2330">
        <v>2</v>
      </c>
      <c r="J2330">
        <v>2005</v>
      </c>
      <c r="K2330" t="s">
        <v>697</v>
      </c>
      <c r="L2330">
        <v>68</v>
      </c>
      <c r="M2330" t="s">
        <v>847</v>
      </c>
      <c r="N2330" t="s">
        <v>190</v>
      </c>
      <c r="O2330" t="s">
        <v>191</v>
      </c>
      <c r="P2330" t="s">
        <v>192</v>
      </c>
      <c r="R2330" t="s">
        <v>193</v>
      </c>
      <c r="T2330">
        <v>44000</v>
      </c>
      <c r="U2330" t="s">
        <v>109</v>
      </c>
      <c r="V2330" t="s">
        <v>110</v>
      </c>
      <c r="W2330" t="s">
        <v>194</v>
      </c>
      <c r="X2330" t="s">
        <v>195</v>
      </c>
      <c r="Y2330" t="s">
        <v>119</v>
      </c>
    </row>
    <row r="2331" spans="1:25">
      <c r="A2331">
        <v>10388</v>
      </c>
      <c r="B2331">
        <v>35</v>
      </c>
      <c r="C2331">
        <v>100</v>
      </c>
      <c r="D2331">
        <v>8</v>
      </c>
      <c r="E2331">
        <v>3918.95</v>
      </c>
      <c r="F2331" s="4">
        <v>38414</v>
      </c>
      <c r="G2331" t="s">
        <v>93</v>
      </c>
      <c r="H2331">
        <v>1</v>
      </c>
      <c r="I2331">
        <v>3</v>
      </c>
      <c r="J2331">
        <v>2005</v>
      </c>
      <c r="K2331" t="s">
        <v>697</v>
      </c>
      <c r="L2331">
        <v>68</v>
      </c>
      <c r="M2331" t="s">
        <v>847</v>
      </c>
      <c r="N2331" t="s">
        <v>242</v>
      </c>
      <c r="O2331">
        <v>5085552555</v>
      </c>
      <c r="P2331" t="s">
        <v>243</v>
      </c>
      <c r="R2331" t="s">
        <v>244</v>
      </c>
      <c r="S2331" t="s">
        <v>200</v>
      </c>
      <c r="T2331">
        <v>50553</v>
      </c>
      <c r="U2331" t="s">
        <v>100</v>
      </c>
      <c r="V2331" t="s">
        <v>101</v>
      </c>
      <c r="W2331" t="s">
        <v>245</v>
      </c>
      <c r="X2331" t="s">
        <v>246</v>
      </c>
      <c r="Y2331" t="s">
        <v>119</v>
      </c>
    </row>
    <row r="2332" spans="1:25">
      <c r="A2332">
        <v>10398</v>
      </c>
      <c r="B2332">
        <v>22</v>
      </c>
      <c r="C2332">
        <v>67.41</v>
      </c>
      <c r="D2332">
        <v>4</v>
      </c>
      <c r="E2332">
        <v>1483.02</v>
      </c>
      <c r="F2332" t="s">
        <v>750</v>
      </c>
      <c r="G2332" t="s">
        <v>93</v>
      </c>
      <c r="H2332">
        <v>1</v>
      </c>
      <c r="I2332">
        <v>3</v>
      </c>
      <c r="J2332">
        <v>2005</v>
      </c>
      <c r="K2332" t="s">
        <v>697</v>
      </c>
      <c r="L2332">
        <v>68</v>
      </c>
      <c r="M2332" t="s">
        <v>847</v>
      </c>
      <c r="N2332" t="s">
        <v>105</v>
      </c>
      <c r="O2332" t="s">
        <v>106</v>
      </c>
      <c r="P2332" t="s">
        <v>107</v>
      </c>
      <c r="R2332" t="s">
        <v>108</v>
      </c>
      <c r="T2332">
        <v>51100</v>
      </c>
      <c r="U2332" t="s">
        <v>109</v>
      </c>
      <c r="V2332" t="s">
        <v>110</v>
      </c>
      <c r="W2332" t="s">
        <v>111</v>
      </c>
      <c r="X2332" t="s">
        <v>112</v>
      </c>
      <c r="Y2332" t="s">
        <v>104</v>
      </c>
    </row>
    <row r="2333" spans="1:25">
      <c r="A2333">
        <v>10401</v>
      </c>
      <c r="B2333">
        <v>62</v>
      </c>
      <c r="C2333">
        <v>77.73</v>
      </c>
      <c r="D2333">
        <v>6</v>
      </c>
      <c r="E2333">
        <v>4819.26</v>
      </c>
      <c r="F2333" s="4">
        <v>38415</v>
      </c>
      <c r="G2333" t="s">
        <v>518</v>
      </c>
      <c r="H2333">
        <v>2</v>
      </c>
      <c r="I2333">
        <v>4</v>
      </c>
      <c r="J2333">
        <v>2005</v>
      </c>
      <c r="K2333" t="s">
        <v>697</v>
      </c>
      <c r="L2333">
        <v>68</v>
      </c>
      <c r="M2333" t="s">
        <v>847</v>
      </c>
      <c r="N2333" t="s">
        <v>178</v>
      </c>
      <c r="O2333">
        <v>2015559350</v>
      </c>
      <c r="P2333" t="s">
        <v>179</v>
      </c>
      <c r="R2333" t="s">
        <v>180</v>
      </c>
      <c r="S2333" t="s">
        <v>181</v>
      </c>
      <c r="T2333">
        <v>94019</v>
      </c>
      <c r="U2333" t="s">
        <v>100</v>
      </c>
      <c r="V2333" t="s">
        <v>101</v>
      </c>
      <c r="W2333" t="s">
        <v>130</v>
      </c>
      <c r="X2333" t="s">
        <v>182</v>
      </c>
      <c r="Y2333" t="s">
        <v>119</v>
      </c>
    </row>
    <row r="2334" spans="1:25">
      <c r="A2334">
        <v>10416</v>
      </c>
      <c r="B2334">
        <v>26</v>
      </c>
      <c r="C2334">
        <v>61.22</v>
      </c>
      <c r="D2334">
        <v>7</v>
      </c>
      <c r="E2334">
        <v>1591.72</v>
      </c>
      <c r="F2334" s="4">
        <v>38630</v>
      </c>
      <c r="G2334" t="s">
        <v>93</v>
      </c>
      <c r="H2334">
        <v>2</v>
      </c>
      <c r="I2334">
        <v>5</v>
      </c>
      <c r="J2334">
        <v>2005</v>
      </c>
      <c r="K2334" t="s">
        <v>697</v>
      </c>
      <c r="L2334">
        <v>68</v>
      </c>
      <c r="M2334" t="s">
        <v>847</v>
      </c>
      <c r="N2334" t="s">
        <v>576</v>
      </c>
      <c r="O2334" t="s">
        <v>577</v>
      </c>
      <c r="P2334" t="s">
        <v>578</v>
      </c>
      <c r="R2334" t="s">
        <v>579</v>
      </c>
      <c r="T2334">
        <v>42100</v>
      </c>
      <c r="U2334" t="s">
        <v>352</v>
      </c>
      <c r="V2334" t="s">
        <v>110</v>
      </c>
      <c r="W2334" t="s">
        <v>580</v>
      </c>
      <c r="X2334" t="s">
        <v>581</v>
      </c>
      <c r="Y2334" t="s">
        <v>104</v>
      </c>
    </row>
    <row r="2335" spans="1:25">
      <c r="A2335">
        <v>10108</v>
      </c>
      <c r="B2335">
        <v>31</v>
      </c>
      <c r="C2335">
        <v>100</v>
      </c>
      <c r="D2335">
        <v>16</v>
      </c>
      <c r="E2335">
        <v>3669.78</v>
      </c>
      <c r="F2335" s="4">
        <v>37683</v>
      </c>
      <c r="G2335" t="s">
        <v>93</v>
      </c>
      <c r="H2335">
        <v>1</v>
      </c>
      <c r="I2335">
        <v>3</v>
      </c>
      <c r="J2335">
        <v>2003</v>
      </c>
      <c r="K2335" t="s">
        <v>94</v>
      </c>
      <c r="L2335">
        <v>102</v>
      </c>
      <c r="M2335" t="s">
        <v>849</v>
      </c>
      <c r="N2335" t="s">
        <v>547</v>
      </c>
      <c r="O2335" t="s">
        <v>548</v>
      </c>
      <c r="P2335" t="s">
        <v>549</v>
      </c>
      <c r="R2335" t="s">
        <v>550</v>
      </c>
      <c r="T2335" t="s">
        <v>551</v>
      </c>
      <c r="U2335" t="s">
        <v>552</v>
      </c>
      <c r="V2335" t="s">
        <v>288</v>
      </c>
      <c r="W2335" t="s">
        <v>553</v>
      </c>
      <c r="X2335" t="s">
        <v>554</v>
      </c>
      <c r="Y2335" t="s">
        <v>119</v>
      </c>
    </row>
    <row r="2336" spans="1:25">
      <c r="A2336">
        <v>10121</v>
      </c>
      <c r="B2336">
        <v>25</v>
      </c>
      <c r="C2336">
        <v>86.74</v>
      </c>
      <c r="D2336">
        <v>3</v>
      </c>
      <c r="E2336">
        <v>2168.5</v>
      </c>
      <c r="F2336" s="4">
        <v>37807</v>
      </c>
      <c r="G2336" t="s">
        <v>93</v>
      </c>
      <c r="H2336">
        <v>2</v>
      </c>
      <c r="I2336">
        <v>5</v>
      </c>
      <c r="J2336">
        <v>2003</v>
      </c>
      <c r="K2336" t="s">
        <v>94</v>
      </c>
      <c r="L2336">
        <v>102</v>
      </c>
      <c r="M2336" t="s">
        <v>849</v>
      </c>
      <c r="N2336" t="s">
        <v>105</v>
      </c>
      <c r="O2336" t="s">
        <v>106</v>
      </c>
      <c r="P2336" t="s">
        <v>107</v>
      </c>
      <c r="R2336" t="s">
        <v>108</v>
      </c>
      <c r="T2336">
        <v>51100</v>
      </c>
      <c r="U2336" t="s">
        <v>109</v>
      </c>
      <c r="V2336" t="s">
        <v>110</v>
      </c>
      <c r="W2336" t="s">
        <v>111</v>
      </c>
      <c r="X2336" t="s">
        <v>112</v>
      </c>
      <c r="Y2336" t="s">
        <v>104</v>
      </c>
    </row>
    <row r="2337" spans="1:25">
      <c r="A2337">
        <v>10135</v>
      </c>
      <c r="B2337">
        <v>30</v>
      </c>
      <c r="C2337">
        <v>89.8</v>
      </c>
      <c r="D2337">
        <v>17</v>
      </c>
      <c r="E2337">
        <v>2694</v>
      </c>
      <c r="F2337" s="4">
        <v>37659</v>
      </c>
      <c r="G2337" t="s">
        <v>93</v>
      </c>
      <c r="H2337">
        <v>3</v>
      </c>
      <c r="I2337">
        <v>7</v>
      </c>
      <c r="J2337">
        <v>2003</v>
      </c>
      <c r="K2337" t="s">
        <v>94</v>
      </c>
      <c r="L2337">
        <v>102</v>
      </c>
      <c r="M2337" t="s">
        <v>849</v>
      </c>
      <c r="N2337" t="s">
        <v>367</v>
      </c>
      <c r="O2337">
        <v>4155551450</v>
      </c>
      <c r="P2337" t="s">
        <v>368</v>
      </c>
      <c r="R2337" t="s">
        <v>369</v>
      </c>
      <c r="S2337" t="s">
        <v>124</v>
      </c>
      <c r="T2337">
        <v>97562</v>
      </c>
      <c r="U2337" t="s">
        <v>100</v>
      </c>
      <c r="V2337" t="s">
        <v>101</v>
      </c>
      <c r="W2337" t="s">
        <v>370</v>
      </c>
      <c r="X2337" t="s">
        <v>371</v>
      </c>
      <c r="Y2337" t="s">
        <v>104</v>
      </c>
    </row>
    <row r="2338" spans="1:25">
      <c r="A2338">
        <v>10145</v>
      </c>
      <c r="B2338">
        <v>27</v>
      </c>
      <c r="C2338">
        <v>100</v>
      </c>
      <c r="D2338">
        <v>4</v>
      </c>
      <c r="E2338">
        <v>3251.34</v>
      </c>
      <c r="F2338" t="s">
        <v>120</v>
      </c>
      <c r="G2338" t="s">
        <v>93</v>
      </c>
      <c r="H2338">
        <v>3</v>
      </c>
      <c r="I2338">
        <v>8</v>
      </c>
      <c r="J2338">
        <v>2003</v>
      </c>
      <c r="K2338" t="s">
        <v>94</v>
      </c>
      <c r="L2338">
        <v>102</v>
      </c>
      <c r="M2338" t="s">
        <v>849</v>
      </c>
      <c r="N2338" t="s">
        <v>121</v>
      </c>
      <c r="O2338">
        <v>6265557265</v>
      </c>
      <c r="P2338" t="s">
        <v>122</v>
      </c>
      <c r="R2338" t="s">
        <v>123</v>
      </c>
      <c r="S2338" t="s">
        <v>124</v>
      </c>
      <c r="T2338">
        <v>90003</v>
      </c>
      <c r="U2338" t="s">
        <v>100</v>
      </c>
      <c r="V2338" t="s">
        <v>101</v>
      </c>
      <c r="W2338" t="s">
        <v>125</v>
      </c>
      <c r="X2338" t="s">
        <v>126</v>
      </c>
      <c r="Y2338" t="s">
        <v>119</v>
      </c>
    </row>
    <row r="2339" spans="1:25">
      <c r="A2339">
        <v>10159</v>
      </c>
      <c r="B2339">
        <v>23</v>
      </c>
      <c r="C2339">
        <v>100</v>
      </c>
      <c r="D2339">
        <v>12</v>
      </c>
      <c r="E2339">
        <v>2347.15</v>
      </c>
      <c r="F2339" s="4">
        <v>37904</v>
      </c>
      <c r="G2339" t="s">
        <v>93</v>
      </c>
      <c r="H2339">
        <v>4</v>
      </c>
      <c r="I2339">
        <v>10</v>
      </c>
      <c r="J2339">
        <v>2003</v>
      </c>
      <c r="K2339" t="s">
        <v>94</v>
      </c>
      <c r="L2339">
        <v>102</v>
      </c>
      <c r="M2339" t="s">
        <v>849</v>
      </c>
      <c r="N2339" t="s">
        <v>127</v>
      </c>
      <c r="O2339">
        <v>6505551386</v>
      </c>
      <c r="P2339" t="s">
        <v>128</v>
      </c>
      <c r="R2339" t="s">
        <v>129</v>
      </c>
      <c r="S2339" t="s">
        <v>124</v>
      </c>
      <c r="U2339" t="s">
        <v>100</v>
      </c>
      <c r="V2339" t="s">
        <v>101</v>
      </c>
      <c r="W2339" t="s">
        <v>130</v>
      </c>
      <c r="X2339" t="s">
        <v>126</v>
      </c>
      <c r="Y2339" t="s">
        <v>104</v>
      </c>
    </row>
    <row r="2340" spans="1:25">
      <c r="A2340">
        <v>10169</v>
      </c>
      <c r="B2340">
        <v>34</v>
      </c>
      <c r="C2340">
        <v>100</v>
      </c>
      <c r="D2340">
        <v>12</v>
      </c>
      <c r="E2340">
        <v>3920.88</v>
      </c>
      <c r="F2340" s="4">
        <v>37722</v>
      </c>
      <c r="G2340" t="s">
        <v>93</v>
      </c>
      <c r="H2340">
        <v>4</v>
      </c>
      <c r="I2340">
        <v>11</v>
      </c>
      <c r="J2340">
        <v>2003</v>
      </c>
      <c r="K2340" t="s">
        <v>94</v>
      </c>
      <c r="L2340">
        <v>102</v>
      </c>
      <c r="M2340" t="s">
        <v>849</v>
      </c>
      <c r="N2340" t="s">
        <v>384</v>
      </c>
      <c r="O2340" t="s">
        <v>385</v>
      </c>
      <c r="P2340" t="s">
        <v>386</v>
      </c>
      <c r="Q2340" t="s">
        <v>387</v>
      </c>
      <c r="R2340" t="s">
        <v>388</v>
      </c>
      <c r="S2340" t="s">
        <v>239</v>
      </c>
      <c r="T2340">
        <v>2060</v>
      </c>
      <c r="U2340" t="s">
        <v>168</v>
      </c>
      <c r="V2340" t="s">
        <v>169</v>
      </c>
      <c r="W2340" t="s">
        <v>389</v>
      </c>
      <c r="X2340" t="s">
        <v>390</v>
      </c>
      <c r="Y2340" t="s">
        <v>119</v>
      </c>
    </row>
    <row r="2341" spans="1:25">
      <c r="A2341">
        <v>10180</v>
      </c>
      <c r="B2341">
        <v>22</v>
      </c>
      <c r="C2341">
        <v>100</v>
      </c>
      <c r="D2341">
        <v>7</v>
      </c>
      <c r="E2341">
        <v>2514.6</v>
      </c>
      <c r="F2341" s="4">
        <v>37936</v>
      </c>
      <c r="G2341" t="s">
        <v>93</v>
      </c>
      <c r="H2341">
        <v>4</v>
      </c>
      <c r="I2341">
        <v>11</v>
      </c>
      <c r="J2341">
        <v>2003</v>
      </c>
      <c r="K2341" t="s">
        <v>94</v>
      </c>
      <c r="L2341">
        <v>102</v>
      </c>
      <c r="M2341" t="s">
        <v>849</v>
      </c>
      <c r="N2341" t="s">
        <v>137</v>
      </c>
      <c r="O2341" t="s">
        <v>138</v>
      </c>
      <c r="P2341" t="s">
        <v>139</v>
      </c>
      <c r="R2341" t="s">
        <v>140</v>
      </c>
      <c r="T2341">
        <v>59000</v>
      </c>
      <c r="U2341" t="s">
        <v>109</v>
      </c>
      <c r="V2341" t="s">
        <v>110</v>
      </c>
      <c r="W2341" t="s">
        <v>141</v>
      </c>
      <c r="X2341" t="s">
        <v>142</v>
      </c>
      <c r="Y2341" t="s">
        <v>104</v>
      </c>
    </row>
    <row r="2342" spans="1:25">
      <c r="A2342">
        <v>10190</v>
      </c>
      <c r="B2342">
        <v>42</v>
      </c>
      <c r="C2342">
        <v>85.72</v>
      </c>
      <c r="D2342">
        <v>4</v>
      </c>
      <c r="E2342">
        <v>3600.24</v>
      </c>
      <c r="F2342" t="s">
        <v>818</v>
      </c>
      <c r="G2342" t="s">
        <v>93</v>
      </c>
      <c r="H2342">
        <v>4</v>
      </c>
      <c r="I2342">
        <v>11</v>
      </c>
      <c r="J2342">
        <v>2003</v>
      </c>
      <c r="K2342" t="s">
        <v>94</v>
      </c>
      <c r="L2342">
        <v>102</v>
      </c>
      <c r="M2342" t="s">
        <v>849</v>
      </c>
      <c r="N2342" t="s">
        <v>257</v>
      </c>
      <c r="O2342" t="s">
        <v>258</v>
      </c>
      <c r="P2342" t="s">
        <v>259</v>
      </c>
      <c r="R2342" t="s">
        <v>260</v>
      </c>
      <c r="T2342">
        <v>28034</v>
      </c>
      <c r="U2342" t="s">
        <v>261</v>
      </c>
      <c r="V2342" t="s">
        <v>110</v>
      </c>
      <c r="W2342" t="s">
        <v>262</v>
      </c>
      <c r="X2342" t="s">
        <v>263</v>
      </c>
      <c r="Y2342" t="s">
        <v>119</v>
      </c>
    </row>
    <row r="2343" spans="1:25">
      <c r="A2343">
        <v>10211</v>
      </c>
      <c r="B2343">
        <v>37</v>
      </c>
      <c r="C2343">
        <v>100</v>
      </c>
      <c r="D2343">
        <v>12</v>
      </c>
      <c r="E2343">
        <v>4040.03</v>
      </c>
      <c r="F2343" t="s">
        <v>155</v>
      </c>
      <c r="G2343" t="s">
        <v>93</v>
      </c>
      <c r="H2343">
        <v>1</v>
      </c>
      <c r="I2343">
        <v>1</v>
      </c>
      <c r="J2343">
        <v>2004</v>
      </c>
      <c r="K2343" t="s">
        <v>94</v>
      </c>
      <c r="L2343">
        <v>102</v>
      </c>
      <c r="M2343" t="s">
        <v>849</v>
      </c>
      <c r="N2343" t="s">
        <v>156</v>
      </c>
      <c r="O2343" t="s">
        <v>157</v>
      </c>
      <c r="P2343" t="s">
        <v>158</v>
      </c>
      <c r="R2343" t="s">
        <v>116</v>
      </c>
      <c r="T2343">
        <v>75016</v>
      </c>
      <c r="U2343" t="s">
        <v>109</v>
      </c>
      <c r="V2343" t="s">
        <v>110</v>
      </c>
      <c r="W2343" t="s">
        <v>159</v>
      </c>
      <c r="X2343" t="s">
        <v>160</v>
      </c>
      <c r="Y2343" t="s">
        <v>119</v>
      </c>
    </row>
    <row r="2344" spans="1:25">
      <c r="A2344">
        <v>10224</v>
      </c>
      <c r="B2344">
        <v>30</v>
      </c>
      <c r="C2344">
        <v>100</v>
      </c>
      <c r="D2344">
        <v>5</v>
      </c>
      <c r="E2344">
        <v>3336.9</v>
      </c>
      <c r="F2344" t="s">
        <v>642</v>
      </c>
      <c r="G2344" t="s">
        <v>93</v>
      </c>
      <c r="H2344">
        <v>1</v>
      </c>
      <c r="I2344">
        <v>2</v>
      </c>
      <c r="J2344">
        <v>2004</v>
      </c>
      <c r="K2344" t="s">
        <v>94</v>
      </c>
      <c r="L2344">
        <v>102</v>
      </c>
      <c r="M2344" t="s">
        <v>849</v>
      </c>
      <c r="N2344" t="s">
        <v>137</v>
      </c>
      <c r="O2344" t="s">
        <v>138</v>
      </c>
      <c r="P2344" t="s">
        <v>139</v>
      </c>
      <c r="R2344" t="s">
        <v>140</v>
      </c>
      <c r="T2344">
        <v>59000</v>
      </c>
      <c r="U2344" t="s">
        <v>109</v>
      </c>
      <c r="V2344" t="s">
        <v>110</v>
      </c>
      <c r="W2344" t="s">
        <v>141</v>
      </c>
      <c r="X2344" t="s">
        <v>142</v>
      </c>
      <c r="Y2344" t="s">
        <v>119</v>
      </c>
    </row>
    <row r="2345" spans="1:25">
      <c r="A2345">
        <v>10237</v>
      </c>
      <c r="B2345">
        <v>27</v>
      </c>
      <c r="C2345">
        <v>100</v>
      </c>
      <c r="D2345">
        <v>5</v>
      </c>
      <c r="E2345">
        <v>3113.64</v>
      </c>
      <c r="F2345" s="4">
        <v>38111</v>
      </c>
      <c r="G2345" t="s">
        <v>93</v>
      </c>
      <c r="H2345">
        <v>2</v>
      </c>
      <c r="I2345">
        <v>4</v>
      </c>
      <c r="J2345">
        <v>2004</v>
      </c>
      <c r="K2345" t="s">
        <v>94</v>
      </c>
      <c r="L2345">
        <v>102</v>
      </c>
      <c r="M2345" t="s">
        <v>849</v>
      </c>
      <c r="N2345" t="s">
        <v>172</v>
      </c>
      <c r="O2345">
        <v>2125551500</v>
      </c>
      <c r="P2345" t="s">
        <v>173</v>
      </c>
      <c r="Q2345" t="s">
        <v>174</v>
      </c>
      <c r="R2345" t="s">
        <v>98</v>
      </c>
      <c r="S2345" t="s">
        <v>99</v>
      </c>
      <c r="T2345">
        <v>10022</v>
      </c>
      <c r="U2345" t="s">
        <v>100</v>
      </c>
      <c r="V2345" t="s">
        <v>101</v>
      </c>
      <c r="W2345" t="s">
        <v>175</v>
      </c>
      <c r="X2345" t="s">
        <v>176</v>
      </c>
      <c r="Y2345" t="s">
        <v>119</v>
      </c>
    </row>
    <row r="2346" spans="1:25">
      <c r="A2346">
        <v>10252</v>
      </c>
      <c r="B2346">
        <v>25</v>
      </c>
      <c r="C2346">
        <v>100</v>
      </c>
      <c r="D2346">
        <v>9</v>
      </c>
      <c r="E2346">
        <v>2832</v>
      </c>
      <c r="F2346" t="s">
        <v>788</v>
      </c>
      <c r="G2346" t="s">
        <v>93</v>
      </c>
      <c r="H2346">
        <v>2</v>
      </c>
      <c r="I2346">
        <v>5</v>
      </c>
      <c r="J2346">
        <v>2004</v>
      </c>
      <c r="K2346" t="s">
        <v>94</v>
      </c>
      <c r="L2346">
        <v>102</v>
      </c>
      <c r="M2346" t="s">
        <v>849</v>
      </c>
      <c r="N2346" t="s">
        <v>156</v>
      </c>
      <c r="O2346" t="s">
        <v>157</v>
      </c>
      <c r="P2346" t="s">
        <v>158</v>
      </c>
      <c r="R2346" t="s">
        <v>116</v>
      </c>
      <c r="T2346">
        <v>75016</v>
      </c>
      <c r="U2346" t="s">
        <v>109</v>
      </c>
      <c r="V2346" t="s">
        <v>110</v>
      </c>
      <c r="W2346" t="s">
        <v>159</v>
      </c>
      <c r="X2346" t="s">
        <v>160</v>
      </c>
      <c r="Y2346" t="s">
        <v>104</v>
      </c>
    </row>
    <row r="2347" spans="1:25">
      <c r="A2347">
        <v>10264</v>
      </c>
      <c r="B2347">
        <v>34</v>
      </c>
      <c r="C2347">
        <v>97.97</v>
      </c>
      <c r="D2347">
        <v>7</v>
      </c>
      <c r="E2347">
        <v>3330.98</v>
      </c>
      <c r="F2347" t="s">
        <v>794</v>
      </c>
      <c r="G2347" t="s">
        <v>93</v>
      </c>
      <c r="H2347">
        <v>2</v>
      </c>
      <c r="I2347">
        <v>6</v>
      </c>
      <c r="J2347">
        <v>2004</v>
      </c>
      <c r="K2347" t="s">
        <v>94</v>
      </c>
      <c r="L2347">
        <v>102</v>
      </c>
      <c r="M2347" t="s">
        <v>849</v>
      </c>
      <c r="N2347" t="s">
        <v>490</v>
      </c>
      <c r="O2347">
        <v>6175559555</v>
      </c>
      <c r="P2347" t="s">
        <v>491</v>
      </c>
      <c r="R2347" t="s">
        <v>492</v>
      </c>
      <c r="S2347" t="s">
        <v>200</v>
      </c>
      <c r="T2347">
        <v>51003</v>
      </c>
      <c r="U2347" t="s">
        <v>100</v>
      </c>
      <c r="V2347" t="s">
        <v>101</v>
      </c>
      <c r="W2347" t="s">
        <v>493</v>
      </c>
      <c r="X2347" t="s">
        <v>136</v>
      </c>
      <c r="Y2347" t="s">
        <v>119</v>
      </c>
    </row>
    <row r="2348" spans="1:25">
      <c r="A2348">
        <v>10276</v>
      </c>
      <c r="B2348">
        <v>38</v>
      </c>
      <c r="C2348">
        <v>100</v>
      </c>
      <c r="D2348">
        <v>13</v>
      </c>
      <c r="E2348">
        <v>4304.6400000000003</v>
      </c>
      <c r="F2348" s="4">
        <v>38025</v>
      </c>
      <c r="G2348" t="s">
        <v>93</v>
      </c>
      <c r="H2348">
        <v>3</v>
      </c>
      <c r="I2348">
        <v>8</v>
      </c>
      <c r="J2348">
        <v>2004</v>
      </c>
      <c r="K2348" t="s">
        <v>94</v>
      </c>
      <c r="L2348">
        <v>102</v>
      </c>
      <c r="M2348" t="s">
        <v>849</v>
      </c>
      <c r="N2348" t="s">
        <v>582</v>
      </c>
      <c r="O2348">
        <v>6175557555</v>
      </c>
      <c r="P2348" t="s">
        <v>583</v>
      </c>
      <c r="R2348" t="s">
        <v>381</v>
      </c>
      <c r="S2348" t="s">
        <v>200</v>
      </c>
      <c r="T2348">
        <v>58339</v>
      </c>
      <c r="U2348" t="s">
        <v>100</v>
      </c>
      <c r="V2348" t="s">
        <v>101</v>
      </c>
      <c r="W2348" t="s">
        <v>584</v>
      </c>
      <c r="X2348" t="s">
        <v>585</v>
      </c>
      <c r="Y2348" t="s">
        <v>119</v>
      </c>
    </row>
    <row r="2349" spans="1:25">
      <c r="A2349">
        <v>10285</v>
      </c>
      <c r="B2349">
        <v>26</v>
      </c>
      <c r="C2349">
        <v>100</v>
      </c>
      <c r="D2349">
        <v>4</v>
      </c>
      <c r="E2349">
        <v>2600.2600000000002</v>
      </c>
      <c r="F2349" t="s">
        <v>196</v>
      </c>
      <c r="G2349" t="s">
        <v>93</v>
      </c>
      <c r="H2349">
        <v>3</v>
      </c>
      <c r="I2349">
        <v>8</v>
      </c>
      <c r="J2349">
        <v>2004</v>
      </c>
      <c r="K2349" t="s">
        <v>94</v>
      </c>
      <c r="L2349">
        <v>102</v>
      </c>
      <c r="M2349" t="s">
        <v>849</v>
      </c>
      <c r="N2349" t="s">
        <v>197</v>
      </c>
      <c r="O2349">
        <v>6175558555</v>
      </c>
      <c r="P2349" t="s">
        <v>198</v>
      </c>
      <c r="R2349" t="s">
        <v>199</v>
      </c>
      <c r="S2349" t="s">
        <v>200</v>
      </c>
      <c r="T2349">
        <v>51247</v>
      </c>
      <c r="U2349" t="s">
        <v>100</v>
      </c>
      <c r="V2349" t="s">
        <v>101</v>
      </c>
      <c r="W2349" t="s">
        <v>201</v>
      </c>
      <c r="X2349" t="s">
        <v>202</v>
      </c>
      <c r="Y2349" t="s">
        <v>104</v>
      </c>
    </row>
    <row r="2350" spans="1:25">
      <c r="A2350">
        <v>10299</v>
      </c>
      <c r="B2350">
        <v>38</v>
      </c>
      <c r="C2350">
        <v>100</v>
      </c>
      <c r="D2350">
        <v>7</v>
      </c>
      <c r="E2350">
        <v>4382.16</v>
      </c>
      <c r="F2350" t="s">
        <v>203</v>
      </c>
      <c r="G2350" t="s">
        <v>93</v>
      </c>
      <c r="H2350">
        <v>3</v>
      </c>
      <c r="I2350">
        <v>9</v>
      </c>
      <c r="J2350">
        <v>2004</v>
      </c>
      <c r="K2350" t="s">
        <v>94</v>
      </c>
      <c r="L2350">
        <v>102</v>
      </c>
      <c r="M2350" t="s">
        <v>849</v>
      </c>
      <c r="N2350" t="s">
        <v>204</v>
      </c>
      <c r="O2350" t="s">
        <v>205</v>
      </c>
      <c r="P2350" t="s">
        <v>206</v>
      </c>
      <c r="R2350" t="s">
        <v>207</v>
      </c>
      <c r="T2350">
        <v>21240</v>
      </c>
      <c r="U2350" t="s">
        <v>208</v>
      </c>
      <c r="V2350" t="s">
        <v>110</v>
      </c>
      <c r="W2350" t="s">
        <v>209</v>
      </c>
      <c r="X2350" t="s">
        <v>210</v>
      </c>
      <c r="Y2350" t="s">
        <v>119</v>
      </c>
    </row>
    <row r="2351" spans="1:25">
      <c r="A2351">
        <v>10309</v>
      </c>
      <c r="B2351">
        <v>50</v>
      </c>
      <c r="C2351">
        <v>84.7</v>
      </c>
      <c r="D2351">
        <v>3</v>
      </c>
      <c r="E2351">
        <v>4235</v>
      </c>
      <c r="F2351" t="s">
        <v>211</v>
      </c>
      <c r="G2351" t="s">
        <v>93</v>
      </c>
      <c r="H2351">
        <v>4</v>
      </c>
      <c r="I2351">
        <v>10</v>
      </c>
      <c r="J2351">
        <v>2004</v>
      </c>
      <c r="K2351" t="s">
        <v>94</v>
      </c>
      <c r="L2351">
        <v>102</v>
      </c>
      <c r="M2351" t="s">
        <v>849</v>
      </c>
      <c r="N2351" t="s">
        <v>212</v>
      </c>
      <c r="O2351" t="s">
        <v>213</v>
      </c>
      <c r="P2351" t="s">
        <v>214</v>
      </c>
      <c r="R2351" t="s">
        <v>215</v>
      </c>
      <c r="T2351">
        <v>4110</v>
      </c>
      <c r="U2351" t="s">
        <v>149</v>
      </c>
      <c r="V2351" t="s">
        <v>110</v>
      </c>
      <c r="W2351" t="s">
        <v>216</v>
      </c>
      <c r="X2351" t="s">
        <v>217</v>
      </c>
      <c r="Y2351" t="s">
        <v>119</v>
      </c>
    </row>
    <row r="2352" spans="1:25">
      <c r="A2352">
        <v>10319</v>
      </c>
      <c r="B2352">
        <v>22</v>
      </c>
      <c r="C2352">
        <v>100</v>
      </c>
      <c r="D2352">
        <v>8</v>
      </c>
      <c r="E2352">
        <v>2626.8</v>
      </c>
      <c r="F2352" s="4">
        <v>38057</v>
      </c>
      <c r="G2352" t="s">
        <v>93</v>
      </c>
      <c r="H2352">
        <v>4</v>
      </c>
      <c r="I2352">
        <v>11</v>
      </c>
      <c r="J2352">
        <v>2004</v>
      </c>
      <c r="K2352" t="s">
        <v>94</v>
      </c>
      <c r="L2352">
        <v>102</v>
      </c>
      <c r="M2352" t="s">
        <v>849</v>
      </c>
      <c r="N2352" t="s">
        <v>643</v>
      </c>
      <c r="O2352">
        <v>2125551957</v>
      </c>
      <c r="P2352" t="s">
        <v>644</v>
      </c>
      <c r="Q2352" t="s">
        <v>645</v>
      </c>
      <c r="R2352" t="s">
        <v>98</v>
      </c>
      <c r="S2352" t="s">
        <v>99</v>
      </c>
      <c r="T2352">
        <v>10022</v>
      </c>
      <c r="U2352" t="s">
        <v>100</v>
      </c>
      <c r="V2352" t="s">
        <v>101</v>
      </c>
      <c r="W2352" t="s">
        <v>646</v>
      </c>
      <c r="X2352" t="s">
        <v>647</v>
      </c>
      <c r="Y2352" t="s">
        <v>104</v>
      </c>
    </row>
    <row r="2353" spans="1:25">
      <c r="A2353">
        <v>10331</v>
      </c>
      <c r="B2353">
        <v>32</v>
      </c>
      <c r="C2353">
        <v>100</v>
      </c>
      <c r="D2353">
        <v>4</v>
      </c>
      <c r="E2353">
        <v>5026.5600000000004</v>
      </c>
      <c r="F2353" t="s">
        <v>695</v>
      </c>
      <c r="G2353" t="s">
        <v>93</v>
      </c>
      <c r="H2353">
        <v>4</v>
      </c>
      <c r="I2353">
        <v>11</v>
      </c>
      <c r="J2353">
        <v>2004</v>
      </c>
      <c r="K2353" t="s">
        <v>94</v>
      </c>
      <c r="L2353">
        <v>102</v>
      </c>
      <c r="M2353" t="s">
        <v>849</v>
      </c>
      <c r="N2353" t="s">
        <v>410</v>
      </c>
      <c r="O2353">
        <v>2155559857</v>
      </c>
      <c r="P2353" t="s">
        <v>411</v>
      </c>
      <c r="R2353" t="s">
        <v>306</v>
      </c>
      <c r="S2353" t="s">
        <v>221</v>
      </c>
      <c r="T2353">
        <v>71270</v>
      </c>
      <c r="U2353" t="s">
        <v>100</v>
      </c>
      <c r="V2353" t="s">
        <v>101</v>
      </c>
      <c r="W2353" t="s">
        <v>201</v>
      </c>
      <c r="X2353" t="s">
        <v>412</v>
      </c>
      <c r="Y2353" t="s">
        <v>119</v>
      </c>
    </row>
    <row r="2354" spans="1:25">
      <c r="A2354">
        <v>10341</v>
      </c>
      <c r="B2354">
        <v>31</v>
      </c>
      <c r="C2354">
        <v>71.02</v>
      </c>
      <c r="D2354">
        <v>4</v>
      </c>
      <c r="E2354">
        <v>2201.62</v>
      </c>
      <c r="F2354" t="s">
        <v>224</v>
      </c>
      <c r="G2354" t="s">
        <v>93</v>
      </c>
      <c r="H2354">
        <v>4</v>
      </c>
      <c r="I2354">
        <v>11</v>
      </c>
      <c r="J2354">
        <v>2004</v>
      </c>
      <c r="K2354" t="s">
        <v>94</v>
      </c>
      <c r="L2354">
        <v>102</v>
      </c>
      <c r="M2354" t="s">
        <v>849</v>
      </c>
      <c r="N2354" t="s">
        <v>225</v>
      </c>
      <c r="O2354" t="s">
        <v>226</v>
      </c>
      <c r="P2354" t="s">
        <v>227</v>
      </c>
      <c r="R2354" t="s">
        <v>228</v>
      </c>
      <c r="T2354">
        <v>5020</v>
      </c>
      <c r="U2354" t="s">
        <v>229</v>
      </c>
      <c r="V2354" t="s">
        <v>110</v>
      </c>
      <c r="W2354" t="s">
        <v>230</v>
      </c>
      <c r="X2354" t="s">
        <v>231</v>
      </c>
      <c r="Y2354" t="s">
        <v>104</v>
      </c>
    </row>
    <row r="2355" spans="1:25">
      <c r="A2355">
        <v>10355</v>
      </c>
      <c r="B2355">
        <v>40</v>
      </c>
      <c r="C2355">
        <v>100</v>
      </c>
      <c r="D2355">
        <v>5</v>
      </c>
      <c r="E2355">
        <v>4326.8</v>
      </c>
      <c r="F2355" s="4">
        <v>38180</v>
      </c>
      <c r="G2355" t="s">
        <v>93</v>
      </c>
      <c r="H2355">
        <v>4</v>
      </c>
      <c r="I2355">
        <v>12</v>
      </c>
      <c r="J2355">
        <v>2004</v>
      </c>
      <c r="K2355" t="s">
        <v>94</v>
      </c>
      <c r="L2355">
        <v>102</v>
      </c>
      <c r="M2355" t="s">
        <v>849</v>
      </c>
      <c r="N2355" t="s">
        <v>257</v>
      </c>
      <c r="O2355" t="s">
        <v>258</v>
      </c>
      <c r="P2355" t="s">
        <v>259</v>
      </c>
      <c r="R2355" t="s">
        <v>260</v>
      </c>
      <c r="T2355">
        <v>28034</v>
      </c>
      <c r="U2355" t="s">
        <v>261</v>
      </c>
      <c r="V2355" t="s">
        <v>110</v>
      </c>
      <c r="W2355" t="s">
        <v>262</v>
      </c>
      <c r="X2355" t="s">
        <v>263</v>
      </c>
      <c r="Y2355" t="s">
        <v>119</v>
      </c>
    </row>
    <row r="2356" spans="1:25">
      <c r="A2356">
        <v>10365</v>
      </c>
      <c r="B2356">
        <v>22</v>
      </c>
      <c r="C2356">
        <v>100</v>
      </c>
      <c r="D2356">
        <v>3</v>
      </c>
      <c r="E2356">
        <v>3425.18</v>
      </c>
      <c r="F2356" s="4">
        <v>38534</v>
      </c>
      <c r="G2356" t="s">
        <v>93</v>
      </c>
      <c r="H2356">
        <v>1</v>
      </c>
      <c r="I2356">
        <v>1</v>
      </c>
      <c r="J2356">
        <v>2005</v>
      </c>
      <c r="K2356" t="s">
        <v>94</v>
      </c>
      <c r="L2356">
        <v>102</v>
      </c>
      <c r="M2356" t="s">
        <v>849</v>
      </c>
      <c r="N2356" t="s">
        <v>439</v>
      </c>
      <c r="O2356">
        <v>5085559555</v>
      </c>
      <c r="P2356" t="s">
        <v>440</v>
      </c>
      <c r="R2356" t="s">
        <v>244</v>
      </c>
      <c r="S2356" t="s">
        <v>200</v>
      </c>
      <c r="T2356">
        <v>50553</v>
      </c>
      <c r="U2356" t="s">
        <v>100</v>
      </c>
      <c r="V2356" t="s">
        <v>101</v>
      </c>
      <c r="W2356" t="s">
        <v>441</v>
      </c>
      <c r="X2356" t="s">
        <v>442</v>
      </c>
      <c r="Y2356" t="s">
        <v>119</v>
      </c>
    </row>
    <row r="2357" spans="1:25">
      <c r="A2357">
        <v>10375</v>
      </c>
      <c r="B2357">
        <v>41</v>
      </c>
      <c r="C2357">
        <v>100</v>
      </c>
      <c r="D2357">
        <v>15</v>
      </c>
      <c r="E2357">
        <v>4701.88</v>
      </c>
      <c r="F2357" s="4">
        <v>38413</v>
      </c>
      <c r="G2357" t="s">
        <v>93</v>
      </c>
      <c r="H2357">
        <v>1</v>
      </c>
      <c r="I2357">
        <v>2</v>
      </c>
      <c r="J2357">
        <v>2005</v>
      </c>
      <c r="K2357" t="s">
        <v>94</v>
      </c>
      <c r="L2357">
        <v>102</v>
      </c>
      <c r="M2357" t="s">
        <v>849</v>
      </c>
      <c r="N2357" t="s">
        <v>190</v>
      </c>
      <c r="O2357" t="s">
        <v>191</v>
      </c>
      <c r="P2357" t="s">
        <v>192</v>
      </c>
      <c r="R2357" t="s">
        <v>193</v>
      </c>
      <c r="T2357">
        <v>44000</v>
      </c>
      <c r="U2357" t="s">
        <v>109</v>
      </c>
      <c r="V2357" t="s">
        <v>110</v>
      </c>
      <c r="W2357" t="s">
        <v>194</v>
      </c>
      <c r="X2357" t="s">
        <v>195</v>
      </c>
      <c r="Y2357" t="s">
        <v>119</v>
      </c>
    </row>
    <row r="2358" spans="1:25">
      <c r="A2358">
        <v>10390</v>
      </c>
      <c r="B2358">
        <v>45</v>
      </c>
      <c r="C2358">
        <v>48.98</v>
      </c>
      <c r="D2358">
        <v>12</v>
      </c>
      <c r="E2358">
        <v>2204.1</v>
      </c>
      <c r="F2358" s="4">
        <v>38445</v>
      </c>
      <c r="G2358" t="s">
        <v>93</v>
      </c>
      <c r="H2358">
        <v>1</v>
      </c>
      <c r="I2358">
        <v>3</v>
      </c>
      <c r="J2358">
        <v>2005</v>
      </c>
      <c r="K2358" t="s">
        <v>94</v>
      </c>
      <c r="L2358">
        <v>102</v>
      </c>
      <c r="M2358" t="s">
        <v>849</v>
      </c>
      <c r="N2358" t="s">
        <v>367</v>
      </c>
      <c r="O2358">
        <v>4155551450</v>
      </c>
      <c r="P2358" t="s">
        <v>368</v>
      </c>
      <c r="R2358" t="s">
        <v>369</v>
      </c>
      <c r="S2358" t="s">
        <v>124</v>
      </c>
      <c r="T2358">
        <v>97562</v>
      </c>
      <c r="U2358" t="s">
        <v>100</v>
      </c>
      <c r="V2358" t="s">
        <v>101</v>
      </c>
      <c r="W2358" t="s">
        <v>370</v>
      </c>
      <c r="X2358" t="s">
        <v>371</v>
      </c>
      <c r="Y2358" t="s">
        <v>104</v>
      </c>
    </row>
    <row r="2359" spans="1:25">
      <c r="A2359">
        <v>10403</v>
      </c>
      <c r="B2359">
        <v>45</v>
      </c>
      <c r="C2359">
        <v>100</v>
      </c>
      <c r="D2359">
        <v>5</v>
      </c>
      <c r="E2359">
        <v>5189.3999999999996</v>
      </c>
      <c r="F2359" s="4">
        <v>38568</v>
      </c>
      <c r="G2359" t="s">
        <v>93</v>
      </c>
      <c r="H2359">
        <v>2</v>
      </c>
      <c r="I2359">
        <v>4</v>
      </c>
      <c r="J2359">
        <v>2005</v>
      </c>
      <c r="K2359" t="s">
        <v>94</v>
      </c>
      <c r="L2359">
        <v>102</v>
      </c>
      <c r="M2359" t="s">
        <v>849</v>
      </c>
      <c r="N2359" t="s">
        <v>247</v>
      </c>
      <c r="O2359" t="s">
        <v>248</v>
      </c>
      <c r="P2359" t="s">
        <v>249</v>
      </c>
      <c r="R2359" t="s">
        <v>250</v>
      </c>
      <c r="T2359" t="s">
        <v>251</v>
      </c>
      <c r="U2359" t="s">
        <v>252</v>
      </c>
      <c r="V2359" t="s">
        <v>110</v>
      </c>
      <c r="W2359" t="s">
        <v>253</v>
      </c>
      <c r="X2359" t="s">
        <v>254</v>
      </c>
      <c r="Y2359" t="s">
        <v>119</v>
      </c>
    </row>
    <row r="2360" spans="1:25">
      <c r="A2360">
        <v>10106</v>
      </c>
      <c r="B2360">
        <v>39</v>
      </c>
      <c r="C2360">
        <v>40.15</v>
      </c>
      <c r="D2360">
        <v>6</v>
      </c>
      <c r="E2360">
        <v>1565.85</v>
      </c>
      <c r="F2360" t="s">
        <v>725</v>
      </c>
      <c r="G2360" t="s">
        <v>93</v>
      </c>
      <c r="H2360">
        <v>1</v>
      </c>
      <c r="I2360">
        <v>2</v>
      </c>
      <c r="J2360">
        <v>2003</v>
      </c>
      <c r="K2360" t="s">
        <v>697</v>
      </c>
      <c r="L2360">
        <v>43</v>
      </c>
      <c r="M2360" t="s">
        <v>850</v>
      </c>
      <c r="N2360" t="s">
        <v>703</v>
      </c>
      <c r="O2360" t="s">
        <v>704</v>
      </c>
      <c r="P2360" t="s">
        <v>705</v>
      </c>
      <c r="R2360" t="s">
        <v>706</v>
      </c>
      <c r="T2360">
        <v>24100</v>
      </c>
      <c r="U2360" t="s">
        <v>352</v>
      </c>
      <c r="V2360" t="s">
        <v>110</v>
      </c>
      <c r="W2360" t="s">
        <v>707</v>
      </c>
      <c r="X2360" t="s">
        <v>708</v>
      </c>
      <c r="Y2360" t="s">
        <v>104</v>
      </c>
    </row>
    <row r="2361" spans="1:25">
      <c r="A2361">
        <v>10120</v>
      </c>
      <c r="B2361">
        <v>49</v>
      </c>
      <c r="C2361">
        <v>50.62</v>
      </c>
      <c r="D2361">
        <v>12</v>
      </c>
      <c r="E2361">
        <v>2480.38</v>
      </c>
      <c r="F2361" t="s">
        <v>402</v>
      </c>
      <c r="G2361" t="s">
        <v>93</v>
      </c>
      <c r="H2361">
        <v>2</v>
      </c>
      <c r="I2361">
        <v>4</v>
      </c>
      <c r="J2361">
        <v>2003</v>
      </c>
      <c r="K2361" t="s">
        <v>697</v>
      </c>
      <c r="L2361">
        <v>43</v>
      </c>
      <c r="M2361" t="s">
        <v>850</v>
      </c>
      <c r="N2361" t="s">
        <v>162</v>
      </c>
      <c r="O2361" t="s">
        <v>163</v>
      </c>
      <c r="P2361" t="s">
        <v>164</v>
      </c>
      <c r="Q2361" t="s">
        <v>165</v>
      </c>
      <c r="R2361" t="s">
        <v>166</v>
      </c>
      <c r="S2361" t="s">
        <v>167</v>
      </c>
      <c r="T2361">
        <v>3004</v>
      </c>
      <c r="U2361" t="s">
        <v>168</v>
      </c>
      <c r="V2361" t="s">
        <v>169</v>
      </c>
      <c r="W2361" t="s">
        <v>170</v>
      </c>
      <c r="X2361" t="s">
        <v>171</v>
      </c>
      <c r="Y2361" t="s">
        <v>104</v>
      </c>
    </row>
    <row r="2362" spans="1:25">
      <c r="A2362">
        <v>10133</v>
      </c>
      <c r="B2362">
        <v>27</v>
      </c>
      <c r="C2362">
        <v>50.19</v>
      </c>
      <c r="D2362">
        <v>7</v>
      </c>
      <c r="E2362">
        <v>1355.13</v>
      </c>
      <c r="F2362" t="s">
        <v>766</v>
      </c>
      <c r="G2362" t="s">
        <v>93</v>
      </c>
      <c r="H2362">
        <v>2</v>
      </c>
      <c r="I2362">
        <v>6</v>
      </c>
      <c r="J2362">
        <v>2003</v>
      </c>
      <c r="K2362" t="s">
        <v>697</v>
      </c>
      <c r="L2362">
        <v>43</v>
      </c>
      <c r="M2362" t="s">
        <v>850</v>
      </c>
      <c r="N2362" t="s">
        <v>257</v>
      </c>
      <c r="O2362" t="s">
        <v>258</v>
      </c>
      <c r="P2362" t="s">
        <v>259</v>
      </c>
      <c r="R2362" t="s">
        <v>260</v>
      </c>
      <c r="T2362">
        <v>28034</v>
      </c>
      <c r="U2362" t="s">
        <v>261</v>
      </c>
      <c r="V2362" t="s">
        <v>110</v>
      </c>
      <c r="W2362" t="s">
        <v>262</v>
      </c>
      <c r="X2362" t="s">
        <v>263</v>
      </c>
      <c r="Y2362" t="s">
        <v>104</v>
      </c>
    </row>
    <row r="2363" spans="1:25">
      <c r="A2363">
        <v>10143</v>
      </c>
      <c r="B2363">
        <v>34</v>
      </c>
      <c r="C2363">
        <v>36.659999999999997</v>
      </c>
      <c r="D2363">
        <v>1</v>
      </c>
      <c r="E2363">
        <v>1246.44</v>
      </c>
      <c r="F2363" s="4">
        <v>37902</v>
      </c>
      <c r="G2363" t="s">
        <v>93</v>
      </c>
      <c r="H2363">
        <v>3</v>
      </c>
      <c r="I2363">
        <v>8</v>
      </c>
      <c r="J2363">
        <v>2003</v>
      </c>
      <c r="K2363" t="s">
        <v>697</v>
      </c>
      <c r="L2363">
        <v>43</v>
      </c>
      <c r="M2363" t="s">
        <v>850</v>
      </c>
      <c r="N2363" t="s">
        <v>439</v>
      </c>
      <c r="O2363">
        <v>5085559555</v>
      </c>
      <c r="P2363" t="s">
        <v>440</v>
      </c>
      <c r="R2363" t="s">
        <v>244</v>
      </c>
      <c r="S2363" t="s">
        <v>200</v>
      </c>
      <c r="T2363">
        <v>50553</v>
      </c>
      <c r="U2363" t="s">
        <v>100</v>
      </c>
      <c r="V2363" t="s">
        <v>101</v>
      </c>
      <c r="W2363" t="s">
        <v>441</v>
      </c>
      <c r="X2363" t="s">
        <v>442</v>
      </c>
      <c r="Y2363" t="s">
        <v>104</v>
      </c>
    </row>
    <row r="2364" spans="1:25">
      <c r="A2364">
        <v>10156</v>
      </c>
      <c r="B2364">
        <v>20</v>
      </c>
      <c r="C2364">
        <v>41.02</v>
      </c>
      <c r="D2364">
        <v>1</v>
      </c>
      <c r="E2364">
        <v>820.4</v>
      </c>
      <c r="F2364" s="4">
        <v>37843</v>
      </c>
      <c r="G2364" t="s">
        <v>93</v>
      </c>
      <c r="H2364">
        <v>4</v>
      </c>
      <c r="I2364">
        <v>10</v>
      </c>
      <c r="J2364">
        <v>2003</v>
      </c>
      <c r="K2364" t="s">
        <v>697</v>
      </c>
      <c r="L2364">
        <v>43</v>
      </c>
      <c r="M2364" t="s">
        <v>850</v>
      </c>
      <c r="N2364" t="s">
        <v>257</v>
      </c>
      <c r="O2364" t="s">
        <v>258</v>
      </c>
      <c r="P2364" t="s">
        <v>259</v>
      </c>
      <c r="R2364" t="s">
        <v>260</v>
      </c>
      <c r="T2364">
        <v>28034</v>
      </c>
      <c r="U2364" t="s">
        <v>261</v>
      </c>
      <c r="V2364" t="s">
        <v>110</v>
      </c>
      <c r="W2364" t="s">
        <v>262</v>
      </c>
      <c r="X2364" t="s">
        <v>263</v>
      </c>
      <c r="Y2364" t="s">
        <v>104</v>
      </c>
    </row>
    <row r="2365" spans="1:25">
      <c r="A2365">
        <v>10168</v>
      </c>
      <c r="B2365">
        <v>48</v>
      </c>
      <c r="C2365">
        <v>51.93</v>
      </c>
      <c r="D2365">
        <v>13</v>
      </c>
      <c r="E2365">
        <v>2492.64</v>
      </c>
      <c r="F2365" t="s">
        <v>131</v>
      </c>
      <c r="G2365" t="s">
        <v>93</v>
      </c>
      <c r="H2365">
        <v>4</v>
      </c>
      <c r="I2365">
        <v>10</v>
      </c>
      <c r="J2365">
        <v>2003</v>
      </c>
      <c r="K2365" t="s">
        <v>697</v>
      </c>
      <c r="L2365">
        <v>43</v>
      </c>
      <c r="M2365" t="s">
        <v>850</v>
      </c>
      <c r="N2365" t="s">
        <v>132</v>
      </c>
      <c r="O2365">
        <v>6505556809</v>
      </c>
      <c r="P2365" t="s">
        <v>133</v>
      </c>
      <c r="R2365" t="s">
        <v>134</v>
      </c>
      <c r="S2365" t="s">
        <v>124</v>
      </c>
      <c r="T2365">
        <v>94217</v>
      </c>
      <c r="U2365" t="s">
        <v>100</v>
      </c>
      <c r="V2365" t="s">
        <v>101</v>
      </c>
      <c r="W2365" t="s">
        <v>135</v>
      </c>
      <c r="X2365" t="s">
        <v>136</v>
      </c>
      <c r="Y2365" t="s">
        <v>104</v>
      </c>
    </row>
    <row r="2366" spans="1:25">
      <c r="A2366">
        <v>10199</v>
      </c>
      <c r="B2366">
        <v>29</v>
      </c>
      <c r="C2366">
        <v>38.4</v>
      </c>
      <c r="D2366">
        <v>1</v>
      </c>
      <c r="E2366">
        <v>1113.5999999999999</v>
      </c>
      <c r="F2366" s="4">
        <v>37633</v>
      </c>
      <c r="G2366" t="s">
        <v>93</v>
      </c>
      <c r="H2366">
        <v>4</v>
      </c>
      <c r="I2366">
        <v>12</v>
      </c>
      <c r="J2366">
        <v>2003</v>
      </c>
      <c r="K2366" t="s">
        <v>697</v>
      </c>
      <c r="L2366">
        <v>43</v>
      </c>
      <c r="M2366" t="s">
        <v>850</v>
      </c>
      <c r="N2366" t="s">
        <v>326</v>
      </c>
      <c r="O2366">
        <v>3105553722</v>
      </c>
      <c r="P2366" t="s">
        <v>327</v>
      </c>
      <c r="R2366" t="s">
        <v>328</v>
      </c>
      <c r="S2366" t="s">
        <v>124</v>
      </c>
      <c r="T2366">
        <v>94019</v>
      </c>
      <c r="U2366" t="s">
        <v>100</v>
      </c>
      <c r="V2366" t="s">
        <v>101</v>
      </c>
      <c r="W2366" t="s">
        <v>6</v>
      </c>
      <c r="X2366" t="s">
        <v>329</v>
      </c>
      <c r="Y2366" t="s">
        <v>104</v>
      </c>
    </row>
    <row r="2367" spans="1:25">
      <c r="A2367">
        <v>10210</v>
      </c>
      <c r="B2367">
        <v>43</v>
      </c>
      <c r="C2367">
        <v>41.02</v>
      </c>
      <c r="D2367">
        <v>11</v>
      </c>
      <c r="E2367">
        <v>1763.86</v>
      </c>
      <c r="F2367" s="4">
        <v>38322</v>
      </c>
      <c r="G2367" t="s">
        <v>93</v>
      </c>
      <c r="H2367">
        <v>1</v>
      </c>
      <c r="I2367">
        <v>1</v>
      </c>
      <c r="J2367">
        <v>2004</v>
      </c>
      <c r="K2367" t="s">
        <v>697</v>
      </c>
      <c r="L2367">
        <v>43</v>
      </c>
      <c r="M2367" t="s">
        <v>850</v>
      </c>
      <c r="N2367" t="s">
        <v>403</v>
      </c>
      <c r="O2367" t="s">
        <v>404</v>
      </c>
      <c r="P2367" t="s">
        <v>405</v>
      </c>
      <c r="R2367" t="s">
        <v>406</v>
      </c>
      <c r="S2367" t="s">
        <v>406</v>
      </c>
      <c r="T2367" t="s">
        <v>407</v>
      </c>
      <c r="U2367" t="s">
        <v>288</v>
      </c>
      <c r="V2367" t="s">
        <v>288</v>
      </c>
      <c r="W2367" t="s">
        <v>408</v>
      </c>
      <c r="X2367" t="s">
        <v>409</v>
      </c>
      <c r="Y2367" t="s">
        <v>104</v>
      </c>
    </row>
    <row r="2368" spans="1:25">
      <c r="A2368">
        <v>10223</v>
      </c>
      <c r="B2368">
        <v>41</v>
      </c>
      <c r="C2368">
        <v>46.26</v>
      </c>
      <c r="D2368">
        <v>13</v>
      </c>
      <c r="E2368">
        <v>1896.66</v>
      </c>
      <c r="F2368" t="s">
        <v>161</v>
      </c>
      <c r="G2368" t="s">
        <v>93</v>
      </c>
      <c r="H2368">
        <v>1</v>
      </c>
      <c r="I2368">
        <v>2</v>
      </c>
      <c r="J2368">
        <v>2004</v>
      </c>
      <c r="K2368" t="s">
        <v>697</v>
      </c>
      <c r="L2368">
        <v>43</v>
      </c>
      <c r="M2368" t="s">
        <v>850</v>
      </c>
      <c r="N2368" t="s">
        <v>162</v>
      </c>
      <c r="O2368" t="s">
        <v>163</v>
      </c>
      <c r="P2368" t="s">
        <v>164</v>
      </c>
      <c r="Q2368" t="s">
        <v>165</v>
      </c>
      <c r="R2368" t="s">
        <v>166</v>
      </c>
      <c r="S2368" t="s">
        <v>167</v>
      </c>
      <c r="T2368">
        <v>3004</v>
      </c>
      <c r="U2368" t="s">
        <v>168</v>
      </c>
      <c r="V2368" t="s">
        <v>169</v>
      </c>
      <c r="W2368" t="s">
        <v>170</v>
      </c>
      <c r="X2368" t="s">
        <v>171</v>
      </c>
      <c r="Y2368" t="s">
        <v>104</v>
      </c>
    </row>
    <row r="2369" spans="1:25">
      <c r="A2369">
        <v>10235</v>
      </c>
      <c r="B2369">
        <v>41</v>
      </c>
      <c r="C2369">
        <v>35.35</v>
      </c>
      <c r="D2369">
        <v>7</v>
      </c>
      <c r="E2369">
        <v>1449.35</v>
      </c>
      <c r="F2369" s="4">
        <v>38021</v>
      </c>
      <c r="G2369" t="s">
        <v>93</v>
      </c>
      <c r="H2369">
        <v>2</v>
      </c>
      <c r="I2369">
        <v>4</v>
      </c>
      <c r="J2369">
        <v>2004</v>
      </c>
      <c r="K2369" t="s">
        <v>697</v>
      </c>
      <c r="L2369">
        <v>43</v>
      </c>
      <c r="M2369" t="s">
        <v>850</v>
      </c>
      <c r="N2369" t="s">
        <v>484</v>
      </c>
      <c r="O2369" t="s">
        <v>485</v>
      </c>
      <c r="P2369" t="s">
        <v>486</v>
      </c>
      <c r="R2369" t="s">
        <v>487</v>
      </c>
      <c r="S2369" t="s">
        <v>320</v>
      </c>
      <c r="T2369" t="s">
        <v>488</v>
      </c>
      <c r="U2369" t="s">
        <v>322</v>
      </c>
      <c r="V2369" t="s">
        <v>101</v>
      </c>
      <c r="W2369" t="s">
        <v>489</v>
      </c>
      <c r="X2369" t="s">
        <v>254</v>
      </c>
      <c r="Y2369" t="s">
        <v>104</v>
      </c>
    </row>
    <row r="2370" spans="1:25">
      <c r="A2370">
        <v>10250</v>
      </c>
      <c r="B2370">
        <v>36</v>
      </c>
      <c r="C2370">
        <v>51.93</v>
      </c>
      <c r="D2370">
        <v>8</v>
      </c>
      <c r="E2370">
        <v>1869.48</v>
      </c>
      <c r="F2370" s="4">
        <v>38296</v>
      </c>
      <c r="G2370" t="s">
        <v>93</v>
      </c>
      <c r="H2370">
        <v>2</v>
      </c>
      <c r="I2370">
        <v>5</v>
      </c>
      <c r="J2370">
        <v>2004</v>
      </c>
      <c r="K2370" t="s">
        <v>697</v>
      </c>
      <c r="L2370">
        <v>43</v>
      </c>
      <c r="M2370" t="s">
        <v>850</v>
      </c>
      <c r="N2370" t="s">
        <v>514</v>
      </c>
      <c r="O2370">
        <v>4085553659</v>
      </c>
      <c r="P2370" t="s">
        <v>515</v>
      </c>
      <c r="R2370" t="s">
        <v>516</v>
      </c>
      <c r="S2370" t="s">
        <v>124</v>
      </c>
      <c r="T2370">
        <v>94217</v>
      </c>
      <c r="U2370" t="s">
        <v>100</v>
      </c>
      <c r="V2370" t="s">
        <v>101</v>
      </c>
      <c r="W2370" t="s">
        <v>175</v>
      </c>
      <c r="X2370" t="s">
        <v>517</v>
      </c>
      <c r="Y2370" t="s">
        <v>104</v>
      </c>
    </row>
    <row r="2371" spans="1:25">
      <c r="A2371">
        <v>10262</v>
      </c>
      <c r="B2371">
        <v>49</v>
      </c>
      <c r="C2371">
        <v>37.97</v>
      </c>
      <c r="D2371">
        <v>3</v>
      </c>
      <c r="E2371">
        <v>1860.53</v>
      </c>
      <c r="F2371" t="s">
        <v>734</v>
      </c>
      <c r="G2371" t="s">
        <v>444</v>
      </c>
      <c r="H2371">
        <v>2</v>
      </c>
      <c r="I2371">
        <v>6</v>
      </c>
      <c r="J2371">
        <v>2004</v>
      </c>
      <c r="K2371" t="s">
        <v>697</v>
      </c>
      <c r="L2371">
        <v>43</v>
      </c>
      <c r="M2371" t="s">
        <v>850</v>
      </c>
      <c r="N2371" t="s">
        <v>257</v>
      </c>
      <c r="O2371" t="s">
        <v>258</v>
      </c>
      <c r="P2371" t="s">
        <v>259</v>
      </c>
      <c r="R2371" t="s">
        <v>260</v>
      </c>
      <c r="T2371">
        <v>28034</v>
      </c>
      <c r="U2371" t="s">
        <v>261</v>
      </c>
      <c r="V2371" t="s">
        <v>110</v>
      </c>
      <c r="W2371" t="s">
        <v>262</v>
      </c>
      <c r="X2371" t="s">
        <v>263</v>
      </c>
      <c r="Y2371" t="s">
        <v>104</v>
      </c>
    </row>
    <row r="2372" spans="1:25">
      <c r="A2372">
        <v>10275</v>
      </c>
      <c r="B2372">
        <v>38</v>
      </c>
      <c r="C2372">
        <v>45.39</v>
      </c>
      <c r="D2372">
        <v>13</v>
      </c>
      <c r="E2372">
        <v>1724.82</v>
      </c>
      <c r="F2372" t="s">
        <v>189</v>
      </c>
      <c r="G2372" t="s">
        <v>93</v>
      </c>
      <c r="H2372">
        <v>3</v>
      </c>
      <c r="I2372">
        <v>7</v>
      </c>
      <c r="J2372">
        <v>2004</v>
      </c>
      <c r="K2372" t="s">
        <v>697</v>
      </c>
      <c r="L2372">
        <v>43</v>
      </c>
      <c r="M2372" t="s">
        <v>850</v>
      </c>
      <c r="N2372" t="s">
        <v>190</v>
      </c>
      <c r="O2372" t="s">
        <v>191</v>
      </c>
      <c r="P2372" t="s">
        <v>192</v>
      </c>
      <c r="R2372" t="s">
        <v>193</v>
      </c>
      <c r="T2372">
        <v>44000</v>
      </c>
      <c r="U2372" t="s">
        <v>109</v>
      </c>
      <c r="V2372" t="s">
        <v>110</v>
      </c>
      <c r="W2372" t="s">
        <v>194</v>
      </c>
      <c r="X2372" t="s">
        <v>195</v>
      </c>
      <c r="Y2372" t="s">
        <v>104</v>
      </c>
    </row>
    <row r="2373" spans="1:25">
      <c r="A2373">
        <v>10284</v>
      </c>
      <c r="B2373">
        <v>33</v>
      </c>
      <c r="C2373">
        <v>51.93</v>
      </c>
      <c r="D2373">
        <v>5</v>
      </c>
      <c r="E2373">
        <v>1713.69</v>
      </c>
      <c r="F2373" t="s">
        <v>735</v>
      </c>
      <c r="G2373" t="s">
        <v>93</v>
      </c>
      <c r="H2373">
        <v>3</v>
      </c>
      <c r="I2373">
        <v>8</v>
      </c>
      <c r="J2373">
        <v>2004</v>
      </c>
      <c r="K2373" t="s">
        <v>697</v>
      </c>
      <c r="L2373">
        <v>43</v>
      </c>
      <c r="M2373" t="s">
        <v>850</v>
      </c>
      <c r="N2373" t="s">
        <v>688</v>
      </c>
      <c r="O2373" t="s">
        <v>689</v>
      </c>
      <c r="P2373" t="s">
        <v>690</v>
      </c>
      <c r="R2373" t="s">
        <v>691</v>
      </c>
      <c r="T2373" t="s">
        <v>692</v>
      </c>
      <c r="U2373" t="s">
        <v>149</v>
      </c>
      <c r="V2373" t="s">
        <v>110</v>
      </c>
      <c r="W2373" t="s">
        <v>693</v>
      </c>
      <c r="X2373" t="s">
        <v>694</v>
      </c>
      <c r="Y2373" t="s">
        <v>104</v>
      </c>
    </row>
    <row r="2374" spans="1:25">
      <c r="A2374">
        <v>10296</v>
      </c>
      <c r="B2374">
        <v>26</v>
      </c>
      <c r="C2374">
        <v>48.44</v>
      </c>
      <c r="D2374">
        <v>1</v>
      </c>
      <c r="E2374">
        <v>1259.44</v>
      </c>
      <c r="F2374" t="s">
        <v>736</v>
      </c>
      <c r="G2374" t="s">
        <v>93</v>
      </c>
      <c r="H2374">
        <v>3</v>
      </c>
      <c r="I2374">
        <v>9</v>
      </c>
      <c r="J2374">
        <v>2004</v>
      </c>
      <c r="K2374" t="s">
        <v>697</v>
      </c>
      <c r="L2374">
        <v>43</v>
      </c>
      <c r="M2374" t="s">
        <v>850</v>
      </c>
      <c r="N2374" t="s">
        <v>737</v>
      </c>
      <c r="O2374" t="s">
        <v>738</v>
      </c>
      <c r="P2374" t="s">
        <v>739</v>
      </c>
      <c r="R2374" t="s">
        <v>740</v>
      </c>
      <c r="T2374">
        <v>80686</v>
      </c>
      <c r="U2374" t="s">
        <v>566</v>
      </c>
      <c r="V2374" t="s">
        <v>110</v>
      </c>
      <c r="W2374" t="s">
        <v>741</v>
      </c>
      <c r="X2374" t="s">
        <v>176</v>
      </c>
      <c r="Y2374" t="s">
        <v>104</v>
      </c>
    </row>
    <row r="2375" spans="1:25">
      <c r="A2375">
        <v>10308</v>
      </c>
      <c r="B2375">
        <v>47</v>
      </c>
      <c r="C2375">
        <v>43.64</v>
      </c>
      <c r="D2375">
        <v>11</v>
      </c>
      <c r="E2375">
        <v>2051.08</v>
      </c>
      <c r="F2375" t="s">
        <v>211</v>
      </c>
      <c r="G2375" t="s">
        <v>93</v>
      </c>
      <c r="H2375">
        <v>4</v>
      </c>
      <c r="I2375">
        <v>10</v>
      </c>
      <c r="J2375">
        <v>2004</v>
      </c>
      <c r="K2375" t="s">
        <v>697</v>
      </c>
      <c r="L2375">
        <v>43</v>
      </c>
      <c r="M2375" t="s">
        <v>850</v>
      </c>
      <c r="N2375" t="s">
        <v>419</v>
      </c>
      <c r="O2375">
        <v>9145554562</v>
      </c>
      <c r="P2375" t="s">
        <v>420</v>
      </c>
      <c r="R2375" t="s">
        <v>421</v>
      </c>
      <c r="S2375" t="s">
        <v>99</v>
      </c>
      <c r="T2375">
        <v>24067</v>
      </c>
      <c r="U2375" t="s">
        <v>100</v>
      </c>
      <c r="V2375" t="s">
        <v>101</v>
      </c>
      <c r="W2375" t="s">
        <v>175</v>
      </c>
      <c r="X2375" t="s">
        <v>329</v>
      </c>
      <c r="Y2375" t="s">
        <v>104</v>
      </c>
    </row>
    <row r="2376" spans="1:25">
      <c r="A2376">
        <v>10316</v>
      </c>
      <c r="B2376">
        <v>34</v>
      </c>
      <c r="C2376">
        <v>47.57</v>
      </c>
      <c r="D2376">
        <v>3</v>
      </c>
      <c r="E2376">
        <v>1617.38</v>
      </c>
      <c r="F2376" s="4">
        <v>37997</v>
      </c>
      <c r="G2376" t="s">
        <v>93</v>
      </c>
      <c r="H2376">
        <v>4</v>
      </c>
      <c r="I2376">
        <v>11</v>
      </c>
      <c r="J2376">
        <v>2004</v>
      </c>
      <c r="K2376" t="s">
        <v>697</v>
      </c>
      <c r="L2376">
        <v>43</v>
      </c>
      <c r="M2376" t="s">
        <v>850</v>
      </c>
      <c r="N2376" t="s">
        <v>495</v>
      </c>
      <c r="O2376" t="s">
        <v>496</v>
      </c>
      <c r="P2376" t="s">
        <v>497</v>
      </c>
      <c r="R2376" t="s">
        <v>498</v>
      </c>
      <c r="S2376" t="s">
        <v>499</v>
      </c>
      <c r="T2376" t="s">
        <v>500</v>
      </c>
      <c r="U2376" t="s">
        <v>252</v>
      </c>
      <c r="V2376" t="s">
        <v>110</v>
      </c>
      <c r="W2376" t="s">
        <v>501</v>
      </c>
      <c r="X2376" t="s">
        <v>502</v>
      </c>
      <c r="Y2376" t="s">
        <v>104</v>
      </c>
    </row>
    <row r="2377" spans="1:25">
      <c r="A2377">
        <v>10328</v>
      </c>
      <c r="B2377">
        <v>34</v>
      </c>
      <c r="C2377">
        <v>51.93</v>
      </c>
      <c r="D2377">
        <v>7</v>
      </c>
      <c r="E2377">
        <v>1765.62</v>
      </c>
      <c r="F2377" s="4">
        <v>38332</v>
      </c>
      <c r="G2377" t="s">
        <v>93</v>
      </c>
      <c r="H2377">
        <v>4</v>
      </c>
      <c r="I2377">
        <v>11</v>
      </c>
      <c r="J2377">
        <v>2004</v>
      </c>
      <c r="K2377" t="s">
        <v>697</v>
      </c>
      <c r="L2377">
        <v>43</v>
      </c>
      <c r="M2377" t="s">
        <v>850</v>
      </c>
      <c r="N2377" t="s">
        <v>703</v>
      </c>
      <c r="O2377" t="s">
        <v>704</v>
      </c>
      <c r="P2377" t="s">
        <v>705</v>
      </c>
      <c r="R2377" t="s">
        <v>706</v>
      </c>
      <c r="T2377">
        <v>24100</v>
      </c>
      <c r="U2377" t="s">
        <v>352</v>
      </c>
      <c r="V2377" t="s">
        <v>110</v>
      </c>
      <c r="W2377" t="s">
        <v>707</v>
      </c>
      <c r="X2377" t="s">
        <v>708</v>
      </c>
      <c r="Y2377" t="s">
        <v>104</v>
      </c>
    </row>
    <row r="2378" spans="1:25">
      <c r="A2378">
        <v>10340</v>
      </c>
      <c r="B2378">
        <v>40</v>
      </c>
      <c r="C2378">
        <v>50.62</v>
      </c>
      <c r="D2378">
        <v>4</v>
      </c>
      <c r="E2378">
        <v>2024.8</v>
      </c>
      <c r="F2378" t="s">
        <v>224</v>
      </c>
      <c r="G2378" t="s">
        <v>93</v>
      </c>
      <c r="H2378">
        <v>4</v>
      </c>
      <c r="I2378">
        <v>11</v>
      </c>
      <c r="J2378">
        <v>2004</v>
      </c>
      <c r="K2378" t="s">
        <v>697</v>
      </c>
      <c r="L2378">
        <v>43</v>
      </c>
      <c r="M2378" t="s">
        <v>850</v>
      </c>
      <c r="N2378" t="s">
        <v>459</v>
      </c>
      <c r="O2378" t="s">
        <v>460</v>
      </c>
      <c r="P2378" t="s">
        <v>461</v>
      </c>
      <c r="R2378" t="s">
        <v>462</v>
      </c>
      <c r="T2378">
        <v>8022</v>
      </c>
      <c r="U2378" t="s">
        <v>261</v>
      </c>
      <c r="V2378" t="s">
        <v>110</v>
      </c>
      <c r="W2378" t="s">
        <v>463</v>
      </c>
      <c r="X2378" t="s">
        <v>464</v>
      </c>
      <c r="Y2378" t="s">
        <v>104</v>
      </c>
    </row>
    <row r="2379" spans="1:25">
      <c r="A2379">
        <v>10353</v>
      </c>
      <c r="B2379">
        <v>40</v>
      </c>
      <c r="C2379">
        <v>82.21</v>
      </c>
      <c r="D2379">
        <v>8</v>
      </c>
      <c r="E2379">
        <v>3288.4</v>
      </c>
      <c r="F2379" s="4">
        <v>38089</v>
      </c>
      <c r="G2379" t="s">
        <v>93</v>
      </c>
      <c r="H2379">
        <v>4</v>
      </c>
      <c r="I2379">
        <v>12</v>
      </c>
      <c r="J2379">
        <v>2004</v>
      </c>
      <c r="K2379" t="s">
        <v>697</v>
      </c>
      <c r="L2379">
        <v>43</v>
      </c>
      <c r="M2379" t="s">
        <v>850</v>
      </c>
      <c r="N2379" t="s">
        <v>729</v>
      </c>
      <c r="O2379">
        <v>2035554407</v>
      </c>
      <c r="P2379" t="s">
        <v>730</v>
      </c>
      <c r="R2379" t="s">
        <v>656</v>
      </c>
      <c r="S2379" t="s">
        <v>187</v>
      </c>
      <c r="T2379">
        <v>97561</v>
      </c>
      <c r="U2379" t="s">
        <v>100</v>
      </c>
      <c r="V2379" t="s">
        <v>101</v>
      </c>
      <c r="W2379" t="s">
        <v>731</v>
      </c>
      <c r="X2379" t="s">
        <v>732</v>
      </c>
      <c r="Y2379" t="s">
        <v>119</v>
      </c>
    </row>
    <row r="2380" spans="1:25">
      <c r="A2380">
        <v>10361</v>
      </c>
      <c r="B2380">
        <v>33</v>
      </c>
      <c r="C2380">
        <v>82.59</v>
      </c>
      <c r="D2380">
        <v>3</v>
      </c>
      <c r="E2380">
        <v>2725.47</v>
      </c>
      <c r="F2380" t="s">
        <v>233</v>
      </c>
      <c r="G2380" t="s">
        <v>93</v>
      </c>
      <c r="H2380">
        <v>4</v>
      </c>
      <c r="I2380">
        <v>12</v>
      </c>
      <c r="J2380">
        <v>2004</v>
      </c>
      <c r="K2380" t="s">
        <v>697</v>
      </c>
      <c r="L2380">
        <v>43</v>
      </c>
      <c r="M2380" t="s">
        <v>850</v>
      </c>
      <c r="N2380" t="s">
        <v>234</v>
      </c>
      <c r="O2380" t="s">
        <v>235</v>
      </c>
      <c r="P2380" t="s">
        <v>236</v>
      </c>
      <c r="Q2380" t="s">
        <v>237</v>
      </c>
      <c r="R2380" t="s">
        <v>238</v>
      </c>
      <c r="S2380" t="s">
        <v>239</v>
      </c>
      <c r="T2380">
        <v>2067</v>
      </c>
      <c r="U2380" t="s">
        <v>168</v>
      </c>
      <c r="V2380" t="s">
        <v>169</v>
      </c>
      <c r="W2380" t="s">
        <v>240</v>
      </c>
      <c r="X2380" t="s">
        <v>241</v>
      </c>
      <c r="Y2380" t="s">
        <v>104</v>
      </c>
    </row>
    <row r="2381" spans="1:25">
      <c r="A2381">
        <v>10375</v>
      </c>
      <c r="B2381">
        <v>49</v>
      </c>
      <c r="C2381">
        <v>65.8</v>
      </c>
      <c r="D2381">
        <v>5</v>
      </c>
      <c r="E2381">
        <v>3224.2</v>
      </c>
      <c r="F2381" s="4">
        <v>38413</v>
      </c>
      <c r="G2381" t="s">
        <v>93</v>
      </c>
      <c r="H2381">
        <v>1</v>
      </c>
      <c r="I2381">
        <v>2</v>
      </c>
      <c r="J2381">
        <v>2005</v>
      </c>
      <c r="K2381" t="s">
        <v>697</v>
      </c>
      <c r="L2381">
        <v>43</v>
      </c>
      <c r="M2381" t="s">
        <v>850</v>
      </c>
      <c r="N2381" t="s">
        <v>190</v>
      </c>
      <c r="O2381" t="s">
        <v>191</v>
      </c>
      <c r="P2381" t="s">
        <v>192</v>
      </c>
      <c r="R2381" t="s">
        <v>193</v>
      </c>
      <c r="T2381">
        <v>44000</v>
      </c>
      <c r="U2381" t="s">
        <v>109</v>
      </c>
      <c r="V2381" t="s">
        <v>110</v>
      </c>
      <c r="W2381" t="s">
        <v>194</v>
      </c>
      <c r="X2381" t="s">
        <v>195</v>
      </c>
      <c r="Y2381" t="s">
        <v>119</v>
      </c>
    </row>
    <row r="2382" spans="1:25">
      <c r="A2382">
        <v>10388</v>
      </c>
      <c r="B2382">
        <v>27</v>
      </c>
      <c r="C2382">
        <v>100</v>
      </c>
      <c r="D2382">
        <v>1</v>
      </c>
      <c r="E2382">
        <v>3211.38</v>
      </c>
      <c r="F2382" s="4">
        <v>38414</v>
      </c>
      <c r="G2382" t="s">
        <v>93</v>
      </c>
      <c r="H2382">
        <v>1</v>
      </c>
      <c r="I2382">
        <v>3</v>
      </c>
      <c r="J2382">
        <v>2005</v>
      </c>
      <c r="K2382" t="s">
        <v>697</v>
      </c>
      <c r="L2382">
        <v>43</v>
      </c>
      <c r="M2382" t="s">
        <v>850</v>
      </c>
      <c r="N2382" t="s">
        <v>242</v>
      </c>
      <c r="O2382">
        <v>5085552555</v>
      </c>
      <c r="P2382" t="s">
        <v>243</v>
      </c>
      <c r="R2382" t="s">
        <v>244</v>
      </c>
      <c r="S2382" t="s">
        <v>200</v>
      </c>
      <c r="T2382">
        <v>50553</v>
      </c>
      <c r="U2382" t="s">
        <v>100</v>
      </c>
      <c r="V2382" t="s">
        <v>101</v>
      </c>
      <c r="W2382" t="s">
        <v>245</v>
      </c>
      <c r="X2382" t="s">
        <v>246</v>
      </c>
      <c r="Y2382" t="s">
        <v>119</v>
      </c>
    </row>
    <row r="2383" spans="1:25">
      <c r="A2383">
        <v>10398</v>
      </c>
      <c r="B2383">
        <v>49</v>
      </c>
      <c r="C2383">
        <v>36.659999999999997</v>
      </c>
      <c r="D2383">
        <v>5</v>
      </c>
      <c r="E2383">
        <v>1796.34</v>
      </c>
      <c r="F2383" t="s">
        <v>750</v>
      </c>
      <c r="G2383" t="s">
        <v>93</v>
      </c>
      <c r="H2383">
        <v>1</v>
      </c>
      <c r="I2383">
        <v>3</v>
      </c>
      <c r="J2383">
        <v>2005</v>
      </c>
      <c r="K2383" t="s">
        <v>697</v>
      </c>
      <c r="L2383">
        <v>43</v>
      </c>
      <c r="M2383" t="s">
        <v>850</v>
      </c>
      <c r="N2383" t="s">
        <v>105</v>
      </c>
      <c r="O2383" t="s">
        <v>106</v>
      </c>
      <c r="P2383" t="s">
        <v>107</v>
      </c>
      <c r="R2383" t="s">
        <v>108</v>
      </c>
      <c r="T2383">
        <v>51100</v>
      </c>
      <c r="U2383" t="s">
        <v>109</v>
      </c>
      <c r="V2383" t="s">
        <v>110</v>
      </c>
      <c r="W2383" t="s">
        <v>111</v>
      </c>
      <c r="X2383" t="s">
        <v>112</v>
      </c>
      <c r="Y2383" t="s">
        <v>104</v>
      </c>
    </row>
    <row r="2384" spans="1:25">
      <c r="A2384">
        <v>10401</v>
      </c>
      <c r="B2384">
        <v>56</v>
      </c>
      <c r="C2384">
        <v>35.35</v>
      </c>
      <c r="D2384">
        <v>7</v>
      </c>
      <c r="E2384">
        <v>1979.6</v>
      </c>
      <c r="F2384" s="4">
        <v>38415</v>
      </c>
      <c r="G2384" t="s">
        <v>518</v>
      </c>
      <c r="H2384">
        <v>2</v>
      </c>
      <c r="I2384">
        <v>4</v>
      </c>
      <c r="J2384">
        <v>2005</v>
      </c>
      <c r="K2384" t="s">
        <v>697</v>
      </c>
      <c r="L2384">
        <v>43</v>
      </c>
      <c r="M2384" t="s">
        <v>850</v>
      </c>
      <c r="N2384" t="s">
        <v>178</v>
      </c>
      <c r="O2384">
        <v>2015559350</v>
      </c>
      <c r="P2384" t="s">
        <v>179</v>
      </c>
      <c r="R2384" t="s">
        <v>180</v>
      </c>
      <c r="S2384" t="s">
        <v>181</v>
      </c>
      <c r="T2384">
        <v>94019</v>
      </c>
      <c r="U2384" t="s">
        <v>100</v>
      </c>
      <c r="V2384" t="s">
        <v>101</v>
      </c>
      <c r="W2384" t="s">
        <v>130</v>
      </c>
      <c r="X2384" t="s">
        <v>182</v>
      </c>
      <c r="Y2384" t="s">
        <v>104</v>
      </c>
    </row>
    <row r="2385" spans="1:25">
      <c r="A2385">
        <v>10416</v>
      </c>
      <c r="B2385">
        <v>37</v>
      </c>
      <c r="C2385">
        <v>51.93</v>
      </c>
      <c r="D2385">
        <v>8</v>
      </c>
      <c r="E2385">
        <v>1921.41</v>
      </c>
      <c r="F2385" s="4">
        <v>38630</v>
      </c>
      <c r="G2385" t="s">
        <v>93</v>
      </c>
      <c r="H2385">
        <v>2</v>
      </c>
      <c r="I2385">
        <v>5</v>
      </c>
      <c r="J2385">
        <v>2005</v>
      </c>
      <c r="K2385" t="s">
        <v>697</v>
      </c>
      <c r="L2385">
        <v>43</v>
      </c>
      <c r="M2385" t="s">
        <v>850</v>
      </c>
      <c r="N2385" t="s">
        <v>576</v>
      </c>
      <c r="O2385" t="s">
        <v>577</v>
      </c>
      <c r="P2385" t="s">
        <v>578</v>
      </c>
      <c r="R2385" t="s">
        <v>579</v>
      </c>
      <c r="T2385">
        <v>42100</v>
      </c>
      <c r="U2385" t="s">
        <v>352</v>
      </c>
      <c r="V2385" t="s">
        <v>110</v>
      </c>
      <c r="W2385" t="s">
        <v>580</v>
      </c>
      <c r="X2385" t="s">
        <v>581</v>
      </c>
      <c r="Y2385" t="s">
        <v>104</v>
      </c>
    </row>
    <row r="2386" spans="1:25">
      <c r="A2386">
        <v>10104</v>
      </c>
      <c r="B2386">
        <v>33</v>
      </c>
      <c r="C2386">
        <v>100</v>
      </c>
      <c r="D2386">
        <v>7</v>
      </c>
      <c r="E2386">
        <v>3705.24</v>
      </c>
      <c r="F2386" t="s">
        <v>648</v>
      </c>
      <c r="G2386" t="s">
        <v>93</v>
      </c>
      <c r="H2386">
        <v>1</v>
      </c>
      <c r="I2386">
        <v>1</v>
      </c>
      <c r="J2386">
        <v>2003</v>
      </c>
      <c r="K2386" t="s">
        <v>638</v>
      </c>
      <c r="L2386">
        <v>115</v>
      </c>
      <c r="M2386" t="s">
        <v>851</v>
      </c>
      <c r="N2386" t="s">
        <v>257</v>
      </c>
      <c r="O2386" t="s">
        <v>258</v>
      </c>
      <c r="P2386" t="s">
        <v>259</v>
      </c>
      <c r="R2386" t="s">
        <v>260</v>
      </c>
      <c r="T2386">
        <v>28034</v>
      </c>
      <c r="U2386" t="s">
        <v>261</v>
      </c>
      <c r="V2386" t="s">
        <v>110</v>
      </c>
      <c r="W2386" t="s">
        <v>262</v>
      </c>
      <c r="X2386" t="s">
        <v>263</v>
      </c>
      <c r="Y2386" t="s">
        <v>119</v>
      </c>
    </row>
    <row r="2387" spans="1:25">
      <c r="A2387">
        <v>10115</v>
      </c>
      <c r="B2387">
        <v>27</v>
      </c>
      <c r="C2387">
        <v>100</v>
      </c>
      <c r="D2387">
        <v>3</v>
      </c>
      <c r="E2387">
        <v>2843.91</v>
      </c>
      <c r="F2387" s="4">
        <v>37715</v>
      </c>
      <c r="G2387" t="s">
        <v>93</v>
      </c>
      <c r="H2387">
        <v>2</v>
      </c>
      <c r="I2387">
        <v>4</v>
      </c>
      <c r="J2387">
        <v>2003</v>
      </c>
      <c r="K2387" t="s">
        <v>638</v>
      </c>
      <c r="L2387">
        <v>115</v>
      </c>
      <c r="M2387" t="s">
        <v>851</v>
      </c>
      <c r="N2387" t="s">
        <v>292</v>
      </c>
      <c r="O2387">
        <v>2125558493</v>
      </c>
      <c r="P2387" t="s">
        <v>293</v>
      </c>
      <c r="Q2387" t="s">
        <v>294</v>
      </c>
      <c r="R2387" t="s">
        <v>98</v>
      </c>
      <c r="S2387" t="s">
        <v>99</v>
      </c>
      <c r="T2387">
        <v>10022</v>
      </c>
      <c r="U2387" t="s">
        <v>100</v>
      </c>
      <c r="V2387" t="s">
        <v>101</v>
      </c>
      <c r="W2387" t="s">
        <v>201</v>
      </c>
      <c r="X2387" t="s">
        <v>295</v>
      </c>
      <c r="Y2387" t="s">
        <v>104</v>
      </c>
    </row>
    <row r="2388" spans="1:25">
      <c r="A2388">
        <v>10127</v>
      </c>
      <c r="B2388">
        <v>46</v>
      </c>
      <c r="C2388">
        <v>100</v>
      </c>
      <c r="D2388">
        <v>9</v>
      </c>
      <c r="E2388">
        <v>6176.42</v>
      </c>
      <c r="F2388" s="4">
        <v>37686</v>
      </c>
      <c r="G2388" t="s">
        <v>93</v>
      </c>
      <c r="H2388">
        <v>2</v>
      </c>
      <c r="I2388">
        <v>6</v>
      </c>
      <c r="J2388">
        <v>2003</v>
      </c>
      <c r="K2388" t="s">
        <v>638</v>
      </c>
      <c r="L2388">
        <v>115</v>
      </c>
      <c r="M2388" t="s">
        <v>851</v>
      </c>
      <c r="N2388" t="s">
        <v>603</v>
      </c>
      <c r="O2388">
        <v>2125557413</v>
      </c>
      <c r="P2388" t="s">
        <v>604</v>
      </c>
      <c r="Q2388" t="s">
        <v>605</v>
      </c>
      <c r="R2388" t="s">
        <v>98</v>
      </c>
      <c r="S2388" t="s">
        <v>99</v>
      </c>
      <c r="T2388">
        <v>10022</v>
      </c>
      <c r="U2388" t="s">
        <v>100</v>
      </c>
      <c r="V2388" t="s">
        <v>101</v>
      </c>
      <c r="W2388" t="s">
        <v>125</v>
      </c>
      <c r="X2388" t="s">
        <v>606</v>
      </c>
      <c r="Y2388" t="s">
        <v>119</v>
      </c>
    </row>
    <row r="2389" spans="1:25">
      <c r="A2389">
        <v>10141</v>
      </c>
      <c r="B2389">
        <v>44</v>
      </c>
      <c r="C2389">
        <v>100</v>
      </c>
      <c r="D2389">
        <v>3</v>
      </c>
      <c r="E2389">
        <v>5500.44</v>
      </c>
      <c r="F2389" s="4">
        <v>37629</v>
      </c>
      <c r="G2389" t="s">
        <v>93</v>
      </c>
      <c r="H2389">
        <v>3</v>
      </c>
      <c r="I2389">
        <v>8</v>
      </c>
      <c r="J2389">
        <v>2003</v>
      </c>
      <c r="K2389" t="s">
        <v>638</v>
      </c>
      <c r="L2389">
        <v>115</v>
      </c>
      <c r="M2389" t="s">
        <v>851</v>
      </c>
      <c r="N2389" t="s">
        <v>593</v>
      </c>
      <c r="O2389" t="s">
        <v>594</v>
      </c>
      <c r="P2389" t="s">
        <v>595</v>
      </c>
      <c r="R2389" t="s">
        <v>596</v>
      </c>
      <c r="T2389" t="s">
        <v>597</v>
      </c>
      <c r="U2389" t="s">
        <v>208</v>
      </c>
      <c r="V2389" t="s">
        <v>110</v>
      </c>
      <c r="W2389" t="s">
        <v>598</v>
      </c>
      <c r="X2389" t="s">
        <v>599</v>
      </c>
      <c r="Y2389" t="s">
        <v>119</v>
      </c>
    </row>
    <row r="2390" spans="1:25">
      <c r="A2390">
        <v>10151</v>
      </c>
      <c r="B2390">
        <v>26</v>
      </c>
      <c r="C2390">
        <v>100</v>
      </c>
      <c r="D2390">
        <v>1</v>
      </c>
      <c r="E2390">
        <v>3220.1</v>
      </c>
      <c r="F2390" t="s">
        <v>661</v>
      </c>
      <c r="G2390" t="s">
        <v>93</v>
      </c>
      <c r="H2390">
        <v>3</v>
      </c>
      <c r="I2390">
        <v>9</v>
      </c>
      <c r="J2390">
        <v>2003</v>
      </c>
      <c r="K2390" t="s">
        <v>638</v>
      </c>
      <c r="L2390">
        <v>115</v>
      </c>
      <c r="M2390" t="s">
        <v>851</v>
      </c>
      <c r="N2390" t="s">
        <v>506</v>
      </c>
      <c r="O2390" t="s">
        <v>507</v>
      </c>
      <c r="P2390" t="s">
        <v>508</v>
      </c>
      <c r="R2390" t="s">
        <v>509</v>
      </c>
      <c r="T2390">
        <v>90110</v>
      </c>
      <c r="U2390" t="s">
        <v>208</v>
      </c>
      <c r="V2390" t="s">
        <v>110</v>
      </c>
      <c r="W2390" t="s">
        <v>510</v>
      </c>
      <c r="X2390" t="s">
        <v>511</v>
      </c>
      <c r="Y2390" t="s">
        <v>119</v>
      </c>
    </row>
    <row r="2391" spans="1:25">
      <c r="A2391">
        <v>10165</v>
      </c>
      <c r="B2391">
        <v>48</v>
      </c>
      <c r="C2391">
        <v>94.92</v>
      </c>
      <c r="D2391">
        <v>10</v>
      </c>
      <c r="E2391">
        <v>4556.16</v>
      </c>
      <c r="F2391" t="s">
        <v>608</v>
      </c>
      <c r="G2391" t="s">
        <v>93</v>
      </c>
      <c r="H2391">
        <v>4</v>
      </c>
      <c r="I2391">
        <v>10</v>
      </c>
      <c r="J2391">
        <v>2003</v>
      </c>
      <c r="K2391" t="s">
        <v>638</v>
      </c>
      <c r="L2391">
        <v>115</v>
      </c>
      <c r="M2391" t="s">
        <v>851</v>
      </c>
      <c r="N2391" t="s">
        <v>284</v>
      </c>
      <c r="O2391" t="s">
        <v>285</v>
      </c>
      <c r="P2391" t="s">
        <v>286</v>
      </c>
      <c r="R2391" t="s">
        <v>287</v>
      </c>
      <c r="T2391">
        <v>79903</v>
      </c>
      <c r="U2391" t="s">
        <v>287</v>
      </c>
      <c r="V2391" t="s">
        <v>288</v>
      </c>
      <c r="W2391" t="s">
        <v>289</v>
      </c>
      <c r="X2391" t="s">
        <v>290</v>
      </c>
      <c r="Y2391" t="s">
        <v>119</v>
      </c>
    </row>
    <row r="2392" spans="1:25">
      <c r="A2392">
        <v>10176</v>
      </c>
      <c r="B2392">
        <v>23</v>
      </c>
      <c r="C2392">
        <v>100</v>
      </c>
      <c r="D2392">
        <v>9</v>
      </c>
      <c r="E2392">
        <v>3114.89</v>
      </c>
      <c r="F2392" s="4">
        <v>37783</v>
      </c>
      <c r="G2392" t="s">
        <v>93</v>
      </c>
      <c r="H2392">
        <v>4</v>
      </c>
      <c r="I2392">
        <v>11</v>
      </c>
      <c r="J2392">
        <v>2003</v>
      </c>
      <c r="K2392" t="s">
        <v>638</v>
      </c>
      <c r="L2392">
        <v>115</v>
      </c>
      <c r="M2392" t="s">
        <v>851</v>
      </c>
      <c r="N2392" t="s">
        <v>576</v>
      </c>
      <c r="O2392" t="s">
        <v>577</v>
      </c>
      <c r="P2392" t="s">
        <v>578</v>
      </c>
      <c r="R2392" t="s">
        <v>579</v>
      </c>
      <c r="T2392">
        <v>42100</v>
      </c>
      <c r="U2392" t="s">
        <v>352</v>
      </c>
      <c r="V2392" t="s">
        <v>110</v>
      </c>
      <c r="W2392" t="s">
        <v>580</v>
      </c>
      <c r="X2392" t="s">
        <v>581</v>
      </c>
      <c r="Y2392" t="s">
        <v>119</v>
      </c>
    </row>
    <row r="2393" spans="1:25">
      <c r="A2393">
        <v>10184</v>
      </c>
      <c r="B2393">
        <v>45</v>
      </c>
      <c r="C2393">
        <v>100</v>
      </c>
      <c r="D2393">
        <v>4</v>
      </c>
      <c r="E2393">
        <v>4948.2</v>
      </c>
      <c r="F2393" t="s">
        <v>451</v>
      </c>
      <c r="G2393" t="s">
        <v>93</v>
      </c>
      <c r="H2393">
        <v>4</v>
      </c>
      <c r="I2393">
        <v>11</v>
      </c>
      <c r="J2393">
        <v>2003</v>
      </c>
      <c r="K2393" t="s">
        <v>638</v>
      </c>
      <c r="L2393">
        <v>115</v>
      </c>
      <c r="M2393" t="s">
        <v>851</v>
      </c>
      <c r="N2393" t="s">
        <v>662</v>
      </c>
      <c r="O2393" t="s">
        <v>663</v>
      </c>
      <c r="P2393" t="s">
        <v>664</v>
      </c>
      <c r="R2393" t="s">
        <v>665</v>
      </c>
      <c r="T2393">
        <v>41101</v>
      </c>
      <c r="U2393" t="s">
        <v>261</v>
      </c>
      <c r="V2393" t="s">
        <v>110</v>
      </c>
      <c r="W2393" t="s">
        <v>666</v>
      </c>
      <c r="X2393" t="s">
        <v>667</v>
      </c>
      <c r="Y2393" t="s">
        <v>119</v>
      </c>
    </row>
    <row r="2394" spans="1:25">
      <c r="A2394">
        <v>10195</v>
      </c>
      <c r="B2394">
        <v>49</v>
      </c>
      <c r="C2394">
        <v>100</v>
      </c>
      <c r="D2394">
        <v>4</v>
      </c>
      <c r="E2394">
        <v>5161.17</v>
      </c>
      <c r="F2394" t="s">
        <v>309</v>
      </c>
      <c r="G2394" t="s">
        <v>93</v>
      </c>
      <c r="H2394">
        <v>4</v>
      </c>
      <c r="I2394">
        <v>11</v>
      </c>
      <c r="J2394">
        <v>2003</v>
      </c>
      <c r="K2394" t="s">
        <v>638</v>
      </c>
      <c r="L2394">
        <v>115</v>
      </c>
      <c r="M2394" t="s">
        <v>851</v>
      </c>
      <c r="N2394" t="s">
        <v>419</v>
      </c>
      <c r="O2394">
        <v>9145554562</v>
      </c>
      <c r="P2394" t="s">
        <v>420</v>
      </c>
      <c r="R2394" t="s">
        <v>421</v>
      </c>
      <c r="S2394" t="s">
        <v>99</v>
      </c>
      <c r="T2394">
        <v>24067</v>
      </c>
      <c r="U2394" t="s">
        <v>100</v>
      </c>
      <c r="V2394" t="s">
        <v>101</v>
      </c>
      <c r="W2394" t="s">
        <v>175</v>
      </c>
      <c r="X2394" t="s">
        <v>329</v>
      </c>
      <c r="Y2394" t="s">
        <v>119</v>
      </c>
    </row>
    <row r="2395" spans="1:25">
      <c r="A2395">
        <v>10207</v>
      </c>
      <c r="B2395">
        <v>28</v>
      </c>
      <c r="C2395">
        <v>94.92</v>
      </c>
      <c r="D2395">
        <v>5</v>
      </c>
      <c r="E2395">
        <v>2657.76</v>
      </c>
      <c r="F2395" s="4">
        <v>37876</v>
      </c>
      <c r="G2395" t="s">
        <v>93</v>
      </c>
      <c r="H2395">
        <v>4</v>
      </c>
      <c r="I2395">
        <v>12</v>
      </c>
      <c r="J2395">
        <v>2003</v>
      </c>
      <c r="K2395" t="s">
        <v>638</v>
      </c>
      <c r="L2395">
        <v>115</v>
      </c>
      <c r="M2395" t="s">
        <v>851</v>
      </c>
      <c r="N2395" t="s">
        <v>533</v>
      </c>
      <c r="O2395">
        <v>6175552555</v>
      </c>
      <c r="P2395" t="s">
        <v>534</v>
      </c>
      <c r="R2395" t="s">
        <v>492</v>
      </c>
      <c r="S2395" t="s">
        <v>200</v>
      </c>
      <c r="T2395">
        <v>51003</v>
      </c>
      <c r="U2395" t="s">
        <v>100</v>
      </c>
      <c r="V2395" t="s">
        <v>101</v>
      </c>
      <c r="W2395" t="s">
        <v>535</v>
      </c>
      <c r="X2395" t="s">
        <v>371</v>
      </c>
      <c r="Y2395" t="s">
        <v>104</v>
      </c>
    </row>
    <row r="2396" spans="1:25">
      <c r="A2396">
        <v>10220</v>
      </c>
      <c r="B2396">
        <v>37</v>
      </c>
      <c r="C2396">
        <v>100</v>
      </c>
      <c r="D2396">
        <v>9</v>
      </c>
      <c r="E2396">
        <v>3983.05</v>
      </c>
      <c r="F2396" s="4">
        <v>38323</v>
      </c>
      <c r="G2396" t="s">
        <v>93</v>
      </c>
      <c r="H2396">
        <v>1</v>
      </c>
      <c r="I2396">
        <v>2</v>
      </c>
      <c r="J2396">
        <v>2004</v>
      </c>
      <c r="K2396" t="s">
        <v>638</v>
      </c>
      <c r="L2396">
        <v>115</v>
      </c>
      <c r="M2396" t="s">
        <v>851</v>
      </c>
      <c r="N2396" t="s">
        <v>609</v>
      </c>
      <c r="O2396" t="s">
        <v>610</v>
      </c>
      <c r="P2396" t="s">
        <v>611</v>
      </c>
      <c r="Q2396" t="s">
        <v>612</v>
      </c>
      <c r="R2396" t="s">
        <v>613</v>
      </c>
      <c r="T2396">
        <v>2</v>
      </c>
      <c r="U2396" t="s">
        <v>614</v>
      </c>
      <c r="V2396" t="s">
        <v>110</v>
      </c>
      <c r="W2396" t="s">
        <v>615</v>
      </c>
      <c r="X2396" t="s">
        <v>616</v>
      </c>
      <c r="Y2396" t="s">
        <v>119</v>
      </c>
    </row>
    <row r="2397" spans="1:25">
      <c r="A2397">
        <v>10230</v>
      </c>
      <c r="B2397">
        <v>34</v>
      </c>
      <c r="C2397">
        <v>100</v>
      </c>
      <c r="D2397">
        <v>7</v>
      </c>
      <c r="E2397">
        <v>3974.94</v>
      </c>
      <c r="F2397" t="s">
        <v>650</v>
      </c>
      <c r="G2397" t="s">
        <v>93</v>
      </c>
      <c r="H2397">
        <v>1</v>
      </c>
      <c r="I2397">
        <v>3</v>
      </c>
      <c r="J2397">
        <v>2004</v>
      </c>
      <c r="K2397" t="s">
        <v>638</v>
      </c>
      <c r="L2397">
        <v>115</v>
      </c>
      <c r="M2397" t="s">
        <v>851</v>
      </c>
      <c r="N2397" t="s">
        <v>587</v>
      </c>
      <c r="O2397" t="s">
        <v>588</v>
      </c>
      <c r="P2397" t="s">
        <v>589</v>
      </c>
      <c r="R2397" t="s">
        <v>590</v>
      </c>
      <c r="T2397">
        <v>60528</v>
      </c>
      <c r="U2397" t="s">
        <v>566</v>
      </c>
      <c r="V2397" t="s">
        <v>110</v>
      </c>
      <c r="W2397" t="s">
        <v>591</v>
      </c>
      <c r="X2397" t="s">
        <v>532</v>
      </c>
      <c r="Y2397" t="s">
        <v>119</v>
      </c>
    </row>
    <row r="2398" spans="1:25">
      <c r="A2398">
        <v>10246</v>
      </c>
      <c r="B2398">
        <v>22</v>
      </c>
      <c r="C2398">
        <v>100</v>
      </c>
      <c r="D2398">
        <v>3</v>
      </c>
      <c r="E2398">
        <v>2928.42</v>
      </c>
      <c r="F2398" s="4">
        <v>38112</v>
      </c>
      <c r="G2398" t="s">
        <v>93</v>
      </c>
      <c r="H2398">
        <v>2</v>
      </c>
      <c r="I2398">
        <v>5</v>
      </c>
      <c r="J2398">
        <v>2004</v>
      </c>
      <c r="K2398" t="s">
        <v>638</v>
      </c>
      <c r="L2398">
        <v>115</v>
      </c>
      <c r="M2398" t="s">
        <v>851</v>
      </c>
      <c r="N2398" t="s">
        <v>257</v>
      </c>
      <c r="O2398" t="s">
        <v>258</v>
      </c>
      <c r="P2398" t="s">
        <v>259</v>
      </c>
      <c r="R2398" t="s">
        <v>260</v>
      </c>
      <c r="T2398">
        <v>28034</v>
      </c>
      <c r="U2398" t="s">
        <v>261</v>
      </c>
      <c r="V2398" t="s">
        <v>110</v>
      </c>
      <c r="W2398" t="s">
        <v>262</v>
      </c>
      <c r="X2398" t="s">
        <v>263</v>
      </c>
      <c r="Y2398" t="s">
        <v>104</v>
      </c>
    </row>
    <row r="2399" spans="1:25">
      <c r="A2399">
        <v>10259</v>
      </c>
      <c r="B2399">
        <v>29</v>
      </c>
      <c r="C2399">
        <v>100</v>
      </c>
      <c r="D2399">
        <v>2</v>
      </c>
      <c r="E2399">
        <v>3054.57</v>
      </c>
      <c r="F2399" t="s">
        <v>337</v>
      </c>
      <c r="G2399" t="s">
        <v>93</v>
      </c>
      <c r="H2399">
        <v>2</v>
      </c>
      <c r="I2399">
        <v>6</v>
      </c>
      <c r="J2399">
        <v>2004</v>
      </c>
      <c r="K2399" t="s">
        <v>638</v>
      </c>
      <c r="L2399">
        <v>115</v>
      </c>
      <c r="M2399" t="s">
        <v>851</v>
      </c>
      <c r="N2399" t="s">
        <v>536</v>
      </c>
      <c r="O2399" t="s">
        <v>537</v>
      </c>
      <c r="P2399" t="s">
        <v>538</v>
      </c>
      <c r="Q2399" t="s">
        <v>539</v>
      </c>
      <c r="R2399" t="s">
        <v>287</v>
      </c>
      <c r="T2399">
        <v>69045</v>
      </c>
      <c r="U2399" t="s">
        <v>287</v>
      </c>
      <c r="V2399" t="s">
        <v>169</v>
      </c>
      <c r="W2399" t="s">
        <v>540</v>
      </c>
      <c r="X2399" t="s">
        <v>541</v>
      </c>
      <c r="Y2399" t="s">
        <v>119</v>
      </c>
    </row>
    <row r="2400" spans="1:25">
      <c r="A2400">
        <v>10271</v>
      </c>
      <c r="B2400">
        <v>34</v>
      </c>
      <c r="C2400">
        <v>98.39</v>
      </c>
      <c r="D2400">
        <v>3</v>
      </c>
      <c r="E2400">
        <v>3345.26</v>
      </c>
      <c r="F2400" t="s">
        <v>623</v>
      </c>
      <c r="G2400" t="s">
        <v>93</v>
      </c>
      <c r="H2400">
        <v>3</v>
      </c>
      <c r="I2400">
        <v>7</v>
      </c>
      <c r="J2400">
        <v>2004</v>
      </c>
      <c r="K2400" t="s">
        <v>638</v>
      </c>
      <c r="L2400">
        <v>115</v>
      </c>
      <c r="M2400" t="s">
        <v>851</v>
      </c>
      <c r="N2400" t="s">
        <v>367</v>
      </c>
      <c r="O2400">
        <v>4155551450</v>
      </c>
      <c r="P2400" t="s">
        <v>368</v>
      </c>
      <c r="R2400" t="s">
        <v>369</v>
      </c>
      <c r="S2400" t="s">
        <v>124</v>
      </c>
      <c r="T2400">
        <v>97562</v>
      </c>
      <c r="U2400" t="s">
        <v>100</v>
      </c>
      <c r="V2400" t="s">
        <v>101</v>
      </c>
      <c r="W2400" t="s">
        <v>370</v>
      </c>
      <c r="X2400" t="s">
        <v>371</v>
      </c>
      <c r="Y2400" t="s">
        <v>119</v>
      </c>
    </row>
    <row r="2401" spans="1:25">
      <c r="A2401">
        <v>10282</v>
      </c>
      <c r="B2401">
        <v>38</v>
      </c>
      <c r="C2401">
        <v>100</v>
      </c>
      <c r="D2401">
        <v>12</v>
      </c>
      <c r="E2401">
        <v>4310.72</v>
      </c>
      <c r="F2401" t="s">
        <v>483</v>
      </c>
      <c r="G2401" t="s">
        <v>93</v>
      </c>
      <c r="H2401">
        <v>3</v>
      </c>
      <c r="I2401">
        <v>8</v>
      </c>
      <c r="J2401">
        <v>2004</v>
      </c>
      <c r="K2401" t="s">
        <v>638</v>
      </c>
      <c r="L2401">
        <v>115</v>
      </c>
      <c r="M2401" t="s">
        <v>851</v>
      </c>
      <c r="N2401" t="s">
        <v>367</v>
      </c>
      <c r="O2401">
        <v>4155551450</v>
      </c>
      <c r="P2401" t="s">
        <v>368</v>
      </c>
      <c r="R2401" t="s">
        <v>369</v>
      </c>
      <c r="S2401" t="s">
        <v>124</v>
      </c>
      <c r="T2401">
        <v>97562</v>
      </c>
      <c r="U2401" t="s">
        <v>100</v>
      </c>
      <c r="V2401" t="s">
        <v>101</v>
      </c>
      <c r="W2401" t="s">
        <v>370</v>
      </c>
      <c r="X2401" t="s">
        <v>371</v>
      </c>
      <c r="Y2401" t="s">
        <v>119</v>
      </c>
    </row>
    <row r="2402" spans="1:25">
      <c r="A2402">
        <v>10292</v>
      </c>
      <c r="B2402">
        <v>41</v>
      </c>
      <c r="C2402">
        <v>100</v>
      </c>
      <c r="D2402">
        <v>6</v>
      </c>
      <c r="E2402">
        <v>4983.1400000000003</v>
      </c>
      <c r="F2402" s="4">
        <v>38208</v>
      </c>
      <c r="G2402" t="s">
        <v>93</v>
      </c>
      <c r="H2402">
        <v>3</v>
      </c>
      <c r="I2402">
        <v>9</v>
      </c>
      <c r="J2402">
        <v>2004</v>
      </c>
      <c r="K2402" t="s">
        <v>638</v>
      </c>
      <c r="L2402">
        <v>115</v>
      </c>
      <c r="M2402" t="s">
        <v>851</v>
      </c>
      <c r="N2402" t="s">
        <v>96</v>
      </c>
      <c r="O2402">
        <v>2125557818</v>
      </c>
      <c r="P2402" t="s">
        <v>97</v>
      </c>
      <c r="R2402" t="s">
        <v>98</v>
      </c>
      <c r="S2402" t="s">
        <v>99</v>
      </c>
      <c r="T2402">
        <v>10022</v>
      </c>
      <c r="U2402" t="s">
        <v>100</v>
      </c>
      <c r="V2402" t="s">
        <v>101</v>
      </c>
      <c r="W2402" t="s">
        <v>102</v>
      </c>
      <c r="X2402" t="s">
        <v>103</v>
      </c>
      <c r="Y2402" t="s">
        <v>119</v>
      </c>
    </row>
    <row r="2403" spans="1:25">
      <c r="A2403">
        <v>10305</v>
      </c>
      <c r="B2403">
        <v>42</v>
      </c>
      <c r="C2403">
        <v>100</v>
      </c>
      <c r="D2403">
        <v>3</v>
      </c>
      <c r="E2403">
        <v>4618.32</v>
      </c>
      <c r="F2403" t="s">
        <v>543</v>
      </c>
      <c r="G2403" t="s">
        <v>93</v>
      </c>
      <c r="H2403">
        <v>4</v>
      </c>
      <c r="I2403">
        <v>10</v>
      </c>
      <c r="J2403">
        <v>2004</v>
      </c>
      <c r="K2403" t="s">
        <v>638</v>
      </c>
      <c r="L2403">
        <v>115</v>
      </c>
      <c r="M2403" t="s">
        <v>851</v>
      </c>
      <c r="N2403" t="s">
        <v>197</v>
      </c>
      <c r="O2403">
        <v>6175558555</v>
      </c>
      <c r="P2403" t="s">
        <v>198</v>
      </c>
      <c r="R2403" t="s">
        <v>199</v>
      </c>
      <c r="S2403" t="s">
        <v>200</v>
      </c>
      <c r="T2403">
        <v>51247</v>
      </c>
      <c r="U2403" t="s">
        <v>100</v>
      </c>
      <c r="V2403" t="s">
        <v>101</v>
      </c>
      <c r="W2403" t="s">
        <v>201</v>
      </c>
      <c r="X2403" t="s">
        <v>202</v>
      </c>
      <c r="Y2403" t="s">
        <v>119</v>
      </c>
    </row>
    <row r="2404" spans="1:25">
      <c r="A2404">
        <v>10314</v>
      </c>
      <c r="B2404">
        <v>28</v>
      </c>
      <c r="C2404">
        <v>100</v>
      </c>
      <c r="D2404">
        <v>12</v>
      </c>
      <c r="E2404">
        <v>3403.12</v>
      </c>
      <c r="F2404" t="s">
        <v>544</v>
      </c>
      <c r="G2404" t="s">
        <v>93</v>
      </c>
      <c r="H2404">
        <v>4</v>
      </c>
      <c r="I2404">
        <v>10</v>
      </c>
      <c r="J2404">
        <v>2004</v>
      </c>
      <c r="K2404" t="s">
        <v>638</v>
      </c>
      <c r="L2404">
        <v>115</v>
      </c>
      <c r="M2404" t="s">
        <v>851</v>
      </c>
      <c r="N2404" t="s">
        <v>630</v>
      </c>
      <c r="O2404" t="s">
        <v>631</v>
      </c>
      <c r="P2404" t="s">
        <v>632</v>
      </c>
      <c r="R2404" t="s">
        <v>633</v>
      </c>
      <c r="T2404">
        <v>8200</v>
      </c>
      <c r="U2404" t="s">
        <v>429</v>
      </c>
      <c r="V2404" t="s">
        <v>110</v>
      </c>
      <c r="W2404" t="s">
        <v>634</v>
      </c>
      <c r="X2404" t="s">
        <v>635</v>
      </c>
      <c r="Y2404" t="s">
        <v>119</v>
      </c>
    </row>
    <row r="2405" spans="1:25">
      <c r="A2405">
        <v>10325</v>
      </c>
      <c r="B2405">
        <v>38</v>
      </c>
      <c r="C2405">
        <v>100</v>
      </c>
      <c r="D2405">
        <v>4</v>
      </c>
      <c r="E2405">
        <v>5190.42</v>
      </c>
      <c r="F2405" s="4">
        <v>38118</v>
      </c>
      <c r="G2405" t="s">
        <v>93</v>
      </c>
      <c r="H2405">
        <v>4</v>
      </c>
      <c r="I2405">
        <v>11</v>
      </c>
      <c r="J2405">
        <v>2004</v>
      </c>
      <c r="K2405" t="s">
        <v>638</v>
      </c>
      <c r="L2405">
        <v>115</v>
      </c>
      <c r="M2405" t="s">
        <v>851</v>
      </c>
      <c r="N2405" t="s">
        <v>212</v>
      </c>
      <c r="O2405" t="s">
        <v>213</v>
      </c>
      <c r="P2405" t="s">
        <v>214</v>
      </c>
      <c r="R2405" t="s">
        <v>215</v>
      </c>
      <c r="T2405">
        <v>4110</v>
      </c>
      <c r="U2405" t="s">
        <v>149</v>
      </c>
      <c r="V2405" t="s">
        <v>110</v>
      </c>
      <c r="W2405" t="s">
        <v>216</v>
      </c>
      <c r="X2405" t="s">
        <v>217</v>
      </c>
      <c r="Y2405" t="s">
        <v>119</v>
      </c>
    </row>
    <row r="2406" spans="1:25">
      <c r="A2406">
        <v>10336</v>
      </c>
      <c r="B2406">
        <v>23</v>
      </c>
      <c r="C2406">
        <v>100</v>
      </c>
      <c r="D2406">
        <v>8</v>
      </c>
      <c r="E2406">
        <v>3141.57</v>
      </c>
      <c r="F2406" t="s">
        <v>636</v>
      </c>
      <c r="G2406" t="s">
        <v>93</v>
      </c>
      <c r="H2406">
        <v>4</v>
      </c>
      <c r="I2406">
        <v>11</v>
      </c>
      <c r="J2406">
        <v>2004</v>
      </c>
      <c r="K2406" t="s">
        <v>638</v>
      </c>
      <c r="L2406">
        <v>115</v>
      </c>
      <c r="M2406" t="s">
        <v>851</v>
      </c>
      <c r="N2406" t="s">
        <v>520</v>
      </c>
      <c r="O2406" t="s">
        <v>521</v>
      </c>
      <c r="P2406" t="s">
        <v>522</v>
      </c>
      <c r="R2406" t="s">
        <v>116</v>
      </c>
      <c r="T2406">
        <v>75012</v>
      </c>
      <c r="U2406" t="s">
        <v>109</v>
      </c>
      <c r="V2406" t="s">
        <v>110</v>
      </c>
      <c r="W2406" t="s">
        <v>523</v>
      </c>
      <c r="X2406" t="s">
        <v>524</v>
      </c>
      <c r="Y2406" t="s">
        <v>119</v>
      </c>
    </row>
    <row r="2407" spans="1:25">
      <c r="A2407">
        <v>10350</v>
      </c>
      <c r="B2407">
        <v>31</v>
      </c>
      <c r="C2407">
        <v>71.400000000000006</v>
      </c>
      <c r="D2407">
        <v>8</v>
      </c>
      <c r="E2407">
        <v>2213.4</v>
      </c>
      <c r="F2407" s="4">
        <v>38029</v>
      </c>
      <c r="G2407" t="s">
        <v>93</v>
      </c>
      <c r="H2407">
        <v>4</v>
      </c>
      <c r="I2407">
        <v>12</v>
      </c>
      <c r="J2407">
        <v>2004</v>
      </c>
      <c r="K2407" t="s">
        <v>638</v>
      </c>
      <c r="L2407">
        <v>115</v>
      </c>
      <c r="M2407" t="s">
        <v>851</v>
      </c>
      <c r="N2407" t="s">
        <v>257</v>
      </c>
      <c r="O2407" t="s">
        <v>258</v>
      </c>
      <c r="P2407" t="s">
        <v>259</v>
      </c>
      <c r="R2407" t="s">
        <v>260</v>
      </c>
      <c r="T2407">
        <v>28034</v>
      </c>
      <c r="U2407" t="s">
        <v>261</v>
      </c>
      <c r="V2407" t="s">
        <v>110</v>
      </c>
      <c r="W2407" t="s">
        <v>262</v>
      </c>
      <c r="X2407" t="s">
        <v>263</v>
      </c>
      <c r="Y2407" t="s">
        <v>104</v>
      </c>
    </row>
    <row r="2408" spans="1:25">
      <c r="A2408">
        <v>10359</v>
      </c>
      <c r="B2408">
        <v>46</v>
      </c>
      <c r="C2408">
        <v>100</v>
      </c>
      <c r="D2408">
        <v>2</v>
      </c>
      <c r="E2408">
        <v>4896.7</v>
      </c>
      <c r="F2408" t="s">
        <v>504</v>
      </c>
      <c r="G2408" t="s">
        <v>93</v>
      </c>
      <c r="H2408">
        <v>4</v>
      </c>
      <c r="I2408">
        <v>12</v>
      </c>
      <c r="J2408">
        <v>2004</v>
      </c>
      <c r="K2408" t="s">
        <v>638</v>
      </c>
      <c r="L2408">
        <v>115</v>
      </c>
      <c r="M2408" t="s">
        <v>851</v>
      </c>
      <c r="N2408" t="s">
        <v>105</v>
      </c>
      <c r="O2408" t="s">
        <v>106</v>
      </c>
      <c r="P2408" t="s">
        <v>107</v>
      </c>
      <c r="R2408" t="s">
        <v>108</v>
      </c>
      <c r="T2408">
        <v>51100</v>
      </c>
      <c r="U2408" t="s">
        <v>109</v>
      </c>
      <c r="V2408" t="s">
        <v>110</v>
      </c>
      <c r="W2408" t="s">
        <v>111</v>
      </c>
      <c r="X2408" t="s">
        <v>112</v>
      </c>
      <c r="Y2408" t="s">
        <v>119</v>
      </c>
    </row>
    <row r="2409" spans="1:25">
      <c r="A2409">
        <v>10371</v>
      </c>
      <c r="B2409">
        <v>48</v>
      </c>
      <c r="C2409">
        <v>56.55</v>
      </c>
      <c r="D2409">
        <v>10</v>
      </c>
      <c r="E2409">
        <v>2714.4</v>
      </c>
      <c r="F2409" t="s">
        <v>637</v>
      </c>
      <c r="G2409" t="s">
        <v>93</v>
      </c>
      <c r="H2409">
        <v>1</v>
      </c>
      <c r="I2409">
        <v>1</v>
      </c>
      <c r="J2409">
        <v>2005</v>
      </c>
      <c r="K2409" t="s">
        <v>638</v>
      </c>
      <c r="L2409">
        <v>115</v>
      </c>
      <c r="M2409" t="s">
        <v>851</v>
      </c>
      <c r="N2409" t="s">
        <v>367</v>
      </c>
      <c r="O2409">
        <v>4155551450</v>
      </c>
      <c r="P2409" t="s">
        <v>368</v>
      </c>
      <c r="R2409" t="s">
        <v>369</v>
      </c>
      <c r="S2409" t="s">
        <v>124</v>
      </c>
      <c r="T2409">
        <v>97562</v>
      </c>
      <c r="U2409" t="s">
        <v>100</v>
      </c>
      <c r="V2409" t="s">
        <v>101</v>
      </c>
      <c r="W2409" t="s">
        <v>370</v>
      </c>
      <c r="X2409" t="s">
        <v>371</v>
      </c>
      <c r="Y2409" t="s">
        <v>104</v>
      </c>
    </row>
    <row r="2410" spans="1:25">
      <c r="A2410">
        <v>10383</v>
      </c>
      <c r="B2410">
        <v>29</v>
      </c>
      <c r="C2410">
        <v>100</v>
      </c>
      <c r="D2410">
        <v>13</v>
      </c>
      <c r="E2410">
        <v>3087.05</v>
      </c>
      <c r="F2410" t="s">
        <v>760</v>
      </c>
      <c r="G2410" t="s">
        <v>93</v>
      </c>
      <c r="H2410">
        <v>1</v>
      </c>
      <c r="I2410">
        <v>2</v>
      </c>
      <c r="J2410">
        <v>2005</v>
      </c>
      <c r="K2410" t="s">
        <v>638</v>
      </c>
      <c r="L2410">
        <v>115</v>
      </c>
      <c r="M2410" t="s">
        <v>851</v>
      </c>
      <c r="N2410" t="s">
        <v>257</v>
      </c>
      <c r="O2410" t="s">
        <v>258</v>
      </c>
      <c r="P2410" t="s">
        <v>259</v>
      </c>
      <c r="R2410" t="s">
        <v>260</v>
      </c>
      <c r="T2410">
        <v>28034</v>
      </c>
      <c r="U2410" t="s">
        <v>261</v>
      </c>
      <c r="V2410" t="s">
        <v>110</v>
      </c>
      <c r="W2410" t="s">
        <v>262</v>
      </c>
      <c r="X2410" t="s">
        <v>263</v>
      </c>
      <c r="Y2410" t="s">
        <v>119</v>
      </c>
    </row>
    <row r="2411" spans="1:25">
      <c r="A2411">
        <v>10395</v>
      </c>
      <c r="B2411">
        <v>46</v>
      </c>
      <c r="C2411">
        <v>100</v>
      </c>
      <c r="D2411">
        <v>4</v>
      </c>
      <c r="E2411">
        <v>5692.96</v>
      </c>
      <c r="F2411" t="s">
        <v>513</v>
      </c>
      <c r="G2411" t="s">
        <v>93</v>
      </c>
      <c r="H2411">
        <v>1</v>
      </c>
      <c r="I2411">
        <v>3</v>
      </c>
      <c r="J2411">
        <v>2005</v>
      </c>
      <c r="K2411" t="s">
        <v>638</v>
      </c>
      <c r="L2411">
        <v>115</v>
      </c>
      <c r="M2411" t="s">
        <v>851</v>
      </c>
      <c r="N2411" t="s">
        <v>113</v>
      </c>
      <c r="O2411" t="s">
        <v>114</v>
      </c>
      <c r="P2411" t="s">
        <v>115</v>
      </c>
      <c r="R2411" t="s">
        <v>116</v>
      </c>
      <c r="T2411">
        <v>75508</v>
      </c>
      <c r="U2411" t="s">
        <v>109</v>
      </c>
      <c r="V2411" t="s">
        <v>110</v>
      </c>
      <c r="W2411" t="s">
        <v>117</v>
      </c>
      <c r="X2411" t="s">
        <v>118</v>
      </c>
      <c r="Y2411" t="s">
        <v>119</v>
      </c>
    </row>
    <row r="2412" spans="1:25">
      <c r="A2412">
        <v>10412</v>
      </c>
      <c r="B2412">
        <v>26</v>
      </c>
      <c r="C2412">
        <v>100</v>
      </c>
      <c r="D2412">
        <v>3</v>
      </c>
      <c r="E2412">
        <v>3460.86</v>
      </c>
      <c r="F2412" s="4">
        <v>38416</v>
      </c>
      <c r="G2412" t="s">
        <v>93</v>
      </c>
      <c r="H2412">
        <v>2</v>
      </c>
      <c r="I2412">
        <v>5</v>
      </c>
      <c r="J2412">
        <v>2005</v>
      </c>
      <c r="K2412" t="s">
        <v>638</v>
      </c>
      <c r="L2412">
        <v>115</v>
      </c>
      <c r="M2412" t="s">
        <v>851</v>
      </c>
      <c r="N2412" t="s">
        <v>257</v>
      </c>
      <c r="O2412" t="s">
        <v>258</v>
      </c>
      <c r="P2412" t="s">
        <v>259</v>
      </c>
      <c r="R2412" t="s">
        <v>260</v>
      </c>
      <c r="T2412">
        <v>28034</v>
      </c>
      <c r="U2412" t="s">
        <v>261</v>
      </c>
      <c r="V2412" t="s">
        <v>110</v>
      </c>
      <c r="W2412" t="s">
        <v>262</v>
      </c>
      <c r="X2412" t="s">
        <v>263</v>
      </c>
      <c r="Y2412" t="s">
        <v>119</v>
      </c>
    </row>
    <row r="2413" spans="1:25">
      <c r="A2413">
        <v>10425</v>
      </c>
      <c r="B2413">
        <v>18</v>
      </c>
      <c r="C2413">
        <v>100</v>
      </c>
      <c r="D2413">
        <v>2</v>
      </c>
      <c r="E2413">
        <v>1895.94</v>
      </c>
      <c r="F2413" t="s">
        <v>399</v>
      </c>
      <c r="G2413" t="s">
        <v>400</v>
      </c>
      <c r="H2413">
        <v>2</v>
      </c>
      <c r="I2413">
        <v>5</v>
      </c>
      <c r="J2413">
        <v>2005</v>
      </c>
      <c r="K2413" t="s">
        <v>638</v>
      </c>
      <c r="L2413">
        <v>115</v>
      </c>
      <c r="M2413" t="s">
        <v>851</v>
      </c>
      <c r="N2413" t="s">
        <v>190</v>
      </c>
      <c r="O2413" t="s">
        <v>191</v>
      </c>
      <c r="P2413" t="s">
        <v>192</v>
      </c>
      <c r="R2413" t="s">
        <v>193</v>
      </c>
      <c r="T2413">
        <v>44000</v>
      </c>
      <c r="U2413" t="s">
        <v>109</v>
      </c>
      <c r="V2413" t="s">
        <v>110</v>
      </c>
      <c r="W2413" t="s">
        <v>194</v>
      </c>
      <c r="X2413" t="s">
        <v>195</v>
      </c>
      <c r="Y2413" t="s">
        <v>104</v>
      </c>
    </row>
    <row r="2414" spans="1:25">
      <c r="A2414">
        <v>10104</v>
      </c>
      <c r="B2414">
        <v>32</v>
      </c>
      <c r="C2414">
        <v>53.31</v>
      </c>
      <c r="D2414">
        <v>2</v>
      </c>
      <c r="E2414">
        <v>1705.92</v>
      </c>
      <c r="F2414" t="s">
        <v>648</v>
      </c>
      <c r="G2414" t="s">
        <v>93</v>
      </c>
      <c r="H2414">
        <v>1</v>
      </c>
      <c r="I2414">
        <v>1</v>
      </c>
      <c r="J2414">
        <v>2003</v>
      </c>
      <c r="K2414" t="s">
        <v>785</v>
      </c>
      <c r="L2414">
        <v>58</v>
      </c>
      <c r="M2414" t="s">
        <v>852</v>
      </c>
      <c r="N2414" t="s">
        <v>257</v>
      </c>
      <c r="O2414" t="s">
        <v>258</v>
      </c>
      <c r="P2414" t="s">
        <v>259</v>
      </c>
      <c r="R2414" t="s">
        <v>260</v>
      </c>
      <c r="T2414">
        <v>28034</v>
      </c>
      <c r="U2414" t="s">
        <v>261</v>
      </c>
      <c r="V2414" t="s">
        <v>110</v>
      </c>
      <c r="W2414" t="s">
        <v>262</v>
      </c>
      <c r="X2414" t="s">
        <v>263</v>
      </c>
      <c r="Y2414" t="s">
        <v>104</v>
      </c>
    </row>
    <row r="2415" spans="1:25">
      <c r="A2415">
        <v>10117</v>
      </c>
      <c r="B2415">
        <v>21</v>
      </c>
      <c r="C2415">
        <v>49.21</v>
      </c>
      <c r="D2415">
        <v>11</v>
      </c>
      <c r="E2415">
        <v>1033.4100000000001</v>
      </c>
      <c r="F2415" t="s">
        <v>602</v>
      </c>
      <c r="G2415" t="s">
        <v>93</v>
      </c>
      <c r="H2415">
        <v>2</v>
      </c>
      <c r="I2415">
        <v>4</v>
      </c>
      <c r="J2415">
        <v>2003</v>
      </c>
      <c r="K2415" t="s">
        <v>785</v>
      </c>
      <c r="L2415">
        <v>58</v>
      </c>
      <c r="M2415" t="s">
        <v>852</v>
      </c>
      <c r="N2415" t="s">
        <v>284</v>
      </c>
      <c r="O2415" t="s">
        <v>285</v>
      </c>
      <c r="P2415" t="s">
        <v>286</v>
      </c>
      <c r="R2415" t="s">
        <v>287</v>
      </c>
      <c r="T2415">
        <v>79903</v>
      </c>
      <c r="U2415" t="s">
        <v>287</v>
      </c>
      <c r="V2415" t="s">
        <v>288</v>
      </c>
      <c r="W2415" t="s">
        <v>289</v>
      </c>
      <c r="X2415" t="s">
        <v>290</v>
      </c>
      <c r="Y2415" t="s">
        <v>104</v>
      </c>
    </row>
    <row r="2416" spans="1:25">
      <c r="A2416">
        <v>10127</v>
      </c>
      <c r="B2416">
        <v>46</v>
      </c>
      <c r="C2416">
        <v>69.12</v>
      </c>
      <c r="D2416">
        <v>4</v>
      </c>
      <c r="E2416">
        <v>3179.52</v>
      </c>
      <c r="F2416" s="4">
        <v>37686</v>
      </c>
      <c r="G2416" t="s">
        <v>93</v>
      </c>
      <c r="H2416">
        <v>2</v>
      </c>
      <c r="I2416">
        <v>6</v>
      </c>
      <c r="J2416">
        <v>2003</v>
      </c>
      <c r="K2416" t="s">
        <v>785</v>
      </c>
      <c r="L2416">
        <v>58</v>
      </c>
      <c r="M2416" t="s">
        <v>852</v>
      </c>
      <c r="N2416" t="s">
        <v>603</v>
      </c>
      <c r="O2416">
        <v>2125557413</v>
      </c>
      <c r="P2416" t="s">
        <v>604</v>
      </c>
      <c r="Q2416" t="s">
        <v>605</v>
      </c>
      <c r="R2416" t="s">
        <v>98</v>
      </c>
      <c r="S2416" t="s">
        <v>99</v>
      </c>
      <c r="T2416">
        <v>10022</v>
      </c>
      <c r="U2416" t="s">
        <v>100</v>
      </c>
      <c r="V2416" t="s">
        <v>101</v>
      </c>
      <c r="W2416" t="s">
        <v>125</v>
      </c>
      <c r="X2416" t="s">
        <v>606</v>
      </c>
      <c r="Y2416" t="s">
        <v>119</v>
      </c>
    </row>
    <row r="2417" spans="1:25">
      <c r="A2417">
        <v>10142</v>
      </c>
      <c r="B2417">
        <v>42</v>
      </c>
      <c r="C2417">
        <v>49.79</v>
      </c>
      <c r="D2417">
        <v>14</v>
      </c>
      <c r="E2417">
        <v>2091.1799999999998</v>
      </c>
      <c r="F2417" s="4">
        <v>37841</v>
      </c>
      <c r="G2417" t="s">
        <v>93</v>
      </c>
      <c r="H2417">
        <v>3</v>
      </c>
      <c r="I2417">
        <v>8</v>
      </c>
      <c r="J2417">
        <v>2003</v>
      </c>
      <c r="K2417" t="s">
        <v>785</v>
      </c>
      <c r="L2417">
        <v>58</v>
      </c>
      <c r="M2417" t="s">
        <v>852</v>
      </c>
      <c r="N2417" t="s">
        <v>367</v>
      </c>
      <c r="O2417">
        <v>4155551450</v>
      </c>
      <c r="P2417" t="s">
        <v>368</v>
      </c>
      <c r="R2417" t="s">
        <v>369</v>
      </c>
      <c r="S2417" t="s">
        <v>124</v>
      </c>
      <c r="T2417">
        <v>97562</v>
      </c>
      <c r="U2417" t="s">
        <v>100</v>
      </c>
      <c r="V2417" t="s">
        <v>101</v>
      </c>
      <c r="W2417" t="s">
        <v>370</v>
      </c>
      <c r="X2417" t="s">
        <v>371</v>
      </c>
      <c r="Y2417" t="s">
        <v>104</v>
      </c>
    </row>
    <row r="2418" spans="1:25">
      <c r="A2418">
        <v>10153</v>
      </c>
      <c r="B2418">
        <v>31</v>
      </c>
      <c r="C2418">
        <v>57.41</v>
      </c>
      <c r="D2418">
        <v>13</v>
      </c>
      <c r="E2418">
        <v>1779.71</v>
      </c>
      <c r="F2418" t="s">
        <v>607</v>
      </c>
      <c r="G2418" t="s">
        <v>93</v>
      </c>
      <c r="H2418">
        <v>3</v>
      </c>
      <c r="I2418">
        <v>9</v>
      </c>
      <c r="J2418">
        <v>2003</v>
      </c>
      <c r="K2418" t="s">
        <v>785</v>
      </c>
      <c r="L2418">
        <v>58</v>
      </c>
      <c r="M2418" t="s">
        <v>852</v>
      </c>
      <c r="N2418" t="s">
        <v>257</v>
      </c>
      <c r="O2418" t="s">
        <v>258</v>
      </c>
      <c r="P2418" t="s">
        <v>259</v>
      </c>
      <c r="R2418" t="s">
        <v>260</v>
      </c>
      <c r="T2418">
        <v>28034</v>
      </c>
      <c r="U2418" t="s">
        <v>261</v>
      </c>
      <c r="V2418" t="s">
        <v>110</v>
      </c>
      <c r="W2418" t="s">
        <v>262</v>
      </c>
      <c r="X2418" t="s">
        <v>263</v>
      </c>
      <c r="Y2418" t="s">
        <v>104</v>
      </c>
    </row>
    <row r="2419" spans="1:25">
      <c r="A2419">
        <v>10165</v>
      </c>
      <c r="B2419">
        <v>38</v>
      </c>
      <c r="C2419">
        <v>66.78</v>
      </c>
      <c r="D2419">
        <v>5</v>
      </c>
      <c r="E2419">
        <v>2537.64</v>
      </c>
      <c r="F2419" t="s">
        <v>608</v>
      </c>
      <c r="G2419" t="s">
        <v>93</v>
      </c>
      <c r="H2419">
        <v>4</v>
      </c>
      <c r="I2419">
        <v>10</v>
      </c>
      <c r="J2419">
        <v>2003</v>
      </c>
      <c r="K2419" t="s">
        <v>785</v>
      </c>
      <c r="L2419">
        <v>58</v>
      </c>
      <c r="M2419" t="s">
        <v>852</v>
      </c>
      <c r="N2419" t="s">
        <v>284</v>
      </c>
      <c r="O2419" t="s">
        <v>285</v>
      </c>
      <c r="P2419" t="s">
        <v>286</v>
      </c>
      <c r="R2419" t="s">
        <v>287</v>
      </c>
      <c r="T2419">
        <v>79903</v>
      </c>
      <c r="U2419" t="s">
        <v>287</v>
      </c>
      <c r="V2419" t="s">
        <v>288</v>
      </c>
      <c r="W2419" t="s">
        <v>289</v>
      </c>
      <c r="X2419" t="s">
        <v>290</v>
      </c>
      <c r="Y2419" t="s">
        <v>104</v>
      </c>
    </row>
    <row r="2420" spans="1:25">
      <c r="A2420">
        <v>10176</v>
      </c>
      <c r="B2420">
        <v>38</v>
      </c>
      <c r="C2420">
        <v>64.44</v>
      </c>
      <c r="D2420">
        <v>4</v>
      </c>
      <c r="E2420">
        <v>2448.7199999999998</v>
      </c>
      <c r="F2420" s="4">
        <v>37783</v>
      </c>
      <c r="G2420" t="s">
        <v>93</v>
      </c>
      <c r="H2420">
        <v>4</v>
      </c>
      <c r="I2420">
        <v>11</v>
      </c>
      <c r="J2420">
        <v>2003</v>
      </c>
      <c r="K2420" t="s">
        <v>785</v>
      </c>
      <c r="L2420">
        <v>58</v>
      </c>
      <c r="M2420" t="s">
        <v>852</v>
      </c>
      <c r="N2420" t="s">
        <v>576</v>
      </c>
      <c r="O2420" t="s">
        <v>577</v>
      </c>
      <c r="P2420" t="s">
        <v>578</v>
      </c>
      <c r="R2420" t="s">
        <v>579</v>
      </c>
      <c r="T2420">
        <v>42100</v>
      </c>
      <c r="U2420" t="s">
        <v>352</v>
      </c>
      <c r="V2420" t="s">
        <v>110</v>
      </c>
      <c r="W2420" t="s">
        <v>580</v>
      </c>
      <c r="X2420" t="s">
        <v>581</v>
      </c>
      <c r="Y2420" t="s">
        <v>104</v>
      </c>
    </row>
    <row r="2421" spans="1:25">
      <c r="A2421">
        <v>10185</v>
      </c>
      <c r="B2421">
        <v>20</v>
      </c>
      <c r="C2421">
        <v>48.62</v>
      </c>
      <c r="D2421">
        <v>15</v>
      </c>
      <c r="E2421">
        <v>972.4</v>
      </c>
      <c r="F2421" t="s">
        <v>451</v>
      </c>
      <c r="G2421" t="s">
        <v>93</v>
      </c>
      <c r="H2421">
        <v>4</v>
      </c>
      <c r="I2421">
        <v>11</v>
      </c>
      <c r="J2421">
        <v>2003</v>
      </c>
      <c r="K2421" t="s">
        <v>785</v>
      </c>
      <c r="L2421">
        <v>58</v>
      </c>
      <c r="M2421" t="s">
        <v>852</v>
      </c>
      <c r="N2421" t="s">
        <v>439</v>
      </c>
      <c r="O2421">
        <v>5085559555</v>
      </c>
      <c r="P2421" t="s">
        <v>440</v>
      </c>
      <c r="R2421" t="s">
        <v>244</v>
      </c>
      <c r="S2421" t="s">
        <v>200</v>
      </c>
      <c r="T2421">
        <v>50553</v>
      </c>
      <c r="U2421" t="s">
        <v>100</v>
      </c>
      <c r="V2421" t="s">
        <v>101</v>
      </c>
      <c r="W2421" t="s">
        <v>441</v>
      </c>
      <c r="X2421" t="s">
        <v>442</v>
      </c>
      <c r="Y2421" t="s">
        <v>104</v>
      </c>
    </row>
    <row r="2422" spans="1:25">
      <c r="A2422">
        <v>10196</v>
      </c>
      <c r="B2422">
        <v>46</v>
      </c>
      <c r="C2422">
        <v>62.09</v>
      </c>
      <c r="D2422">
        <v>7</v>
      </c>
      <c r="E2422">
        <v>2856.14</v>
      </c>
      <c r="F2422" t="s">
        <v>458</v>
      </c>
      <c r="G2422" t="s">
        <v>93</v>
      </c>
      <c r="H2422">
        <v>4</v>
      </c>
      <c r="I2422">
        <v>11</v>
      </c>
      <c r="J2422">
        <v>2003</v>
      </c>
      <c r="K2422" t="s">
        <v>785</v>
      </c>
      <c r="L2422">
        <v>58</v>
      </c>
      <c r="M2422" t="s">
        <v>852</v>
      </c>
      <c r="N2422" t="s">
        <v>333</v>
      </c>
      <c r="O2422">
        <v>2035559545</v>
      </c>
      <c r="P2422" t="s">
        <v>334</v>
      </c>
      <c r="R2422" t="s">
        <v>335</v>
      </c>
      <c r="S2422" t="s">
        <v>187</v>
      </c>
      <c r="T2422">
        <v>97823</v>
      </c>
      <c r="U2422" t="s">
        <v>100</v>
      </c>
      <c r="V2422" t="s">
        <v>101</v>
      </c>
      <c r="W2422" t="s">
        <v>154</v>
      </c>
      <c r="X2422" t="s">
        <v>336</v>
      </c>
      <c r="Y2422" t="s">
        <v>104</v>
      </c>
    </row>
    <row r="2423" spans="1:25">
      <c r="A2423">
        <v>10208</v>
      </c>
      <c r="B2423">
        <v>30</v>
      </c>
      <c r="C2423">
        <v>65.61</v>
      </c>
      <c r="D2423">
        <v>15</v>
      </c>
      <c r="E2423">
        <v>1968.3</v>
      </c>
      <c r="F2423" s="4">
        <v>38018</v>
      </c>
      <c r="G2423" t="s">
        <v>93</v>
      </c>
      <c r="H2423">
        <v>1</v>
      </c>
      <c r="I2423">
        <v>1</v>
      </c>
      <c r="J2423">
        <v>2004</v>
      </c>
      <c r="K2423" t="s">
        <v>785</v>
      </c>
      <c r="L2423">
        <v>58</v>
      </c>
      <c r="M2423" t="s">
        <v>852</v>
      </c>
      <c r="N2423" t="s">
        <v>310</v>
      </c>
      <c r="O2423" t="s">
        <v>311</v>
      </c>
      <c r="P2423" t="s">
        <v>312</v>
      </c>
      <c r="R2423" t="s">
        <v>313</v>
      </c>
      <c r="T2423">
        <v>69004</v>
      </c>
      <c r="U2423" t="s">
        <v>109</v>
      </c>
      <c r="V2423" t="s">
        <v>110</v>
      </c>
      <c r="W2423" t="s">
        <v>314</v>
      </c>
      <c r="X2423" t="s">
        <v>315</v>
      </c>
      <c r="Y2423" t="s">
        <v>104</v>
      </c>
    </row>
    <row r="2424" spans="1:25">
      <c r="A2424">
        <v>10220</v>
      </c>
      <c r="B2424">
        <v>30</v>
      </c>
      <c r="C2424">
        <v>68.540000000000006</v>
      </c>
      <c r="D2424">
        <v>4</v>
      </c>
      <c r="E2424">
        <v>2056.1999999999998</v>
      </c>
      <c r="F2424" s="4">
        <v>38323</v>
      </c>
      <c r="G2424" t="s">
        <v>93</v>
      </c>
      <c r="H2424">
        <v>1</v>
      </c>
      <c r="I2424">
        <v>2</v>
      </c>
      <c r="J2424">
        <v>2004</v>
      </c>
      <c r="K2424" t="s">
        <v>785</v>
      </c>
      <c r="L2424">
        <v>58</v>
      </c>
      <c r="M2424" t="s">
        <v>852</v>
      </c>
      <c r="N2424" t="s">
        <v>609</v>
      </c>
      <c r="O2424" t="s">
        <v>610</v>
      </c>
      <c r="P2424" t="s">
        <v>611</v>
      </c>
      <c r="Q2424" t="s">
        <v>612</v>
      </c>
      <c r="R2424" t="s">
        <v>613</v>
      </c>
      <c r="T2424">
        <v>2</v>
      </c>
      <c r="U2424" t="s">
        <v>614</v>
      </c>
      <c r="V2424" t="s">
        <v>110</v>
      </c>
      <c r="W2424" t="s">
        <v>615</v>
      </c>
      <c r="X2424" t="s">
        <v>616</v>
      </c>
      <c r="Y2424" t="s">
        <v>104</v>
      </c>
    </row>
    <row r="2425" spans="1:25">
      <c r="A2425">
        <v>10230</v>
      </c>
      <c r="B2425">
        <v>43</v>
      </c>
      <c r="C2425">
        <v>52.14</v>
      </c>
      <c r="D2425">
        <v>2</v>
      </c>
      <c r="E2425">
        <v>2242.02</v>
      </c>
      <c r="F2425" t="s">
        <v>650</v>
      </c>
      <c r="G2425" t="s">
        <v>93</v>
      </c>
      <c r="H2425">
        <v>1</v>
      </c>
      <c r="I2425">
        <v>3</v>
      </c>
      <c r="J2425">
        <v>2004</v>
      </c>
      <c r="K2425" t="s">
        <v>785</v>
      </c>
      <c r="L2425">
        <v>58</v>
      </c>
      <c r="M2425" t="s">
        <v>852</v>
      </c>
      <c r="N2425" t="s">
        <v>587</v>
      </c>
      <c r="O2425" t="s">
        <v>588</v>
      </c>
      <c r="P2425" t="s">
        <v>589</v>
      </c>
      <c r="R2425" t="s">
        <v>590</v>
      </c>
      <c r="T2425">
        <v>60528</v>
      </c>
      <c r="U2425" t="s">
        <v>566</v>
      </c>
      <c r="V2425" t="s">
        <v>110</v>
      </c>
      <c r="W2425" t="s">
        <v>591</v>
      </c>
      <c r="X2425" t="s">
        <v>532</v>
      </c>
      <c r="Y2425" t="s">
        <v>104</v>
      </c>
    </row>
    <row r="2426" spans="1:25">
      <c r="A2426">
        <v>10247</v>
      </c>
      <c r="B2426">
        <v>49</v>
      </c>
      <c r="C2426">
        <v>63.85</v>
      </c>
      <c r="D2426">
        <v>4</v>
      </c>
      <c r="E2426">
        <v>3128.65</v>
      </c>
      <c r="F2426" s="4">
        <v>38112</v>
      </c>
      <c r="G2426" t="s">
        <v>93</v>
      </c>
      <c r="H2426">
        <v>2</v>
      </c>
      <c r="I2426">
        <v>5</v>
      </c>
      <c r="J2426">
        <v>2004</v>
      </c>
      <c r="K2426" t="s">
        <v>785</v>
      </c>
      <c r="L2426">
        <v>58</v>
      </c>
      <c r="M2426" t="s">
        <v>852</v>
      </c>
      <c r="N2426" t="s">
        <v>593</v>
      </c>
      <c r="O2426" t="s">
        <v>594</v>
      </c>
      <c r="P2426" t="s">
        <v>595</v>
      </c>
      <c r="R2426" t="s">
        <v>596</v>
      </c>
      <c r="T2426" t="s">
        <v>597</v>
      </c>
      <c r="U2426" t="s">
        <v>208</v>
      </c>
      <c r="V2426" t="s">
        <v>110</v>
      </c>
      <c r="W2426" t="s">
        <v>598</v>
      </c>
      <c r="X2426" t="s">
        <v>599</v>
      </c>
      <c r="Y2426" t="s">
        <v>119</v>
      </c>
    </row>
    <row r="2427" spans="1:25">
      <c r="A2427">
        <v>10272</v>
      </c>
      <c r="B2427">
        <v>43</v>
      </c>
      <c r="C2427">
        <v>56.82</v>
      </c>
      <c r="D2427">
        <v>4</v>
      </c>
      <c r="E2427">
        <v>2443.2600000000002</v>
      </c>
      <c r="F2427" t="s">
        <v>623</v>
      </c>
      <c r="G2427" t="s">
        <v>93</v>
      </c>
      <c r="H2427">
        <v>3</v>
      </c>
      <c r="I2427">
        <v>7</v>
      </c>
      <c r="J2427">
        <v>2004</v>
      </c>
      <c r="K2427" t="s">
        <v>785</v>
      </c>
      <c r="L2427">
        <v>58</v>
      </c>
      <c r="M2427" t="s">
        <v>852</v>
      </c>
      <c r="N2427" t="s">
        <v>218</v>
      </c>
      <c r="O2427">
        <v>2155551555</v>
      </c>
      <c r="P2427" t="s">
        <v>219</v>
      </c>
      <c r="R2427" t="s">
        <v>220</v>
      </c>
      <c r="S2427" t="s">
        <v>221</v>
      </c>
      <c r="T2427">
        <v>70267</v>
      </c>
      <c r="U2427" t="s">
        <v>100</v>
      </c>
      <c r="V2427" t="s">
        <v>101</v>
      </c>
      <c r="W2427" t="s">
        <v>102</v>
      </c>
      <c r="X2427" t="s">
        <v>222</v>
      </c>
      <c r="Y2427" t="s">
        <v>104</v>
      </c>
    </row>
    <row r="2428" spans="1:25">
      <c r="A2428">
        <v>10282</v>
      </c>
      <c r="B2428">
        <v>37</v>
      </c>
      <c r="C2428">
        <v>66.78</v>
      </c>
      <c r="D2428">
        <v>7</v>
      </c>
      <c r="E2428">
        <v>2470.86</v>
      </c>
      <c r="F2428" t="s">
        <v>483</v>
      </c>
      <c r="G2428" t="s">
        <v>93</v>
      </c>
      <c r="H2428">
        <v>3</v>
      </c>
      <c r="I2428">
        <v>8</v>
      </c>
      <c r="J2428">
        <v>2004</v>
      </c>
      <c r="K2428" t="s">
        <v>785</v>
      </c>
      <c r="L2428">
        <v>58</v>
      </c>
      <c r="M2428" t="s">
        <v>852</v>
      </c>
      <c r="N2428" t="s">
        <v>367</v>
      </c>
      <c r="O2428">
        <v>4155551450</v>
      </c>
      <c r="P2428" t="s">
        <v>368</v>
      </c>
      <c r="R2428" t="s">
        <v>369</v>
      </c>
      <c r="S2428" t="s">
        <v>124</v>
      </c>
      <c r="T2428">
        <v>97562</v>
      </c>
      <c r="U2428" t="s">
        <v>100</v>
      </c>
      <c r="V2428" t="s">
        <v>101</v>
      </c>
      <c r="W2428" t="s">
        <v>370</v>
      </c>
      <c r="X2428" t="s">
        <v>371</v>
      </c>
      <c r="Y2428" t="s">
        <v>104</v>
      </c>
    </row>
    <row r="2429" spans="1:25">
      <c r="A2429">
        <v>10292</v>
      </c>
      <c r="B2429">
        <v>35</v>
      </c>
      <c r="C2429">
        <v>55.07</v>
      </c>
      <c r="D2429">
        <v>1</v>
      </c>
      <c r="E2429">
        <v>1927.45</v>
      </c>
      <c r="F2429" s="4">
        <v>38208</v>
      </c>
      <c r="G2429" t="s">
        <v>93</v>
      </c>
      <c r="H2429">
        <v>3</v>
      </c>
      <c r="I2429">
        <v>9</v>
      </c>
      <c r="J2429">
        <v>2004</v>
      </c>
      <c r="K2429" t="s">
        <v>785</v>
      </c>
      <c r="L2429">
        <v>58</v>
      </c>
      <c r="M2429" t="s">
        <v>852</v>
      </c>
      <c r="N2429" t="s">
        <v>96</v>
      </c>
      <c r="O2429">
        <v>2125557818</v>
      </c>
      <c r="P2429" t="s">
        <v>97</v>
      </c>
      <c r="R2429" t="s">
        <v>98</v>
      </c>
      <c r="S2429" t="s">
        <v>99</v>
      </c>
      <c r="T2429">
        <v>10022</v>
      </c>
      <c r="U2429" t="s">
        <v>100</v>
      </c>
      <c r="V2429" t="s">
        <v>101</v>
      </c>
      <c r="W2429" t="s">
        <v>102</v>
      </c>
      <c r="X2429" t="s">
        <v>103</v>
      </c>
      <c r="Y2429" t="s">
        <v>104</v>
      </c>
    </row>
    <row r="2430" spans="1:25">
      <c r="A2430">
        <v>10306</v>
      </c>
      <c r="B2430">
        <v>34</v>
      </c>
      <c r="C2430">
        <v>60.34</v>
      </c>
      <c r="D2430">
        <v>15</v>
      </c>
      <c r="E2430">
        <v>2051.56</v>
      </c>
      <c r="F2430" t="s">
        <v>494</v>
      </c>
      <c r="G2430" t="s">
        <v>93</v>
      </c>
      <c r="H2430">
        <v>4</v>
      </c>
      <c r="I2430">
        <v>10</v>
      </c>
      <c r="J2430">
        <v>2004</v>
      </c>
      <c r="K2430" t="s">
        <v>785</v>
      </c>
      <c r="L2430">
        <v>58</v>
      </c>
      <c r="M2430" t="s">
        <v>852</v>
      </c>
      <c r="N2430" t="s">
        <v>624</v>
      </c>
      <c r="O2430" t="s">
        <v>625</v>
      </c>
      <c r="P2430" t="s">
        <v>626</v>
      </c>
      <c r="R2430" t="s">
        <v>627</v>
      </c>
      <c r="T2430" t="s">
        <v>628</v>
      </c>
      <c r="U2430" t="s">
        <v>252</v>
      </c>
      <c r="V2430" t="s">
        <v>110</v>
      </c>
      <c r="W2430" t="s">
        <v>629</v>
      </c>
      <c r="X2430" t="s">
        <v>167</v>
      </c>
      <c r="Y2430" t="s">
        <v>104</v>
      </c>
    </row>
    <row r="2431" spans="1:25">
      <c r="A2431">
        <v>10314</v>
      </c>
      <c r="B2431">
        <v>38</v>
      </c>
      <c r="C2431">
        <v>61.51</v>
      </c>
      <c r="D2431">
        <v>7</v>
      </c>
      <c r="E2431">
        <v>2337.38</v>
      </c>
      <c r="F2431" t="s">
        <v>544</v>
      </c>
      <c r="G2431" t="s">
        <v>93</v>
      </c>
      <c r="H2431">
        <v>4</v>
      </c>
      <c r="I2431">
        <v>10</v>
      </c>
      <c r="J2431">
        <v>2004</v>
      </c>
      <c r="K2431" t="s">
        <v>785</v>
      </c>
      <c r="L2431">
        <v>58</v>
      </c>
      <c r="M2431" t="s">
        <v>852</v>
      </c>
      <c r="N2431" t="s">
        <v>630</v>
      </c>
      <c r="O2431" t="s">
        <v>631</v>
      </c>
      <c r="P2431" t="s">
        <v>632</v>
      </c>
      <c r="R2431" t="s">
        <v>633</v>
      </c>
      <c r="T2431">
        <v>8200</v>
      </c>
      <c r="U2431" t="s">
        <v>429</v>
      </c>
      <c r="V2431" t="s">
        <v>110</v>
      </c>
      <c r="W2431" t="s">
        <v>634</v>
      </c>
      <c r="X2431" t="s">
        <v>635</v>
      </c>
      <c r="Y2431" t="s">
        <v>104</v>
      </c>
    </row>
    <row r="2432" spans="1:25">
      <c r="A2432">
        <v>10325</v>
      </c>
      <c r="B2432">
        <v>44</v>
      </c>
      <c r="C2432">
        <v>100</v>
      </c>
      <c r="D2432">
        <v>7</v>
      </c>
      <c r="E2432">
        <v>5932.96</v>
      </c>
      <c r="F2432" s="4">
        <v>38118</v>
      </c>
      <c r="G2432" t="s">
        <v>93</v>
      </c>
      <c r="H2432">
        <v>4</v>
      </c>
      <c r="I2432">
        <v>11</v>
      </c>
      <c r="J2432">
        <v>2004</v>
      </c>
      <c r="K2432" t="s">
        <v>785</v>
      </c>
      <c r="L2432">
        <v>58</v>
      </c>
      <c r="M2432" t="s">
        <v>852</v>
      </c>
      <c r="N2432" t="s">
        <v>212</v>
      </c>
      <c r="O2432" t="s">
        <v>213</v>
      </c>
      <c r="P2432" t="s">
        <v>214</v>
      </c>
      <c r="R2432" t="s">
        <v>215</v>
      </c>
      <c r="T2432">
        <v>4110</v>
      </c>
      <c r="U2432" t="s">
        <v>149</v>
      </c>
      <c r="V2432" t="s">
        <v>110</v>
      </c>
      <c r="W2432" t="s">
        <v>216</v>
      </c>
      <c r="X2432" t="s">
        <v>217</v>
      </c>
      <c r="Y2432" t="s">
        <v>119</v>
      </c>
    </row>
    <row r="2433" spans="1:25">
      <c r="A2433">
        <v>10337</v>
      </c>
      <c r="B2433">
        <v>21</v>
      </c>
      <c r="C2433">
        <v>100</v>
      </c>
      <c r="D2433">
        <v>6</v>
      </c>
      <c r="E2433">
        <v>2296.77</v>
      </c>
      <c r="F2433" t="s">
        <v>503</v>
      </c>
      <c r="G2433" t="s">
        <v>93</v>
      </c>
      <c r="H2433">
        <v>4</v>
      </c>
      <c r="I2433">
        <v>11</v>
      </c>
      <c r="J2433">
        <v>2004</v>
      </c>
      <c r="K2433" t="s">
        <v>785</v>
      </c>
      <c r="L2433">
        <v>58</v>
      </c>
      <c r="M2433" t="s">
        <v>852</v>
      </c>
      <c r="N2433" t="s">
        <v>292</v>
      </c>
      <c r="O2433">
        <v>2125558493</v>
      </c>
      <c r="P2433" t="s">
        <v>293</v>
      </c>
      <c r="Q2433" t="s">
        <v>294</v>
      </c>
      <c r="R2433" t="s">
        <v>98</v>
      </c>
      <c r="S2433" t="s">
        <v>99</v>
      </c>
      <c r="T2433">
        <v>10022</v>
      </c>
      <c r="U2433" t="s">
        <v>100</v>
      </c>
      <c r="V2433" t="s">
        <v>101</v>
      </c>
      <c r="W2433" t="s">
        <v>201</v>
      </c>
      <c r="X2433" t="s">
        <v>295</v>
      </c>
      <c r="Y2433" t="s">
        <v>104</v>
      </c>
    </row>
    <row r="2434" spans="1:25">
      <c r="A2434">
        <v>10350</v>
      </c>
      <c r="B2434">
        <v>44</v>
      </c>
      <c r="C2434">
        <v>100</v>
      </c>
      <c r="D2434">
        <v>17</v>
      </c>
      <c r="E2434">
        <v>6490.88</v>
      </c>
      <c r="F2434" s="4">
        <v>38029</v>
      </c>
      <c r="G2434" t="s">
        <v>93</v>
      </c>
      <c r="H2434">
        <v>4</v>
      </c>
      <c r="I2434">
        <v>12</v>
      </c>
      <c r="J2434">
        <v>2004</v>
      </c>
      <c r="K2434" t="s">
        <v>785</v>
      </c>
      <c r="L2434">
        <v>58</v>
      </c>
      <c r="M2434" t="s">
        <v>852</v>
      </c>
      <c r="N2434" t="s">
        <v>257</v>
      </c>
      <c r="O2434" t="s">
        <v>258</v>
      </c>
      <c r="P2434" t="s">
        <v>259</v>
      </c>
      <c r="R2434" t="s">
        <v>260</v>
      </c>
      <c r="T2434">
        <v>28034</v>
      </c>
      <c r="U2434" t="s">
        <v>261</v>
      </c>
      <c r="V2434" t="s">
        <v>110</v>
      </c>
      <c r="W2434" t="s">
        <v>262</v>
      </c>
      <c r="X2434" t="s">
        <v>263</v>
      </c>
      <c r="Y2434" t="s">
        <v>119</v>
      </c>
    </row>
    <row r="2435" spans="1:25">
      <c r="A2435">
        <v>10359</v>
      </c>
      <c r="B2435">
        <v>25</v>
      </c>
      <c r="C2435">
        <v>64.930000000000007</v>
      </c>
      <c r="D2435">
        <v>4</v>
      </c>
      <c r="E2435">
        <v>1623.25</v>
      </c>
      <c r="F2435" t="s">
        <v>504</v>
      </c>
      <c r="G2435" t="s">
        <v>93</v>
      </c>
      <c r="H2435">
        <v>4</v>
      </c>
      <c r="I2435">
        <v>12</v>
      </c>
      <c r="J2435">
        <v>2004</v>
      </c>
      <c r="K2435" t="s">
        <v>785</v>
      </c>
      <c r="L2435">
        <v>58</v>
      </c>
      <c r="M2435" t="s">
        <v>852</v>
      </c>
      <c r="N2435" t="s">
        <v>105</v>
      </c>
      <c r="O2435" t="s">
        <v>106</v>
      </c>
      <c r="P2435" t="s">
        <v>107</v>
      </c>
      <c r="R2435" t="s">
        <v>108</v>
      </c>
      <c r="T2435">
        <v>51100</v>
      </c>
      <c r="U2435" t="s">
        <v>109</v>
      </c>
      <c r="V2435" t="s">
        <v>110</v>
      </c>
      <c r="W2435" t="s">
        <v>111</v>
      </c>
      <c r="X2435" t="s">
        <v>112</v>
      </c>
      <c r="Y2435" t="s">
        <v>104</v>
      </c>
    </row>
    <row r="2436" spans="1:25">
      <c r="A2436">
        <v>10372</v>
      </c>
      <c r="B2436">
        <v>24</v>
      </c>
      <c r="C2436">
        <v>58.58</v>
      </c>
      <c r="D2436">
        <v>9</v>
      </c>
      <c r="E2436">
        <v>1405.92</v>
      </c>
      <c r="F2436" t="s">
        <v>651</v>
      </c>
      <c r="G2436" t="s">
        <v>93</v>
      </c>
      <c r="H2436">
        <v>1</v>
      </c>
      <c r="I2436">
        <v>1</v>
      </c>
      <c r="J2436">
        <v>2005</v>
      </c>
      <c r="K2436" t="s">
        <v>785</v>
      </c>
      <c r="L2436">
        <v>58</v>
      </c>
      <c r="M2436" t="s">
        <v>852</v>
      </c>
      <c r="N2436" t="s">
        <v>338</v>
      </c>
      <c r="O2436" t="s">
        <v>339</v>
      </c>
      <c r="P2436" t="s">
        <v>340</v>
      </c>
      <c r="R2436" t="s">
        <v>341</v>
      </c>
      <c r="S2436" t="s">
        <v>342</v>
      </c>
      <c r="T2436" t="s">
        <v>343</v>
      </c>
      <c r="U2436" t="s">
        <v>288</v>
      </c>
      <c r="V2436" t="s">
        <v>288</v>
      </c>
      <c r="W2436" t="s">
        <v>344</v>
      </c>
      <c r="X2436" t="s">
        <v>345</v>
      </c>
      <c r="Y2436" t="s">
        <v>104</v>
      </c>
    </row>
    <row r="2437" spans="1:25">
      <c r="A2437">
        <v>10383</v>
      </c>
      <c r="B2437">
        <v>38</v>
      </c>
      <c r="C2437">
        <v>60.06</v>
      </c>
      <c r="D2437">
        <v>10</v>
      </c>
      <c r="E2437">
        <v>2282.2800000000002</v>
      </c>
      <c r="F2437" t="s">
        <v>760</v>
      </c>
      <c r="G2437" t="s">
        <v>93</v>
      </c>
      <c r="H2437">
        <v>1</v>
      </c>
      <c r="I2437">
        <v>2</v>
      </c>
      <c r="J2437">
        <v>2005</v>
      </c>
      <c r="K2437" t="s">
        <v>785</v>
      </c>
      <c r="L2437">
        <v>58</v>
      </c>
      <c r="M2437" t="s">
        <v>852</v>
      </c>
      <c r="N2437" t="s">
        <v>257</v>
      </c>
      <c r="O2437" t="s">
        <v>258</v>
      </c>
      <c r="P2437" t="s">
        <v>259</v>
      </c>
      <c r="R2437" t="s">
        <v>260</v>
      </c>
      <c r="T2437">
        <v>28034</v>
      </c>
      <c r="U2437" t="s">
        <v>261</v>
      </c>
      <c r="V2437" t="s">
        <v>110</v>
      </c>
      <c r="W2437" t="s">
        <v>262</v>
      </c>
      <c r="X2437" t="s">
        <v>263</v>
      </c>
      <c r="Y2437" t="s">
        <v>104</v>
      </c>
    </row>
    <row r="2438" spans="1:25">
      <c r="A2438">
        <v>10395</v>
      </c>
      <c r="B2438">
        <v>45</v>
      </c>
      <c r="C2438">
        <v>100</v>
      </c>
      <c r="D2438">
        <v>3</v>
      </c>
      <c r="E2438">
        <v>8977.0499999999993</v>
      </c>
      <c r="F2438" t="s">
        <v>513</v>
      </c>
      <c r="G2438" t="s">
        <v>93</v>
      </c>
      <c r="H2438">
        <v>1</v>
      </c>
      <c r="I2438">
        <v>3</v>
      </c>
      <c r="J2438">
        <v>2005</v>
      </c>
      <c r="K2438" t="s">
        <v>785</v>
      </c>
      <c r="L2438">
        <v>58</v>
      </c>
      <c r="M2438" t="s">
        <v>852</v>
      </c>
      <c r="N2438" t="s">
        <v>113</v>
      </c>
      <c r="O2438" t="s">
        <v>114</v>
      </c>
      <c r="P2438" t="s">
        <v>115</v>
      </c>
      <c r="R2438" t="s">
        <v>116</v>
      </c>
      <c r="T2438">
        <v>75508</v>
      </c>
      <c r="U2438" t="s">
        <v>109</v>
      </c>
      <c r="V2438" t="s">
        <v>110</v>
      </c>
      <c r="W2438" t="s">
        <v>117</v>
      </c>
      <c r="X2438" t="s">
        <v>118</v>
      </c>
      <c r="Y2438" t="s">
        <v>232</v>
      </c>
    </row>
    <row r="2439" spans="1:25">
      <c r="A2439">
        <v>10413</v>
      </c>
      <c r="B2439">
        <v>51</v>
      </c>
      <c r="C2439">
        <v>63.85</v>
      </c>
      <c r="D2439">
        <v>4</v>
      </c>
      <c r="E2439">
        <v>3256.35</v>
      </c>
      <c r="F2439" s="4">
        <v>38477</v>
      </c>
      <c r="G2439" t="s">
        <v>93</v>
      </c>
      <c r="H2439">
        <v>2</v>
      </c>
      <c r="I2439">
        <v>5</v>
      </c>
      <c r="J2439">
        <v>2005</v>
      </c>
      <c r="K2439" t="s">
        <v>785</v>
      </c>
      <c r="L2439">
        <v>58</v>
      </c>
      <c r="M2439" t="s">
        <v>852</v>
      </c>
      <c r="N2439" t="s">
        <v>184</v>
      </c>
      <c r="O2439">
        <v>2035552570</v>
      </c>
      <c r="P2439" t="s">
        <v>185</v>
      </c>
      <c r="R2439" t="s">
        <v>186</v>
      </c>
      <c r="S2439" t="s">
        <v>187</v>
      </c>
      <c r="T2439">
        <v>97562</v>
      </c>
      <c r="U2439" t="s">
        <v>100</v>
      </c>
      <c r="V2439" t="s">
        <v>101</v>
      </c>
      <c r="W2439" t="s">
        <v>188</v>
      </c>
      <c r="X2439" t="s">
        <v>126</v>
      </c>
      <c r="Y2439" t="s">
        <v>119</v>
      </c>
    </row>
    <row r="2440" spans="1:25">
      <c r="A2440">
        <v>10108</v>
      </c>
      <c r="B2440">
        <v>34</v>
      </c>
      <c r="C2440">
        <v>82.99</v>
      </c>
      <c r="D2440">
        <v>14</v>
      </c>
      <c r="E2440">
        <v>2821.66</v>
      </c>
      <c r="F2440" s="4">
        <v>37683</v>
      </c>
      <c r="G2440" t="s">
        <v>93</v>
      </c>
      <c r="H2440">
        <v>1</v>
      </c>
      <c r="I2440">
        <v>3</v>
      </c>
      <c r="J2440">
        <v>2003</v>
      </c>
      <c r="K2440" t="s">
        <v>94</v>
      </c>
      <c r="L2440">
        <v>81</v>
      </c>
      <c r="M2440" t="s">
        <v>853</v>
      </c>
      <c r="N2440" t="s">
        <v>547</v>
      </c>
      <c r="O2440" t="s">
        <v>548</v>
      </c>
      <c r="P2440" t="s">
        <v>549</v>
      </c>
      <c r="R2440" t="s">
        <v>550</v>
      </c>
      <c r="T2440" t="s">
        <v>551</v>
      </c>
      <c r="U2440" t="s">
        <v>552</v>
      </c>
      <c r="V2440" t="s">
        <v>288</v>
      </c>
      <c r="W2440" t="s">
        <v>553</v>
      </c>
      <c r="X2440" t="s">
        <v>554</v>
      </c>
      <c r="Y2440" t="s">
        <v>104</v>
      </c>
    </row>
    <row r="2441" spans="1:25">
      <c r="A2441">
        <v>10121</v>
      </c>
      <c r="B2441">
        <v>44</v>
      </c>
      <c r="C2441">
        <v>74.849999999999994</v>
      </c>
      <c r="D2441">
        <v>1</v>
      </c>
      <c r="E2441">
        <v>3293.4</v>
      </c>
      <c r="F2441" s="4">
        <v>37807</v>
      </c>
      <c r="G2441" t="s">
        <v>93</v>
      </c>
      <c r="H2441">
        <v>2</v>
      </c>
      <c r="I2441">
        <v>5</v>
      </c>
      <c r="J2441">
        <v>2003</v>
      </c>
      <c r="K2441" t="s">
        <v>94</v>
      </c>
      <c r="L2441">
        <v>81</v>
      </c>
      <c r="M2441" t="s">
        <v>853</v>
      </c>
      <c r="N2441" t="s">
        <v>105</v>
      </c>
      <c r="O2441" t="s">
        <v>106</v>
      </c>
      <c r="P2441" t="s">
        <v>107</v>
      </c>
      <c r="R2441" t="s">
        <v>108</v>
      </c>
      <c r="T2441">
        <v>51100</v>
      </c>
      <c r="U2441" t="s">
        <v>109</v>
      </c>
      <c r="V2441" t="s">
        <v>110</v>
      </c>
      <c r="W2441" t="s">
        <v>111</v>
      </c>
      <c r="X2441" t="s">
        <v>112</v>
      </c>
      <c r="Y2441" t="s">
        <v>119</v>
      </c>
    </row>
    <row r="2442" spans="1:25">
      <c r="A2442">
        <v>10135</v>
      </c>
      <c r="B2442">
        <v>44</v>
      </c>
      <c r="C2442">
        <v>96</v>
      </c>
      <c r="D2442">
        <v>15</v>
      </c>
      <c r="E2442">
        <v>4224</v>
      </c>
      <c r="F2442" s="4">
        <v>37659</v>
      </c>
      <c r="G2442" t="s">
        <v>93</v>
      </c>
      <c r="H2442">
        <v>3</v>
      </c>
      <c r="I2442">
        <v>7</v>
      </c>
      <c r="J2442">
        <v>2003</v>
      </c>
      <c r="K2442" t="s">
        <v>94</v>
      </c>
      <c r="L2442">
        <v>81</v>
      </c>
      <c r="M2442" t="s">
        <v>853</v>
      </c>
      <c r="N2442" t="s">
        <v>367</v>
      </c>
      <c r="O2442">
        <v>4155551450</v>
      </c>
      <c r="P2442" t="s">
        <v>368</v>
      </c>
      <c r="R2442" t="s">
        <v>369</v>
      </c>
      <c r="S2442" t="s">
        <v>124</v>
      </c>
      <c r="T2442">
        <v>97562</v>
      </c>
      <c r="U2442" t="s">
        <v>100</v>
      </c>
      <c r="V2442" t="s">
        <v>101</v>
      </c>
      <c r="W2442" t="s">
        <v>370</v>
      </c>
      <c r="X2442" t="s">
        <v>371</v>
      </c>
      <c r="Y2442" t="s">
        <v>119</v>
      </c>
    </row>
    <row r="2443" spans="1:25">
      <c r="A2443">
        <v>10145</v>
      </c>
      <c r="B2443">
        <v>38</v>
      </c>
      <c r="C2443">
        <v>81.36</v>
      </c>
      <c r="D2443">
        <v>2</v>
      </c>
      <c r="E2443">
        <v>3091.68</v>
      </c>
      <c r="F2443" t="s">
        <v>120</v>
      </c>
      <c r="G2443" t="s">
        <v>93</v>
      </c>
      <c r="H2443">
        <v>3</v>
      </c>
      <c r="I2443">
        <v>8</v>
      </c>
      <c r="J2443">
        <v>2003</v>
      </c>
      <c r="K2443" t="s">
        <v>94</v>
      </c>
      <c r="L2443">
        <v>81</v>
      </c>
      <c r="M2443" t="s">
        <v>853</v>
      </c>
      <c r="N2443" t="s">
        <v>121</v>
      </c>
      <c r="O2443">
        <v>6265557265</v>
      </c>
      <c r="P2443" t="s">
        <v>122</v>
      </c>
      <c r="R2443" t="s">
        <v>123</v>
      </c>
      <c r="S2443" t="s">
        <v>124</v>
      </c>
      <c r="T2443">
        <v>90003</v>
      </c>
      <c r="U2443" t="s">
        <v>100</v>
      </c>
      <c r="V2443" t="s">
        <v>101</v>
      </c>
      <c r="W2443" t="s">
        <v>125</v>
      </c>
      <c r="X2443" t="s">
        <v>126</v>
      </c>
      <c r="Y2443" t="s">
        <v>119</v>
      </c>
    </row>
    <row r="2444" spans="1:25">
      <c r="A2444">
        <v>10159</v>
      </c>
      <c r="B2444">
        <v>31</v>
      </c>
      <c r="C2444">
        <v>71.599999999999994</v>
      </c>
      <c r="D2444">
        <v>10</v>
      </c>
      <c r="E2444">
        <v>2219.6</v>
      </c>
      <c r="F2444" s="4">
        <v>37904</v>
      </c>
      <c r="G2444" t="s">
        <v>93</v>
      </c>
      <c r="H2444">
        <v>4</v>
      </c>
      <c r="I2444">
        <v>10</v>
      </c>
      <c r="J2444">
        <v>2003</v>
      </c>
      <c r="K2444" t="s">
        <v>94</v>
      </c>
      <c r="L2444">
        <v>81</v>
      </c>
      <c r="M2444" t="s">
        <v>853</v>
      </c>
      <c r="N2444" t="s">
        <v>127</v>
      </c>
      <c r="O2444">
        <v>6505551386</v>
      </c>
      <c r="P2444" t="s">
        <v>128</v>
      </c>
      <c r="R2444" t="s">
        <v>129</v>
      </c>
      <c r="S2444" t="s">
        <v>124</v>
      </c>
      <c r="U2444" t="s">
        <v>100</v>
      </c>
      <c r="V2444" t="s">
        <v>101</v>
      </c>
      <c r="W2444" t="s">
        <v>130</v>
      </c>
      <c r="X2444" t="s">
        <v>126</v>
      </c>
      <c r="Y2444" t="s">
        <v>104</v>
      </c>
    </row>
    <row r="2445" spans="1:25">
      <c r="A2445">
        <v>10169</v>
      </c>
      <c r="B2445">
        <v>48</v>
      </c>
      <c r="C2445">
        <v>80.55</v>
      </c>
      <c r="D2445">
        <v>10</v>
      </c>
      <c r="E2445">
        <v>3866.4</v>
      </c>
      <c r="F2445" s="4">
        <v>37722</v>
      </c>
      <c r="G2445" t="s">
        <v>93</v>
      </c>
      <c r="H2445">
        <v>4</v>
      </c>
      <c r="I2445">
        <v>11</v>
      </c>
      <c r="J2445">
        <v>2003</v>
      </c>
      <c r="K2445" t="s">
        <v>94</v>
      </c>
      <c r="L2445">
        <v>81</v>
      </c>
      <c r="M2445" t="s">
        <v>853</v>
      </c>
      <c r="N2445" t="s">
        <v>384</v>
      </c>
      <c r="O2445" t="s">
        <v>385</v>
      </c>
      <c r="P2445" t="s">
        <v>386</v>
      </c>
      <c r="Q2445" t="s">
        <v>387</v>
      </c>
      <c r="R2445" t="s">
        <v>388</v>
      </c>
      <c r="S2445" t="s">
        <v>239</v>
      </c>
      <c r="T2445">
        <v>2060</v>
      </c>
      <c r="U2445" t="s">
        <v>168</v>
      </c>
      <c r="V2445" t="s">
        <v>169</v>
      </c>
      <c r="W2445" t="s">
        <v>389</v>
      </c>
      <c r="X2445" t="s">
        <v>390</v>
      </c>
      <c r="Y2445" t="s">
        <v>119</v>
      </c>
    </row>
    <row r="2446" spans="1:25">
      <c r="A2446">
        <v>10180</v>
      </c>
      <c r="B2446">
        <v>21</v>
      </c>
      <c r="C2446">
        <v>93.56</v>
      </c>
      <c r="D2446">
        <v>5</v>
      </c>
      <c r="E2446">
        <v>1964.76</v>
      </c>
      <c r="F2446" s="4">
        <v>37936</v>
      </c>
      <c r="G2446" t="s">
        <v>93</v>
      </c>
      <c r="H2446">
        <v>4</v>
      </c>
      <c r="I2446">
        <v>11</v>
      </c>
      <c r="J2446">
        <v>2003</v>
      </c>
      <c r="K2446" t="s">
        <v>94</v>
      </c>
      <c r="L2446">
        <v>81</v>
      </c>
      <c r="M2446" t="s">
        <v>853</v>
      </c>
      <c r="N2446" t="s">
        <v>137</v>
      </c>
      <c r="O2446" t="s">
        <v>138</v>
      </c>
      <c r="P2446" t="s">
        <v>139</v>
      </c>
      <c r="R2446" t="s">
        <v>140</v>
      </c>
      <c r="T2446">
        <v>59000</v>
      </c>
      <c r="U2446" t="s">
        <v>109</v>
      </c>
      <c r="V2446" t="s">
        <v>110</v>
      </c>
      <c r="W2446" t="s">
        <v>141</v>
      </c>
      <c r="X2446" t="s">
        <v>142</v>
      </c>
      <c r="Y2446" t="s">
        <v>104</v>
      </c>
    </row>
    <row r="2447" spans="1:25">
      <c r="A2447">
        <v>10190</v>
      </c>
      <c r="B2447">
        <v>40</v>
      </c>
      <c r="C2447">
        <v>66.72</v>
      </c>
      <c r="D2447">
        <v>2</v>
      </c>
      <c r="E2447">
        <v>2668.8</v>
      </c>
      <c r="F2447" t="s">
        <v>818</v>
      </c>
      <c r="G2447" t="s">
        <v>93</v>
      </c>
      <c r="H2447">
        <v>4</v>
      </c>
      <c r="I2447">
        <v>11</v>
      </c>
      <c r="J2447">
        <v>2003</v>
      </c>
      <c r="K2447" t="s">
        <v>94</v>
      </c>
      <c r="L2447">
        <v>81</v>
      </c>
      <c r="M2447" t="s">
        <v>853</v>
      </c>
      <c r="N2447" t="s">
        <v>257</v>
      </c>
      <c r="O2447" t="s">
        <v>258</v>
      </c>
      <c r="P2447" t="s">
        <v>259</v>
      </c>
      <c r="R2447" t="s">
        <v>260</v>
      </c>
      <c r="T2447">
        <v>28034</v>
      </c>
      <c r="U2447" t="s">
        <v>261</v>
      </c>
      <c r="V2447" t="s">
        <v>110</v>
      </c>
      <c r="W2447" t="s">
        <v>262</v>
      </c>
      <c r="X2447" t="s">
        <v>263</v>
      </c>
      <c r="Y2447" t="s">
        <v>104</v>
      </c>
    </row>
    <row r="2448" spans="1:25">
      <c r="A2448">
        <v>10211</v>
      </c>
      <c r="B2448">
        <v>40</v>
      </c>
      <c r="C2448">
        <v>80.55</v>
      </c>
      <c r="D2448">
        <v>10</v>
      </c>
      <c r="E2448">
        <v>3222</v>
      </c>
      <c r="F2448" t="s">
        <v>155</v>
      </c>
      <c r="G2448" t="s">
        <v>93</v>
      </c>
      <c r="H2448">
        <v>1</v>
      </c>
      <c r="I2448">
        <v>1</v>
      </c>
      <c r="J2448">
        <v>2004</v>
      </c>
      <c r="K2448" t="s">
        <v>94</v>
      </c>
      <c r="L2448">
        <v>81</v>
      </c>
      <c r="M2448" t="s">
        <v>853</v>
      </c>
      <c r="N2448" t="s">
        <v>156</v>
      </c>
      <c r="O2448" t="s">
        <v>157</v>
      </c>
      <c r="P2448" t="s">
        <v>158</v>
      </c>
      <c r="R2448" t="s">
        <v>116</v>
      </c>
      <c r="T2448">
        <v>75016</v>
      </c>
      <c r="U2448" t="s">
        <v>109</v>
      </c>
      <c r="V2448" t="s">
        <v>110</v>
      </c>
      <c r="W2448" t="s">
        <v>159</v>
      </c>
      <c r="X2448" t="s">
        <v>160</v>
      </c>
      <c r="Y2448" t="s">
        <v>119</v>
      </c>
    </row>
    <row r="2449" spans="1:25">
      <c r="A2449">
        <v>10224</v>
      </c>
      <c r="B2449">
        <v>50</v>
      </c>
      <c r="C2449">
        <v>77.290000000000006</v>
      </c>
      <c r="D2449">
        <v>3</v>
      </c>
      <c r="E2449">
        <v>3864.5</v>
      </c>
      <c r="F2449" t="s">
        <v>642</v>
      </c>
      <c r="G2449" t="s">
        <v>93</v>
      </c>
      <c r="H2449">
        <v>1</v>
      </c>
      <c r="I2449">
        <v>2</v>
      </c>
      <c r="J2449">
        <v>2004</v>
      </c>
      <c r="K2449" t="s">
        <v>94</v>
      </c>
      <c r="L2449">
        <v>81</v>
      </c>
      <c r="M2449" t="s">
        <v>853</v>
      </c>
      <c r="N2449" t="s">
        <v>137</v>
      </c>
      <c r="O2449" t="s">
        <v>138</v>
      </c>
      <c r="P2449" t="s">
        <v>139</v>
      </c>
      <c r="R2449" t="s">
        <v>140</v>
      </c>
      <c r="T2449">
        <v>59000</v>
      </c>
      <c r="U2449" t="s">
        <v>109</v>
      </c>
      <c r="V2449" t="s">
        <v>110</v>
      </c>
      <c r="W2449" t="s">
        <v>141</v>
      </c>
      <c r="X2449" t="s">
        <v>142</v>
      </c>
      <c r="Y2449" t="s">
        <v>119</v>
      </c>
    </row>
    <row r="2450" spans="1:25">
      <c r="A2450">
        <v>10237</v>
      </c>
      <c r="B2450">
        <v>20</v>
      </c>
      <c r="C2450">
        <v>68.34</v>
      </c>
      <c r="D2450">
        <v>3</v>
      </c>
      <c r="E2450">
        <v>1366.8</v>
      </c>
      <c r="F2450" s="4">
        <v>38111</v>
      </c>
      <c r="G2450" t="s">
        <v>93</v>
      </c>
      <c r="H2450">
        <v>2</v>
      </c>
      <c r="I2450">
        <v>4</v>
      </c>
      <c r="J2450">
        <v>2004</v>
      </c>
      <c r="K2450" t="s">
        <v>94</v>
      </c>
      <c r="L2450">
        <v>81</v>
      </c>
      <c r="M2450" t="s">
        <v>853</v>
      </c>
      <c r="N2450" t="s">
        <v>172</v>
      </c>
      <c r="O2450">
        <v>2125551500</v>
      </c>
      <c r="P2450" t="s">
        <v>173</v>
      </c>
      <c r="Q2450" t="s">
        <v>174</v>
      </c>
      <c r="R2450" t="s">
        <v>98</v>
      </c>
      <c r="S2450" t="s">
        <v>99</v>
      </c>
      <c r="T2450">
        <v>10022</v>
      </c>
      <c r="U2450" t="s">
        <v>100</v>
      </c>
      <c r="V2450" t="s">
        <v>101</v>
      </c>
      <c r="W2450" t="s">
        <v>175</v>
      </c>
      <c r="X2450" t="s">
        <v>176</v>
      </c>
      <c r="Y2450" t="s">
        <v>104</v>
      </c>
    </row>
    <row r="2451" spans="1:25">
      <c r="A2451">
        <v>10252</v>
      </c>
      <c r="B2451">
        <v>48</v>
      </c>
      <c r="C2451">
        <v>72.41</v>
      </c>
      <c r="D2451">
        <v>7</v>
      </c>
      <c r="E2451">
        <v>3475.68</v>
      </c>
      <c r="F2451" t="s">
        <v>788</v>
      </c>
      <c r="G2451" t="s">
        <v>93</v>
      </c>
      <c r="H2451">
        <v>2</v>
      </c>
      <c r="I2451">
        <v>5</v>
      </c>
      <c r="J2451">
        <v>2004</v>
      </c>
      <c r="K2451" t="s">
        <v>94</v>
      </c>
      <c r="L2451">
        <v>81</v>
      </c>
      <c r="M2451" t="s">
        <v>853</v>
      </c>
      <c r="N2451" t="s">
        <v>156</v>
      </c>
      <c r="O2451" t="s">
        <v>157</v>
      </c>
      <c r="P2451" t="s">
        <v>158</v>
      </c>
      <c r="R2451" t="s">
        <v>116</v>
      </c>
      <c r="T2451">
        <v>75016</v>
      </c>
      <c r="U2451" t="s">
        <v>109</v>
      </c>
      <c r="V2451" t="s">
        <v>110</v>
      </c>
      <c r="W2451" t="s">
        <v>159</v>
      </c>
      <c r="X2451" t="s">
        <v>160</v>
      </c>
      <c r="Y2451" t="s">
        <v>119</v>
      </c>
    </row>
    <row r="2452" spans="1:25">
      <c r="A2452">
        <v>10264</v>
      </c>
      <c r="B2452">
        <v>47</v>
      </c>
      <c r="C2452">
        <v>89.5</v>
      </c>
      <c r="D2452">
        <v>5</v>
      </c>
      <c r="E2452">
        <v>4206.5</v>
      </c>
      <c r="F2452" t="s">
        <v>794</v>
      </c>
      <c r="G2452" t="s">
        <v>93</v>
      </c>
      <c r="H2452">
        <v>2</v>
      </c>
      <c r="I2452">
        <v>6</v>
      </c>
      <c r="J2452">
        <v>2004</v>
      </c>
      <c r="K2452" t="s">
        <v>94</v>
      </c>
      <c r="L2452">
        <v>81</v>
      </c>
      <c r="M2452" t="s">
        <v>853</v>
      </c>
      <c r="N2452" t="s">
        <v>490</v>
      </c>
      <c r="O2452">
        <v>6175559555</v>
      </c>
      <c r="P2452" t="s">
        <v>491</v>
      </c>
      <c r="R2452" t="s">
        <v>492</v>
      </c>
      <c r="S2452" t="s">
        <v>200</v>
      </c>
      <c r="T2452">
        <v>51003</v>
      </c>
      <c r="U2452" t="s">
        <v>100</v>
      </c>
      <c r="V2452" t="s">
        <v>101</v>
      </c>
      <c r="W2452" t="s">
        <v>493</v>
      </c>
      <c r="X2452" t="s">
        <v>136</v>
      </c>
      <c r="Y2452" t="s">
        <v>119</v>
      </c>
    </row>
    <row r="2453" spans="1:25">
      <c r="A2453">
        <v>10276</v>
      </c>
      <c r="B2453">
        <v>21</v>
      </c>
      <c r="C2453">
        <v>70.78</v>
      </c>
      <c r="D2453">
        <v>11</v>
      </c>
      <c r="E2453">
        <v>1486.38</v>
      </c>
      <c r="F2453" s="4">
        <v>38025</v>
      </c>
      <c r="G2453" t="s">
        <v>93</v>
      </c>
      <c r="H2453">
        <v>3</v>
      </c>
      <c r="I2453">
        <v>8</v>
      </c>
      <c r="J2453">
        <v>2004</v>
      </c>
      <c r="K2453" t="s">
        <v>94</v>
      </c>
      <c r="L2453">
        <v>81</v>
      </c>
      <c r="M2453" t="s">
        <v>853</v>
      </c>
      <c r="N2453" t="s">
        <v>582</v>
      </c>
      <c r="O2453">
        <v>6175557555</v>
      </c>
      <c r="P2453" t="s">
        <v>583</v>
      </c>
      <c r="R2453" t="s">
        <v>381</v>
      </c>
      <c r="S2453" t="s">
        <v>200</v>
      </c>
      <c r="T2453">
        <v>58339</v>
      </c>
      <c r="U2453" t="s">
        <v>100</v>
      </c>
      <c r="V2453" t="s">
        <v>101</v>
      </c>
      <c r="W2453" t="s">
        <v>584</v>
      </c>
      <c r="X2453" t="s">
        <v>585</v>
      </c>
      <c r="Y2453" t="s">
        <v>104</v>
      </c>
    </row>
    <row r="2454" spans="1:25">
      <c r="A2454">
        <v>10285</v>
      </c>
      <c r="B2454">
        <v>39</v>
      </c>
      <c r="C2454">
        <v>78.92</v>
      </c>
      <c r="D2454">
        <v>2</v>
      </c>
      <c r="E2454">
        <v>3077.88</v>
      </c>
      <c r="F2454" t="s">
        <v>196</v>
      </c>
      <c r="G2454" t="s">
        <v>93</v>
      </c>
      <c r="H2454">
        <v>3</v>
      </c>
      <c r="I2454">
        <v>8</v>
      </c>
      <c r="J2454">
        <v>2004</v>
      </c>
      <c r="K2454" t="s">
        <v>94</v>
      </c>
      <c r="L2454">
        <v>81</v>
      </c>
      <c r="M2454" t="s">
        <v>853</v>
      </c>
      <c r="N2454" t="s">
        <v>197</v>
      </c>
      <c r="O2454">
        <v>6175558555</v>
      </c>
      <c r="P2454" t="s">
        <v>198</v>
      </c>
      <c r="R2454" t="s">
        <v>199</v>
      </c>
      <c r="S2454" t="s">
        <v>200</v>
      </c>
      <c r="T2454">
        <v>51247</v>
      </c>
      <c r="U2454" t="s">
        <v>100</v>
      </c>
      <c r="V2454" t="s">
        <v>101</v>
      </c>
      <c r="W2454" t="s">
        <v>201</v>
      </c>
      <c r="X2454" t="s">
        <v>202</v>
      </c>
      <c r="Y2454" t="s">
        <v>119</v>
      </c>
    </row>
    <row r="2455" spans="1:25">
      <c r="A2455">
        <v>10299</v>
      </c>
      <c r="B2455">
        <v>44</v>
      </c>
      <c r="C2455">
        <v>80.55</v>
      </c>
      <c r="D2455">
        <v>5</v>
      </c>
      <c r="E2455">
        <v>3544.2</v>
      </c>
      <c r="F2455" t="s">
        <v>203</v>
      </c>
      <c r="G2455" t="s">
        <v>93</v>
      </c>
      <c r="H2455">
        <v>3</v>
      </c>
      <c r="I2455">
        <v>9</v>
      </c>
      <c r="J2455">
        <v>2004</v>
      </c>
      <c r="K2455" t="s">
        <v>94</v>
      </c>
      <c r="L2455">
        <v>81</v>
      </c>
      <c r="M2455" t="s">
        <v>853</v>
      </c>
      <c r="N2455" t="s">
        <v>204</v>
      </c>
      <c r="O2455" t="s">
        <v>205</v>
      </c>
      <c r="P2455" t="s">
        <v>206</v>
      </c>
      <c r="R2455" t="s">
        <v>207</v>
      </c>
      <c r="T2455">
        <v>21240</v>
      </c>
      <c r="U2455" t="s">
        <v>208</v>
      </c>
      <c r="V2455" t="s">
        <v>110</v>
      </c>
      <c r="W2455" t="s">
        <v>209</v>
      </c>
      <c r="X2455" t="s">
        <v>210</v>
      </c>
      <c r="Y2455" t="s">
        <v>119</v>
      </c>
    </row>
    <row r="2456" spans="1:25">
      <c r="A2456">
        <v>10309</v>
      </c>
      <c r="B2456">
        <v>28</v>
      </c>
      <c r="C2456">
        <v>88.68</v>
      </c>
      <c r="D2456">
        <v>1</v>
      </c>
      <c r="E2456">
        <v>2483.04</v>
      </c>
      <c r="F2456" t="s">
        <v>211</v>
      </c>
      <c r="G2456" t="s">
        <v>93</v>
      </c>
      <c r="H2456">
        <v>4</v>
      </c>
      <c r="I2456">
        <v>10</v>
      </c>
      <c r="J2456">
        <v>2004</v>
      </c>
      <c r="K2456" t="s">
        <v>94</v>
      </c>
      <c r="L2456">
        <v>81</v>
      </c>
      <c r="M2456" t="s">
        <v>853</v>
      </c>
      <c r="N2456" t="s">
        <v>212</v>
      </c>
      <c r="O2456" t="s">
        <v>213</v>
      </c>
      <c r="P2456" t="s">
        <v>214</v>
      </c>
      <c r="R2456" t="s">
        <v>215</v>
      </c>
      <c r="T2456">
        <v>4110</v>
      </c>
      <c r="U2456" t="s">
        <v>149</v>
      </c>
      <c r="V2456" t="s">
        <v>110</v>
      </c>
      <c r="W2456" t="s">
        <v>216</v>
      </c>
      <c r="X2456" t="s">
        <v>217</v>
      </c>
      <c r="Y2456" t="s">
        <v>104</v>
      </c>
    </row>
    <row r="2457" spans="1:25">
      <c r="A2457">
        <v>10319</v>
      </c>
      <c r="B2457">
        <v>45</v>
      </c>
      <c r="C2457">
        <v>77.290000000000006</v>
      </c>
      <c r="D2457">
        <v>6</v>
      </c>
      <c r="E2457">
        <v>3478.05</v>
      </c>
      <c r="F2457" s="4">
        <v>38057</v>
      </c>
      <c r="G2457" t="s">
        <v>93</v>
      </c>
      <c r="H2457">
        <v>4</v>
      </c>
      <c r="I2457">
        <v>11</v>
      </c>
      <c r="J2457">
        <v>2004</v>
      </c>
      <c r="K2457" t="s">
        <v>94</v>
      </c>
      <c r="L2457">
        <v>81</v>
      </c>
      <c r="M2457" t="s">
        <v>853</v>
      </c>
      <c r="N2457" t="s">
        <v>643</v>
      </c>
      <c r="O2457">
        <v>2125551957</v>
      </c>
      <c r="P2457" t="s">
        <v>644</v>
      </c>
      <c r="Q2457" t="s">
        <v>645</v>
      </c>
      <c r="R2457" t="s">
        <v>98</v>
      </c>
      <c r="S2457" t="s">
        <v>99</v>
      </c>
      <c r="T2457">
        <v>10022</v>
      </c>
      <c r="U2457" t="s">
        <v>100</v>
      </c>
      <c r="V2457" t="s">
        <v>101</v>
      </c>
      <c r="W2457" t="s">
        <v>646</v>
      </c>
      <c r="X2457" t="s">
        <v>647</v>
      </c>
      <c r="Y2457" t="s">
        <v>119</v>
      </c>
    </row>
    <row r="2458" spans="1:25">
      <c r="A2458">
        <v>10331</v>
      </c>
      <c r="B2458">
        <v>20</v>
      </c>
      <c r="C2458">
        <v>100</v>
      </c>
      <c r="D2458">
        <v>5</v>
      </c>
      <c r="E2458">
        <v>3657.8</v>
      </c>
      <c r="F2458" t="s">
        <v>695</v>
      </c>
      <c r="G2458" t="s">
        <v>93</v>
      </c>
      <c r="H2458">
        <v>4</v>
      </c>
      <c r="I2458">
        <v>11</v>
      </c>
      <c r="J2458">
        <v>2004</v>
      </c>
      <c r="K2458" t="s">
        <v>94</v>
      </c>
      <c r="L2458">
        <v>81</v>
      </c>
      <c r="M2458" t="s">
        <v>853</v>
      </c>
      <c r="N2458" t="s">
        <v>410</v>
      </c>
      <c r="O2458">
        <v>2155559857</v>
      </c>
      <c r="P2458" t="s">
        <v>411</v>
      </c>
      <c r="R2458" t="s">
        <v>306</v>
      </c>
      <c r="S2458" t="s">
        <v>221</v>
      </c>
      <c r="T2458">
        <v>71270</v>
      </c>
      <c r="U2458" t="s">
        <v>100</v>
      </c>
      <c r="V2458" t="s">
        <v>101</v>
      </c>
      <c r="W2458" t="s">
        <v>201</v>
      </c>
      <c r="X2458" t="s">
        <v>412</v>
      </c>
      <c r="Y2458" t="s">
        <v>119</v>
      </c>
    </row>
    <row r="2459" spans="1:25">
      <c r="A2459">
        <v>10341</v>
      </c>
      <c r="B2459">
        <v>38</v>
      </c>
      <c r="C2459">
        <v>100</v>
      </c>
      <c r="D2459">
        <v>3</v>
      </c>
      <c r="E2459">
        <v>4682.3599999999997</v>
      </c>
      <c r="F2459" t="s">
        <v>224</v>
      </c>
      <c r="G2459" t="s">
        <v>93</v>
      </c>
      <c r="H2459">
        <v>4</v>
      </c>
      <c r="I2459">
        <v>11</v>
      </c>
      <c r="J2459">
        <v>2004</v>
      </c>
      <c r="K2459" t="s">
        <v>94</v>
      </c>
      <c r="L2459">
        <v>81</v>
      </c>
      <c r="M2459" t="s">
        <v>853</v>
      </c>
      <c r="N2459" t="s">
        <v>225</v>
      </c>
      <c r="O2459" t="s">
        <v>226</v>
      </c>
      <c r="P2459" t="s">
        <v>227</v>
      </c>
      <c r="R2459" t="s">
        <v>228</v>
      </c>
      <c r="T2459">
        <v>5020</v>
      </c>
      <c r="U2459" t="s">
        <v>229</v>
      </c>
      <c r="V2459" t="s">
        <v>110</v>
      </c>
      <c r="W2459" t="s">
        <v>230</v>
      </c>
      <c r="X2459" t="s">
        <v>231</v>
      </c>
      <c r="Y2459" t="s">
        <v>119</v>
      </c>
    </row>
    <row r="2460" spans="1:25">
      <c r="A2460">
        <v>10356</v>
      </c>
      <c r="B2460">
        <v>26</v>
      </c>
      <c r="C2460">
        <v>100</v>
      </c>
      <c r="D2460">
        <v>4</v>
      </c>
      <c r="E2460">
        <v>3937.7</v>
      </c>
      <c r="F2460" s="4">
        <v>38242</v>
      </c>
      <c r="G2460" t="s">
        <v>93</v>
      </c>
      <c r="H2460">
        <v>4</v>
      </c>
      <c r="I2460">
        <v>12</v>
      </c>
      <c r="J2460">
        <v>2004</v>
      </c>
      <c r="K2460" t="s">
        <v>94</v>
      </c>
      <c r="L2460">
        <v>81</v>
      </c>
      <c r="M2460" t="s">
        <v>853</v>
      </c>
      <c r="N2460" t="s">
        <v>113</v>
      </c>
      <c r="O2460" t="s">
        <v>114</v>
      </c>
      <c r="P2460" t="s">
        <v>115</v>
      </c>
      <c r="R2460" t="s">
        <v>116</v>
      </c>
      <c r="T2460">
        <v>75508</v>
      </c>
      <c r="U2460" t="s">
        <v>109</v>
      </c>
      <c r="V2460" t="s">
        <v>110</v>
      </c>
      <c r="W2460" t="s">
        <v>117</v>
      </c>
      <c r="X2460" t="s">
        <v>118</v>
      </c>
      <c r="Y2460" t="s">
        <v>119</v>
      </c>
    </row>
    <row r="2461" spans="1:25">
      <c r="A2461">
        <v>10365</v>
      </c>
      <c r="B2461">
        <v>44</v>
      </c>
      <c r="C2461">
        <v>100</v>
      </c>
      <c r="D2461">
        <v>2</v>
      </c>
      <c r="E2461">
        <v>4984.32</v>
      </c>
      <c r="F2461" s="4">
        <v>38534</v>
      </c>
      <c r="G2461" t="s">
        <v>93</v>
      </c>
      <c r="H2461">
        <v>1</v>
      </c>
      <c r="I2461">
        <v>1</v>
      </c>
      <c r="J2461">
        <v>2005</v>
      </c>
      <c r="K2461" t="s">
        <v>94</v>
      </c>
      <c r="L2461">
        <v>81</v>
      </c>
      <c r="M2461" t="s">
        <v>853</v>
      </c>
      <c r="N2461" t="s">
        <v>439</v>
      </c>
      <c r="O2461">
        <v>5085559555</v>
      </c>
      <c r="P2461" t="s">
        <v>440</v>
      </c>
      <c r="R2461" t="s">
        <v>244</v>
      </c>
      <c r="S2461" t="s">
        <v>200</v>
      </c>
      <c r="T2461">
        <v>50553</v>
      </c>
      <c r="U2461" t="s">
        <v>100</v>
      </c>
      <c r="V2461" t="s">
        <v>101</v>
      </c>
      <c r="W2461" t="s">
        <v>441</v>
      </c>
      <c r="X2461" t="s">
        <v>442</v>
      </c>
      <c r="Y2461" t="s">
        <v>119</v>
      </c>
    </row>
    <row r="2462" spans="1:25">
      <c r="A2462">
        <v>10375</v>
      </c>
      <c r="B2462">
        <v>49</v>
      </c>
      <c r="C2462">
        <v>100</v>
      </c>
      <c r="D2462">
        <v>8</v>
      </c>
      <c r="E2462">
        <v>5406.66</v>
      </c>
      <c r="F2462" s="4">
        <v>38413</v>
      </c>
      <c r="G2462" t="s">
        <v>93</v>
      </c>
      <c r="H2462">
        <v>1</v>
      </c>
      <c r="I2462">
        <v>2</v>
      </c>
      <c r="J2462">
        <v>2005</v>
      </c>
      <c r="K2462" t="s">
        <v>94</v>
      </c>
      <c r="L2462">
        <v>81</v>
      </c>
      <c r="M2462" t="s">
        <v>853</v>
      </c>
      <c r="N2462" t="s">
        <v>190</v>
      </c>
      <c r="O2462" t="s">
        <v>191</v>
      </c>
      <c r="P2462" t="s">
        <v>192</v>
      </c>
      <c r="R2462" t="s">
        <v>193</v>
      </c>
      <c r="T2462">
        <v>44000</v>
      </c>
      <c r="U2462" t="s">
        <v>109</v>
      </c>
      <c r="V2462" t="s">
        <v>110</v>
      </c>
      <c r="W2462" t="s">
        <v>194</v>
      </c>
      <c r="X2462" t="s">
        <v>195</v>
      </c>
      <c r="Y2462" t="s">
        <v>119</v>
      </c>
    </row>
    <row r="2463" spans="1:25">
      <c r="A2463">
        <v>10390</v>
      </c>
      <c r="B2463">
        <v>22</v>
      </c>
      <c r="C2463">
        <v>100</v>
      </c>
      <c r="D2463">
        <v>13</v>
      </c>
      <c r="E2463">
        <v>3491.18</v>
      </c>
      <c r="F2463" s="4">
        <v>38445</v>
      </c>
      <c r="G2463" t="s">
        <v>93</v>
      </c>
      <c r="H2463">
        <v>1</v>
      </c>
      <c r="I2463">
        <v>3</v>
      </c>
      <c r="J2463">
        <v>2005</v>
      </c>
      <c r="K2463" t="s">
        <v>94</v>
      </c>
      <c r="L2463">
        <v>81</v>
      </c>
      <c r="M2463" t="s">
        <v>853</v>
      </c>
      <c r="N2463" t="s">
        <v>367</v>
      </c>
      <c r="O2463">
        <v>4155551450</v>
      </c>
      <c r="P2463" t="s">
        <v>368</v>
      </c>
      <c r="R2463" t="s">
        <v>369</v>
      </c>
      <c r="S2463" t="s">
        <v>124</v>
      </c>
      <c r="T2463">
        <v>97562</v>
      </c>
      <c r="U2463" t="s">
        <v>100</v>
      </c>
      <c r="V2463" t="s">
        <v>101</v>
      </c>
      <c r="W2463" t="s">
        <v>370</v>
      </c>
      <c r="X2463" t="s">
        <v>371</v>
      </c>
      <c r="Y2463" t="s">
        <v>119</v>
      </c>
    </row>
    <row r="2464" spans="1:25">
      <c r="A2464">
        <v>10403</v>
      </c>
      <c r="B2464">
        <v>31</v>
      </c>
      <c r="C2464">
        <v>68.34</v>
      </c>
      <c r="D2464">
        <v>3</v>
      </c>
      <c r="E2464">
        <v>2118.54</v>
      </c>
      <c r="F2464" s="4">
        <v>38568</v>
      </c>
      <c r="G2464" t="s">
        <v>93</v>
      </c>
      <c r="H2464">
        <v>2</v>
      </c>
      <c r="I2464">
        <v>4</v>
      </c>
      <c r="J2464">
        <v>2005</v>
      </c>
      <c r="K2464" t="s">
        <v>94</v>
      </c>
      <c r="L2464">
        <v>81</v>
      </c>
      <c r="M2464" t="s">
        <v>853</v>
      </c>
      <c r="N2464" t="s">
        <v>247</v>
      </c>
      <c r="O2464" t="s">
        <v>248</v>
      </c>
      <c r="P2464" t="s">
        <v>249</v>
      </c>
      <c r="R2464" t="s">
        <v>250</v>
      </c>
      <c r="T2464" t="s">
        <v>251</v>
      </c>
      <c r="U2464" t="s">
        <v>252</v>
      </c>
      <c r="V2464" t="s">
        <v>110</v>
      </c>
      <c r="W2464" t="s">
        <v>253</v>
      </c>
      <c r="X2464" t="s">
        <v>254</v>
      </c>
      <c r="Y2464" t="s">
        <v>104</v>
      </c>
    </row>
    <row r="2465" spans="1:25">
      <c r="A2465">
        <v>10105</v>
      </c>
      <c r="B2465">
        <v>41</v>
      </c>
      <c r="C2465">
        <v>70.67</v>
      </c>
      <c r="D2465">
        <v>5</v>
      </c>
      <c r="E2465">
        <v>2897.47</v>
      </c>
      <c r="F2465" s="4">
        <v>37927</v>
      </c>
      <c r="G2465" t="s">
        <v>93</v>
      </c>
      <c r="H2465">
        <v>1</v>
      </c>
      <c r="I2465">
        <v>2</v>
      </c>
      <c r="J2465">
        <v>2003</v>
      </c>
      <c r="K2465" t="s">
        <v>775</v>
      </c>
      <c r="L2465">
        <v>66</v>
      </c>
      <c r="M2465" t="s">
        <v>854</v>
      </c>
      <c r="N2465" t="s">
        <v>425</v>
      </c>
      <c r="O2465" t="s">
        <v>426</v>
      </c>
      <c r="P2465" t="s">
        <v>427</v>
      </c>
      <c r="R2465" t="s">
        <v>428</v>
      </c>
      <c r="T2465">
        <v>1734</v>
      </c>
      <c r="U2465" t="s">
        <v>429</v>
      </c>
      <c r="V2465" t="s">
        <v>110</v>
      </c>
      <c r="W2465" t="s">
        <v>430</v>
      </c>
      <c r="X2465" t="s">
        <v>431</v>
      </c>
      <c r="Y2465" t="s">
        <v>104</v>
      </c>
    </row>
    <row r="2466" spans="1:25">
      <c r="A2466">
        <v>10119</v>
      </c>
      <c r="B2466">
        <v>25</v>
      </c>
      <c r="C2466">
        <v>76.67</v>
      </c>
      <c r="D2466">
        <v>14</v>
      </c>
      <c r="E2466">
        <v>1916.75</v>
      </c>
      <c r="F2466" t="s">
        <v>432</v>
      </c>
      <c r="G2466" t="s">
        <v>93</v>
      </c>
      <c r="H2466">
        <v>2</v>
      </c>
      <c r="I2466">
        <v>4</v>
      </c>
      <c r="J2466">
        <v>2003</v>
      </c>
      <c r="K2466" t="s">
        <v>775</v>
      </c>
      <c r="L2466">
        <v>66</v>
      </c>
      <c r="M2466" t="s">
        <v>854</v>
      </c>
      <c r="N2466" t="s">
        <v>225</v>
      </c>
      <c r="O2466" t="s">
        <v>226</v>
      </c>
      <c r="P2466" t="s">
        <v>227</v>
      </c>
      <c r="R2466" t="s">
        <v>228</v>
      </c>
      <c r="T2466">
        <v>5020</v>
      </c>
      <c r="U2466" t="s">
        <v>229</v>
      </c>
      <c r="V2466" t="s">
        <v>110</v>
      </c>
      <c r="W2466" t="s">
        <v>230</v>
      </c>
      <c r="X2466" t="s">
        <v>231</v>
      </c>
      <c r="Y2466" t="s">
        <v>104</v>
      </c>
    </row>
    <row r="2467" spans="1:25">
      <c r="A2467">
        <v>10129</v>
      </c>
      <c r="B2467">
        <v>31</v>
      </c>
      <c r="C2467">
        <v>60</v>
      </c>
      <c r="D2467">
        <v>5</v>
      </c>
      <c r="E2467">
        <v>1860</v>
      </c>
      <c r="F2467" s="4">
        <v>37961</v>
      </c>
      <c r="G2467" t="s">
        <v>93</v>
      </c>
      <c r="H2467">
        <v>2</v>
      </c>
      <c r="I2467">
        <v>6</v>
      </c>
      <c r="J2467">
        <v>2003</v>
      </c>
      <c r="K2467" t="s">
        <v>775</v>
      </c>
      <c r="L2467">
        <v>66</v>
      </c>
      <c r="M2467" t="s">
        <v>854</v>
      </c>
      <c r="N2467" t="s">
        <v>433</v>
      </c>
      <c r="O2467" t="s">
        <v>434</v>
      </c>
      <c r="P2467" t="s">
        <v>435</v>
      </c>
      <c r="R2467" t="s">
        <v>436</v>
      </c>
      <c r="T2467" t="s">
        <v>437</v>
      </c>
      <c r="U2467" t="s">
        <v>252</v>
      </c>
      <c r="V2467" t="s">
        <v>110</v>
      </c>
      <c r="W2467" t="s">
        <v>130</v>
      </c>
      <c r="X2467" t="s">
        <v>438</v>
      </c>
      <c r="Y2467" t="s">
        <v>104</v>
      </c>
    </row>
    <row r="2468" spans="1:25">
      <c r="A2468">
        <v>10142</v>
      </c>
      <c r="B2468">
        <v>41</v>
      </c>
      <c r="C2468">
        <v>64</v>
      </c>
      <c r="D2468">
        <v>2</v>
      </c>
      <c r="E2468">
        <v>2624</v>
      </c>
      <c r="F2468" s="4">
        <v>37841</v>
      </c>
      <c r="G2468" t="s">
        <v>93</v>
      </c>
      <c r="H2468">
        <v>3</v>
      </c>
      <c r="I2468">
        <v>8</v>
      </c>
      <c r="J2468">
        <v>2003</v>
      </c>
      <c r="K2468" t="s">
        <v>775</v>
      </c>
      <c r="L2468">
        <v>66</v>
      </c>
      <c r="M2468" t="s">
        <v>854</v>
      </c>
      <c r="N2468" t="s">
        <v>367</v>
      </c>
      <c r="O2468">
        <v>4155551450</v>
      </c>
      <c r="P2468" t="s">
        <v>368</v>
      </c>
      <c r="R2468" t="s">
        <v>369</v>
      </c>
      <c r="S2468" t="s">
        <v>124</v>
      </c>
      <c r="T2468">
        <v>97562</v>
      </c>
      <c r="U2468" t="s">
        <v>100</v>
      </c>
      <c r="V2468" t="s">
        <v>101</v>
      </c>
      <c r="W2468" t="s">
        <v>370</v>
      </c>
      <c r="X2468" t="s">
        <v>371</v>
      </c>
      <c r="Y2468" t="s">
        <v>104</v>
      </c>
    </row>
    <row r="2469" spans="1:25">
      <c r="A2469">
        <v>10153</v>
      </c>
      <c r="B2469">
        <v>43</v>
      </c>
      <c r="C2469">
        <v>64.67</v>
      </c>
      <c r="D2469">
        <v>1</v>
      </c>
      <c r="E2469">
        <v>2780.81</v>
      </c>
      <c r="F2469" t="s">
        <v>607</v>
      </c>
      <c r="G2469" t="s">
        <v>93</v>
      </c>
      <c r="H2469">
        <v>3</v>
      </c>
      <c r="I2469">
        <v>9</v>
      </c>
      <c r="J2469">
        <v>2003</v>
      </c>
      <c r="K2469" t="s">
        <v>775</v>
      </c>
      <c r="L2469">
        <v>66</v>
      </c>
      <c r="M2469" t="s">
        <v>854</v>
      </c>
      <c r="N2469" t="s">
        <v>257</v>
      </c>
      <c r="O2469" t="s">
        <v>258</v>
      </c>
      <c r="P2469" t="s">
        <v>259</v>
      </c>
      <c r="R2469" t="s">
        <v>260</v>
      </c>
      <c r="T2469">
        <v>28034</v>
      </c>
      <c r="U2469" t="s">
        <v>261</v>
      </c>
      <c r="V2469" t="s">
        <v>110</v>
      </c>
      <c r="W2469" t="s">
        <v>262</v>
      </c>
      <c r="X2469" t="s">
        <v>263</v>
      </c>
      <c r="Y2469" t="s">
        <v>104</v>
      </c>
    </row>
    <row r="2470" spans="1:25">
      <c r="A2470">
        <v>10167</v>
      </c>
      <c r="B2470">
        <v>43</v>
      </c>
      <c r="C2470">
        <v>75.34</v>
      </c>
      <c r="D2470">
        <v>12</v>
      </c>
      <c r="E2470">
        <v>3239.62</v>
      </c>
      <c r="F2470" t="s">
        <v>443</v>
      </c>
      <c r="G2470" t="s">
        <v>444</v>
      </c>
      <c r="H2470">
        <v>4</v>
      </c>
      <c r="I2470">
        <v>10</v>
      </c>
      <c r="J2470">
        <v>2003</v>
      </c>
      <c r="K2470" t="s">
        <v>775</v>
      </c>
      <c r="L2470">
        <v>66</v>
      </c>
      <c r="M2470" t="s">
        <v>854</v>
      </c>
      <c r="N2470" t="s">
        <v>355</v>
      </c>
      <c r="O2470" t="s">
        <v>356</v>
      </c>
      <c r="P2470" t="s">
        <v>357</v>
      </c>
      <c r="R2470" t="s">
        <v>358</v>
      </c>
      <c r="T2470" t="s">
        <v>359</v>
      </c>
      <c r="U2470" t="s">
        <v>273</v>
      </c>
      <c r="V2470" t="s">
        <v>110</v>
      </c>
      <c r="W2470" t="s">
        <v>360</v>
      </c>
      <c r="X2470" t="s">
        <v>295</v>
      </c>
      <c r="Y2470" t="s">
        <v>119</v>
      </c>
    </row>
    <row r="2471" spans="1:25">
      <c r="A2471">
        <v>10177</v>
      </c>
      <c r="B2471">
        <v>24</v>
      </c>
      <c r="C2471">
        <v>76</v>
      </c>
      <c r="D2471">
        <v>3</v>
      </c>
      <c r="E2471">
        <v>1824</v>
      </c>
      <c r="F2471" s="4">
        <v>37813</v>
      </c>
      <c r="G2471" t="s">
        <v>93</v>
      </c>
      <c r="H2471">
        <v>4</v>
      </c>
      <c r="I2471">
        <v>11</v>
      </c>
      <c r="J2471">
        <v>2003</v>
      </c>
      <c r="K2471" t="s">
        <v>775</v>
      </c>
      <c r="L2471">
        <v>66</v>
      </c>
      <c r="M2471" t="s">
        <v>854</v>
      </c>
      <c r="N2471" t="s">
        <v>618</v>
      </c>
      <c r="O2471" t="s">
        <v>619</v>
      </c>
      <c r="P2471" t="s">
        <v>620</v>
      </c>
      <c r="R2471" t="s">
        <v>260</v>
      </c>
      <c r="T2471">
        <v>28023</v>
      </c>
      <c r="U2471" t="s">
        <v>261</v>
      </c>
      <c r="V2471" t="s">
        <v>110</v>
      </c>
      <c r="W2471" t="s">
        <v>621</v>
      </c>
      <c r="X2471" t="s">
        <v>622</v>
      </c>
      <c r="Y2471" t="s">
        <v>104</v>
      </c>
    </row>
    <row r="2472" spans="1:25">
      <c r="A2472">
        <v>10185</v>
      </c>
      <c r="B2472">
        <v>21</v>
      </c>
      <c r="C2472">
        <v>54</v>
      </c>
      <c r="D2472">
        <v>3</v>
      </c>
      <c r="E2472">
        <v>1134</v>
      </c>
      <c r="F2472" t="s">
        <v>451</v>
      </c>
      <c r="G2472" t="s">
        <v>93</v>
      </c>
      <c r="H2472">
        <v>4</v>
      </c>
      <c r="I2472">
        <v>11</v>
      </c>
      <c r="J2472">
        <v>2003</v>
      </c>
      <c r="K2472" t="s">
        <v>775</v>
      </c>
      <c r="L2472">
        <v>66</v>
      </c>
      <c r="M2472" t="s">
        <v>854</v>
      </c>
      <c r="N2472" t="s">
        <v>439</v>
      </c>
      <c r="O2472">
        <v>5085559555</v>
      </c>
      <c r="P2472" t="s">
        <v>440</v>
      </c>
      <c r="R2472" t="s">
        <v>244</v>
      </c>
      <c r="S2472" t="s">
        <v>200</v>
      </c>
      <c r="T2472">
        <v>50553</v>
      </c>
      <c r="U2472" t="s">
        <v>100</v>
      </c>
      <c r="V2472" t="s">
        <v>101</v>
      </c>
      <c r="W2472" t="s">
        <v>441</v>
      </c>
      <c r="X2472" t="s">
        <v>442</v>
      </c>
      <c r="Y2472" t="s">
        <v>104</v>
      </c>
    </row>
    <row r="2473" spans="1:25">
      <c r="A2473">
        <v>10197</v>
      </c>
      <c r="B2473">
        <v>23</v>
      </c>
      <c r="C2473">
        <v>64.67</v>
      </c>
      <c r="D2473">
        <v>9</v>
      </c>
      <c r="E2473">
        <v>1487.41</v>
      </c>
      <c r="F2473" t="s">
        <v>458</v>
      </c>
      <c r="G2473" t="s">
        <v>93</v>
      </c>
      <c r="H2473">
        <v>4</v>
      </c>
      <c r="I2473">
        <v>11</v>
      </c>
      <c r="J2473">
        <v>2003</v>
      </c>
      <c r="K2473" t="s">
        <v>775</v>
      </c>
      <c r="L2473">
        <v>66</v>
      </c>
      <c r="M2473" t="s">
        <v>854</v>
      </c>
      <c r="N2473" t="s">
        <v>459</v>
      </c>
      <c r="O2473" t="s">
        <v>460</v>
      </c>
      <c r="P2473" t="s">
        <v>461</v>
      </c>
      <c r="R2473" t="s">
        <v>462</v>
      </c>
      <c r="T2473">
        <v>8022</v>
      </c>
      <c r="U2473" t="s">
        <v>261</v>
      </c>
      <c r="V2473" t="s">
        <v>110</v>
      </c>
      <c r="W2473" t="s">
        <v>463</v>
      </c>
      <c r="X2473" t="s">
        <v>464</v>
      </c>
      <c r="Y2473" t="s">
        <v>104</v>
      </c>
    </row>
    <row r="2474" spans="1:25">
      <c r="A2474">
        <v>10208</v>
      </c>
      <c r="B2474">
        <v>38</v>
      </c>
      <c r="C2474">
        <v>74.67</v>
      </c>
      <c r="D2474">
        <v>3</v>
      </c>
      <c r="E2474">
        <v>2837.46</v>
      </c>
      <c r="F2474" s="4">
        <v>38018</v>
      </c>
      <c r="G2474" t="s">
        <v>93</v>
      </c>
      <c r="H2474">
        <v>1</v>
      </c>
      <c r="I2474">
        <v>1</v>
      </c>
      <c r="J2474">
        <v>2004</v>
      </c>
      <c r="K2474" t="s">
        <v>775</v>
      </c>
      <c r="L2474">
        <v>66</v>
      </c>
      <c r="M2474" t="s">
        <v>854</v>
      </c>
      <c r="N2474" t="s">
        <v>310</v>
      </c>
      <c r="O2474" t="s">
        <v>311</v>
      </c>
      <c r="P2474" t="s">
        <v>312</v>
      </c>
      <c r="R2474" t="s">
        <v>313</v>
      </c>
      <c r="T2474">
        <v>69004</v>
      </c>
      <c r="U2474" t="s">
        <v>109</v>
      </c>
      <c r="V2474" t="s">
        <v>110</v>
      </c>
      <c r="W2474" t="s">
        <v>314</v>
      </c>
      <c r="X2474" t="s">
        <v>315</v>
      </c>
      <c r="Y2474" t="s">
        <v>104</v>
      </c>
    </row>
    <row r="2475" spans="1:25">
      <c r="A2475">
        <v>10222</v>
      </c>
      <c r="B2475">
        <v>31</v>
      </c>
      <c r="C2475">
        <v>62.67</v>
      </c>
      <c r="D2475">
        <v>15</v>
      </c>
      <c r="E2475">
        <v>1942.77</v>
      </c>
      <c r="F2475" t="s">
        <v>469</v>
      </c>
      <c r="G2475" t="s">
        <v>93</v>
      </c>
      <c r="H2475">
        <v>1</v>
      </c>
      <c r="I2475">
        <v>2</v>
      </c>
      <c r="J2475">
        <v>2004</v>
      </c>
      <c r="K2475" t="s">
        <v>775</v>
      </c>
      <c r="L2475">
        <v>66</v>
      </c>
      <c r="M2475" t="s">
        <v>854</v>
      </c>
      <c r="N2475" t="s">
        <v>470</v>
      </c>
      <c r="O2475">
        <v>7605558146</v>
      </c>
      <c r="P2475" t="s">
        <v>471</v>
      </c>
      <c r="R2475" t="s">
        <v>472</v>
      </c>
      <c r="S2475" t="s">
        <v>124</v>
      </c>
      <c r="T2475">
        <v>91217</v>
      </c>
      <c r="U2475" t="s">
        <v>100</v>
      </c>
      <c r="V2475" t="s">
        <v>101</v>
      </c>
      <c r="W2475" t="s">
        <v>6</v>
      </c>
      <c r="X2475" t="s">
        <v>371</v>
      </c>
      <c r="Y2475" t="s">
        <v>104</v>
      </c>
    </row>
    <row r="2476" spans="1:25">
      <c r="A2476">
        <v>10233</v>
      </c>
      <c r="B2476">
        <v>36</v>
      </c>
      <c r="C2476">
        <v>70.67</v>
      </c>
      <c r="D2476">
        <v>3</v>
      </c>
      <c r="E2476">
        <v>2544.12</v>
      </c>
      <c r="F2476" t="s">
        <v>826</v>
      </c>
      <c r="G2476" t="s">
        <v>93</v>
      </c>
      <c r="H2476">
        <v>1</v>
      </c>
      <c r="I2476">
        <v>3</v>
      </c>
      <c r="J2476">
        <v>2004</v>
      </c>
      <c r="K2476" t="s">
        <v>775</v>
      </c>
      <c r="L2476">
        <v>66</v>
      </c>
      <c r="M2476" t="s">
        <v>854</v>
      </c>
      <c r="N2476" t="s">
        <v>178</v>
      </c>
      <c r="O2476">
        <v>2015559350</v>
      </c>
      <c r="P2476" t="s">
        <v>179</v>
      </c>
      <c r="R2476" t="s">
        <v>180</v>
      </c>
      <c r="S2476" t="s">
        <v>181</v>
      </c>
      <c r="T2476">
        <v>94019</v>
      </c>
      <c r="U2476" t="s">
        <v>100</v>
      </c>
      <c r="V2476" t="s">
        <v>101</v>
      </c>
      <c r="W2476" t="s">
        <v>130</v>
      </c>
      <c r="X2476" t="s">
        <v>182</v>
      </c>
      <c r="Y2476" t="s">
        <v>104</v>
      </c>
    </row>
    <row r="2477" spans="1:25">
      <c r="A2477">
        <v>10248</v>
      </c>
      <c r="B2477">
        <v>36</v>
      </c>
      <c r="C2477">
        <v>71.34</v>
      </c>
      <c r="D2477">
        <v>6</v>
      </c>
      <c r="E2477">
        <v>2568.2399999999998</v>
      </c>
      <c r="F2477" s="4">
        <v>38173</v>
      </c>
      <c r="G2477" t="s">
        <v>444</v>
      </c>
      <c r="H2477">
        <v>2</v>
      </c>
      <c r="I2477">
        <v>5</v>
      </c>
      <c r="J2477">
        <v>2004</v>
      </c>
      <c r="K2477" t="s">
        <v>775</v>
      </c>
      <c r="L2477">
        <v>66</v>
      </c>
      <c r="M2477" t="s">
        <v>854</v>
      </c>
      <c r="N2477" t="s">
        <v>96</v>
      </c>
      <c r="O2477">
        <v>2125557818</v>
      </c>
      <c r="P2477" t="s">
        <v>97</v>
      </c>
      <c r="R2477" t="s">
        <v>98</v>
      </c>
      <c r="S2477" t="s">
        <v>99</v>
      </c>
      <c r="T2477">
        <v>10022</v>
      </c>
      <c r="U2477" t="s">
        <v>100</v>
      </c>
      <c r="V2477" t="s">
        <v>101</v>
      </c>
      <c r="W2477" t="s">
        <v>102</v>
      </c>
      <c r="X2477" t="s">
        <v>103</v>
      </c>
      <c r="Y2477" t="s">
        <v>104</v>
      </c>
    </row>
    <row r="2478" spans="1:25">
      <c r="A2478">
        <v>10261</v>
      </c>
      <c r="B2478">
        <v>34</v>
      </c>
      <c r="C2478">
        <v>62</v>
      </c>
      <c r="D2478">
        <v>4</v>
      </c>
      <c r="E2478">
        <v>2108</v>
      </c>
      <c r="F2478" t="s">
        <v>473</v>
      </c>
      <c r="G2478" t="s">
        <v>93</v>
      </c>
      <c r="H2478">
        <v>2</v>
      </c>
      <c r="I2478">
        <v>6</v>
      </c>
      <c r="J2478">
        <v>2004</v>
      </c>
      <c r="K2478" t="s">
        <v>775</v>
      </c>
      <c r="L2478">
        <v>66</v>
      </c>
      <c r="M2478" t="s">
        <v>854</v>
      </c>
      <c r="N2478" t="s">
        <v>391</v>
      </c>
      <c r="O2478" t="s">
        <v>392</v>
      </c>
      <c r="P2478" t="s">
        <v>393</v>
      </c>
      <c r="R2478" t="s">
        <v>394</v>
      </c>
      <c r="S2478" t="s">
        <v>395</v>
      </c>
      <c r="T2478" t="s">
        <v>396</v>
      </c>
      <c r="U2478" t="s">
        <v>322</v>
      </c>
      <c r="V2478" t="s">
        <v>101</v>
      </c>
      <c r="W2478" t="s">
        <v>397</v>
      </c>
      <c r="X2478" t="s">
        <v>398</v>
      </c>
      <c r="Y2478" t="s">
        <v>104</v>
      </c>
    </row>
    <row r="2479" spans="1:25">
      <c r="A2479">
        <v>10273</v>
      </c>
      <c r="B2479">
        <v>21</v>
      </c>
      <c r="C2479">
        <v>65.34</v>
      </c>
      <c r="D2479">
        <v>7</v>
      </c>
      <c r="E2479">
        <v>1372.14</v>
      </c>
      <c r="F2479" t="s">
        <v>474</v>
      </c>
      <c r="G2479" t="s">
        <v>93</v>
      </c>
      <c r="H2479">
        <v>3</v>
      </c>
      <c r="I2479">
        <v>7</v>
      </c>
      <c r="J2479">
        <v>2004</v>
      </c>
      <c r="K2479" t="s">
        <v>775</v>
      </c>
      <c r="L2479">
        <v>66</v>
      </c>
      <c r="M2479" t="s">
        <v>854</v>
      </c>
      <c r="N2479" t="s">
        <v>475</v>
      </c>
      <c r="O2479" t="s">
        <v>476</v>
      </c>
      <c r="P2479" t="s">
        <v>477</v>
      </c>
      <c r="R2479" t="s">
        <v>478</v>
      </c>
      <c r="T2479" t="s">
        <v>479</v>
      </c>
      <c r="U2479" t="s">
        <v>480</v>
      </c>
      <c r="V2479" t="s">
        <v>110</v>
      </c>
      <c r="W2479" t="s">
        <v>481</v>
      </c>
      <c r="X2479" t="s">
        <v>482</v>
      </c>
      <c r="Y2479" t="s">
        <v>104</v>
      </c>
    </row>
    <row r="2480" spans="1:25">
      <c r="A2480">
        <v>10283</v>
      </c>
      <c r="B2480">
        <v>45</v>
      </c>
      <c r="C2480">
        <v>78.67</v>
      </c>
      <c r="D2480">
        <v>9</v>
      </c>
      <c r="E2480">
        <v>3540.15</v>
      </c>
      <c r="F2480" t="s">
        <v>483</v>
      </c>
      <c r="G2480" t="s">
        <v>93</v>
      </c>
      <c r="H2480">
        <v>3</v>
      </c>
      <c r="I2480">
        <v>8</v>
      </c>
      <c r="J2480">
        <v>2004</v>
      </c>
      <c r="K2480" t="s">
        <v>775</v>
      </c>
      <c r="L2480">
        <v>66</v>
      </c>
      <c r="M2480" t="s">
        <v>854</v>
      </c>
      <c r="N2480" t="s">
        <v>484</v>
      </c>
      <c r="O2480" t="s">
        <v>485</v>
      </c>
      <c r="P2480" t="s">
        <v>486</v>
      </c>
      <c r="R2480" t="s">
        <v>487</v>
      </c>
      <c r="S2480" t="s">
        <v>320</v>
      </c>
      <c r="T2480" t="s">
        <v>488</v>
      </c>
      <c r="U2480" t="s">
        <v>322</v>
      </c>
      <c r="V2480" t="s">
        <v>101</v>
      </c>
      <c r="W2480" t="s">
        <v>489</v>
      </c>
      <c r="X2480" t="s">
        <v>254</v>
      </c>
      <c r="Y2480" t="s">
        <v>119</v>
      </c>
    </row>
    <row r="2481" spans="1:25">
      <c r="A2481">
        <v>10295</v>
      </c>
      <c r="B2481">
        <v>26</v>
      </c>
      <c r="C2481">
        <v>75.34</v>
      </c>
      <c r="D2481">
        <v>4</v>
      </c>
      <c r="E2481">
        <v>1958.84</v>
      </c>
      <c r="F2481" s="4">
        <v>38269</v>
      </c>
      <c r="G2481" t="s">
        <v>93</v>
      </c>
      <c r="H2481">
        <v>3</v>
      </c>
      <c r="I2481">
        <v>9</v>
      </c>
      <c r="J2481">
        <v>2004</v>
      </c>
      <c r="K2481" t="s">
        <v>775</v>
      </c>
      <c r="L2481">
        <v>66</v>
      </c>
      <c r="M2481" t="s">
        <v>854</v>
      </c>
      <c r="N2481" t="s">
        <v>490</v>
      </c>
      <c r="O2481">
        <v>6175559555</v>
      </c>
      <c r="P2481" t="s">
        <v>491</v>
      </c>
      <c r="R2481" t="s">
        <v>492</v>
      </c>
      <c r="S2481" t="s">
        <v>200</v>
      </c>
      <c r="T2481">
        <v>51003</v>
      </c>
      <c r="U2481" t="s">
        <v>100</v>
      </c>
      <c r="V2481" t="s">
        <v>101</v>
      </c>
      <c r="W2481" t="s">
        <v>493</v>
      </c>
      <c r="X2481" t="s">
        <v>136</v>
      </c>
      <c r="Y2481" t="s">
        <v>104</v>
      </c>
    </row>
    <row r="2482" spans="1:25">
      <c r="A2482">
        <v>10306</v>
      </c>
      <c r="B2482">
        <v>50</v>
      </c>
      <c r="C2482">
        <v>54</v>
      </c>
      <c r="D2482">
        <v>3</v>
      </c>
      <c r="E2482">
        <v>2700</v>
      </c>
      <c r="F2482" t="s">
        <v>494</v>
      </c>
      <c r="G2482" t="s">
        <v>93</v>
      </c>
      <c r="H2482">
        <v>4</v>
      </c>
      <c r="I2482">
        <v>10</v>
      </c>
      <c r="J2482">
        <v>2004</v>
      </c>
      <c r="K2482" t="s">
        <v>775</v>
      </c>
      <c r="L2482">
        <v>66</v>
      </c>
      <c r="M2482" t="s">
        <v>854</v>
      </c>
      <c r="N2482" t="s">
        <v>624</v>
      </c>
      <c r="O2482" t="s">
        <v>625</v>
      </c>
      <c r="P2482" t="s">
        <v>626</v>
      </c>
      <c r="R2482" t="s">
        <v>627</v>
      </c>
      <c r="T2482" t="s">
        <v>628</v>
      </c>
      <c r="U2482" t="s">
        <v>252</v>
      </c>
      <c r="V2482" t="s">
        <v>110</v>
      </c>
      <c r="W2482" t="s">
        <v>629</v>
      </c>
      <c r="X2482" t="s">
        <v>167</v>
      </c>
      <c r="Y2482" t="s">
        <v>104</v>
      </c>
    </row>
    <row r="2483" spans="1:25">
      <c r="A2483">
        <v>10315</v>
      </c>
      <c r="B2483">
        <v>41</v>
      </c>
      <c r="C2483">
        <v>62</v>
      </c>
      <c r="D2483">
        <v>2</v>
      </c>
      <c r="E2483">
        <v>2542</v>
      </c>
      <c r="F2483" t="s">
        <v>802</v>
      </c>
      <c r="G2483" t="s">
        <v>93</v>
      </c>
      <c r="H2483">
        <v>4</v>
      </c>
      <c r="I2483">
        <v>10</v>
      </c>
      <c r="J2483">
        <v>2004</v>
      </c>
      <c r="K2483" t="s">
        <v>775</v>
      </c>
      <c r="L2483">
        <v>66</v>
      </c>
      <c r="M2483" t="s">
        <v>854</v>
      </c>
      <c r="N2483" t="s">
        <v>190</v>
      </c>
      <c r="O2483" t="s">
        <v>191</v>
      </c>
      <c r="P2483" t="s">
        <v>192</v>
      </c>
      <c r="R2483" t="s">
        <v>193</v>
      </c>
      <c r="T2483">
        <v>44000</v>
      </c>
      <c r="U2483" t="s">
        <v>109</v>
      </c>
      <c r="V2483" t="s">
        <v>110</v>
      </c>
      <c r="W2483" t="s">
        <v>194</v>
      </c>
      <c r="X2483" t="s">
        <v>195</v>
      </c>
      <c r="Y2483" t="s">
        <v>104</v>
      </c>
    </row>
    <row r="2484" spans="1:25">
      <c r="A2484">
        <v>10326</v>
      </c>
      <c r="B2484">
        <v>39</v>
      </c>
      <c r="C2484">
        <v>60</v>
      </c>
      <c r="D2484">
        <v>1</v>
      </c>
      <c r="E2484">
        <v>2340</v>
      </c>
      <c r="F2484" s="4">
        <v>38241</v>
      </c>
      <c r="G2484" t="s">
        <v>93</v>
      </c>
      <c r="H2484">
        <v>4</v>
      </c>
      <c r="I2484">
        <v>11</v>
      </c>
      <c r="J2484">
        <v>2004</v>
      </c>
      <c r="K2484" t="s">
        <v>775</v>
      </c>
      <c r="L2484">
        <v>66</v>
      </c>
      <c r="M2484" t="s">
        <v>854</v>
      </c>
      <c r="N2484" t="s">
        <v>268</v>
      </c>
      <c r="O2484" t="s">
        <v>269</v>
      </c>
      <c r="P2484" t="s">
        <v>270</v>
      </c>
      <c r="R2484" t="s">
        <v>271</v>
      </c>
      <c r="T2484" t="s">
        <v>272</v>
      </c>
      <c r="U2484" t="s">
        <v>273</v>
      </c>
      <c r="V2484" t="s">
        <v>110</v>
      </c>
      <c r="W2484" t="s">
        <v>274</v>
      </c>
      <c r="X2484" t="s">
        <v>275</v>
      </c>
      <c r="Y2484" t="s">
        <v>104</v>
      </c>
    </row>
    <row r="2485" spans="1:25">
      <c r="A2485">
        <v>10339</v>
      </c>
      <c r="B2485">
        <v>22</v>
      </c>
      <c r="C2485">
        <v>100</v>
      </c>
      <c r="D2485">
        <v>5</v>
      </c>
      <c r="E2485">
        <v>2816.44</v>
      </c>
      <c r="F2485" t="s">
        <v>422</v>
      </c>
      <c r="G2485" t="s">
        <v>93</v>
      </c>
      <c r="H2485">
        <v>4</v>
      </c>
      <c r="I2485">
        <v>11</v>
      </c>
      <c r="J2485">
        <v>2004</v>
      </c>
      <c r="K2485" t="s">
        <v>775</v>
      </c>
      <c r="L2485">
        <v>66</v>
      </c>
      <c r="M2485" t="s">
        <v>854</v>
      </c>
      <c r="N2485" t="s">
        <v>338</v>
      </c>
      <c r="O2485" t="s">
        <v>339</v>
      </c>
      <c r="P2485" t="s">
        <v>340</v>
      </c>
      <c r="R2485" t="s">
        <v>341</v>
      </c>
      <c r="S2485" t="s">
        <v>342</v>
      </c>
      <c r="T2485" t="s">
        <v>343</v>
      </c>
      <c r="U2485" t="s">
        <v>288</v>
      </c>
      <c r="V2485" t="s">
        <v>288</v>
      </c>
      <c r="W2485" t="s">
        <v>344</v>
      </c>
      <c r="X2485" t="s">
        <v>345</v>
      </c>
      <c r="Y2485" t="s">
        <v>104</v>
      </c>
    </row>
    <row r="2486" spans="1:25">
      <c r="A2486">
        <v>10350</v>
      </c>
      <c r="B2486">
        <v>46</v>
      </c>
      <c r="C2486">
        <v>76.67</v>
      </c>
      <c r="D2486">
        <v>11</v>
      </c>
      <c r="E2486">
        <v>3526.82</v>
      </c>
      <c r="F2486" s="4">
        <v>38029</v>
      </c>
      <c r="G2486" t="s">
        <v>93</v>
      </c>
      <c r="H2486">
        <v>4</v>
      </c>
      <c r="I2486">
        <v>12</v>
      </c>
      <c r="J2486">
        <v>2004</v>
      </c>
      <c r="K2486" t="s">
        <v>775</v>
      </c>
      <c r="L2486">
        <v>66</v>
      </c>
      <c r="M2486" t="s">
        <v>854</v>
      </c>
      <c r="N2486" t="s">
        <v>257</v>
      </c>
      <c r="O2486" t="s">
        <v>258</v>
      </c>
      <c r="P2486" t="s">
        <v>259</v>
      </c>
      <c r="R2486" t="s">
        <v>260</v>
      </c>
      <c r="T2486">
        <v>28034</v>
      </c>
      <c r="U2486" t="s">
        <v>261</v>
      </c>
      <c r="V2486" t="s">
        <v>110</v>
      </c>
      <c r="W2486" t="s">
        <v>262</v>
      </c>
      <c r="X2486" t="s">
        <v>263</v>
      </c>
      <c r="Y2486" t="s">
        <v>119</v>
      </c>
    </row>
    <row r="2487" spans="1:25">
      <c r="A2487">
        <v>10373</v>
      </c>
      <c r="B2487">
        <v>44</v>
      </c>
      <c r="C2487">
        <v>100</v>
      </c>
      <c r="D2487">
        <v>14</v>
      </c>
      <c r="E2487">
        <v>4627.92</v>
      </c>
      <c r="F2487" t="s">
        <v>505</v>
      </c>
      <c r="G2487" t="s">
        <v>93</v>
      </c>
      <c r="H2487">
        <v>1</v>
      </c>
      <c r="I2487">
        <v>1</v>
      </c>
      <c r="J2487">
        <v>2005</v>
      </c>
      <c r="K2487" t="s">
        <v>775</v>
      </c>
      <c r="L2487">
        <v>66</v>
      </c>
      <c r="M2487" t="s">
        <v>854</v>
      </c>
      <c r="N2487" t="s">
        <v>506</v>
      </c>
      <c r="O2487" t="s">
        <v>507</v>
      </c>
      <c r="P2487" t="s">
        <v>508</v>
      </c>
      <c r="R2487" t="s">
        <v>509</v>
      </c>
      <c r="T2487">
        <v>90110</v>
      </c>
      <c r="U2487" t="s">
        <v>208</v>
      </c>
      <c r="V2487" t="s">
        <v>110</v>
      </c>
      <c r="W2487" t="s">
        <v>510</v>
      </c>
      <c r="X2487" t="s">
        <v>511</v>
      </c>
      <c r="Y2487" t="s">
        <v>119</v>
      </c>
    </row>
    <row r="2488" spans="1:25">
      <c r="A2488">
        <v>10385</v>
      </c>
      <c r="B2488">
        <v>25</v>
      </c>
      <c r="C2488">
        <v>77.34</v>
      </c>
      <c r="D2488">
        <v>1</v>
      </c>
      <c r="E2488">
        <v>1933.5</v>
      </c>
      <c r="F2488" t="s">
        <v>832</v>
      </c>
      <c r="G2488" t="s">
        <v>93</v>
      </c>
      <c r="H2488">
        <v>1</v>
      </c>
      <c r="I2488">
        <v>2</v>
      </c>
      <c r="J2488">
        <v>2005</v>
      </c>
      <c r="K2488" t="s">
        <v>775</v>
      </c>
      <c r="L2488">
        <v>66</v>
      </c>
      <c r="M2488" t="s">
        <v>854</v>
      </c>
      <c r="N2488" t="s">
        <v>367</v>
      </c>
      <c r="O2488">
        <v>4155551450</v>
      </c>
      <c r="P2488" t="s">
        <v>368</v>
      </c>
      <c r="R2488" t="s">
        <v>369</v>
      </c>
      <c r="S2488" t="s">
        <v>124</v>
      </c>
      <c r="T2488">
        <v>97562</v>
      </c>
      <c r="U2488" t="s">
        <v>100</v>
      </c>
      <c r="V2488" t="s">
        <v>101</v>
      </c>
      <c r="W2488" t="s">
        <v>370</v>
      </c>
      <c r="X2488" t="s">
        <v>371</v>
      </c>
      <c r="Y2488" t="s">
        <v>104</v>
      </c>
    </row>
    <row r="2489" spans="1:25">
      <c r="A2489">
        <v>10396</v>
      </c>
      <c r="B2489">
        <v>39</v>
      </c>
      <c r="C2489">
        <v>66.67</v>
      </c>
      <c r="D2489">
        <v>1</v>
      </c>
      <c r="E2489">
        <v>2600.13</v>
      </c>
      <c r="F2489" t="s">
        <v>658</v>
      </c>
      <c r="G2489" t="s">
        <v>93</v>
      </c>
      <c r="H2489">
        <v>1</v>
      </c>
      <c r="I2489">
        <v>3</v>
      </c>
      <c r="J2489">
        <v>2005</v>
      </c>
      <c r="K2489" t="s">
        <v>775</v>
      </c>
      <c r="L2489">
        <v>66</v>
      </c>
      <c r="M2489" t="s">
        <v>854</v>
      </c>
      <c r="N2489" t="s">
        <v>367</v>
      </c>
      <c r="O2489">
        <v>4155551450</v>
      </c>
      <c r="P2489" t="s">
        <v>368</v>
      </c>
      <c r="R2489" t="s">
        <v>369</v>
      </c>
      <c r="S2489" t="s">
        <v>124</v>
      </c>
      <c r="T2489">
        <v>97562</v>
      </c>
      <c r="U2489" t="s">
        <v>100</v>
      </c>
      <c r="V2489" t="s">
        <v>101</v>
      </c>
      <c r="W2489" t="s">
        <v>370</v>
      </c>
      <c r="X2489" t="s">
        <v>371</v>
      </c>
      <c r="Y2489" t="s">
        <v>104</v>
      </c>
    </row>
    <row r="2490" spans="1:25">
      <c r="A2490">
        <v>10414</v>
      </c>
      <c r="B2490">
        <v>37</v>
      </c>
      <c r="C2490">
        <v>71.34</v>
      </c>
      <c r="D2490">
        <v>6</v>
      </c>
      <c r="E2490">
        <v>2639.58</v>
      </c>
      <c r="F2490" s="4">
        <v>38508</v>
      </c>
      <c r="G2490" t="s">
        <v>518</v>
      </c>
      <c r="H2490">
        <v>2</v>
      </c>
      <c r="I2490">
        <v>5</v>
      </c>
      <c r="J2490">
        <v>2005</v>
      </c>
      <c r="K2490" t="s">
        <v>775</v>
      </c>
      <c r="L2490">
        <v>66</v>
      </c>
      <c r="M2490" t="s">
        <v>854</v>
      </c>
      <c r="N2490" t="s">
        <v>490</v>
      </c>
      <c r="O2490">
        <v>6175559555</v>
      </c>
      <c r="P2490" t="s">
        <v>491</v>
      </c>
      <c r="R2490" t="s">
        <v>492</v>
      </c>
      <c r="S2490" t="s">
        <v>200</v>
      </c>
      <c r="T2490">
        <v>51003</v>
      </c>
      <c r="U2490" t="s">
        <v>100</v>
      </c>
      <c r="V2490" t="s">
        <v>101</v>
      </c>
      <c r="W2490" t="s">
        <v>493</v>
      </c>
      <c r="X2490" t="s">
        <v>136</v>
      </c>
      <c r="Y2490" t="s">
        <v>104</v>
      </c>
    </row>
    <row r="2491" spans="1:25">
      <c r="A2491">
        <v>10106</v>
      </c>
      <c r="B2491">
        <v>31</v>
      </c>
      <c r="C2491">
        <v>100</v>
      </c>
      <c r="D2491">
        <v>7</v>
      </c>
      <c r="E2491">
        <v>3312.97</v>
      </c>
      <c r="F2491" t="s">
        <v>725</v>
      </c>
      <c r="G2491" t="s">
        <v>93</v>
      </c>
      <c r="H2491">
        <v>1</v>
      </c>
      <c r="I2491">
        <v>2</v>
      </c>
      <c r="J2491">
        <v>2003</v>
      </c>
      <c r="K2491" t="s">
        <v>726</v>
      </c>
      <c r="L2491">
        <v>91</v>
      </c>
      <c r="M2491" t="s">
        <v>855</v>
      </c>
      <c r="N2491" t="s">
        <v>703</v>
      </c>
      <c r="O2491" t="s">
        <v>704</v>
      </c>
      <c r="P2491" t="s">
        <v>705</v>
      </c>
      <c r="R2491" t="s">
        <v>706</v>
      </c>
      <c r="T2491">
        <v>24100</v>
      </c>
      <c r="U2491" t="s">
        <v>352</v>
      </c>
      <c r="V2491" t="s">
        <v>110</v>
      </c>
      <c r="W2491" t="s">
        <v>707</v>
      </c>
      <c r="X2491" t="s">
        <v>708</v>
      </c>
      <c r="Y2491" t="s">
        <v>119</v>
      </c>
    </row>
    <row r="2492" spans="1:25">
      <c r="A2492">
        <v>10120</v>
      </c>
      <c r="B2492">
        <v>47</v>
      </c>
      <c r="C2492">
        <v>82.21</v>
      </c>
      <c r="D2492">
        <v>13</v>
      </c>
      <c r="E2492">
        <v>3863.87</v>
      </c>
      <c r="F2492" t="s">
        <v>402</v>
      </c>
      <c r="G2492" t="s">
        <v>93</v>
      </c>
      <c r="H2492">
        <v>2</v>
      </c>
      <c r="I2492">
        <v>4</v>
      </c>
      <c r="J2492">
        <v>2003</v>
      </c>
      <c r="K2492" t="s">
        <v>726</v>
      </c>
      <c r="L2492">
        <v>91</v>
      </c>
      <c r="M2492" t="s">
        <v>855</v>
      </c>
      <c r="N2492" t="s">
        <v>162</v>
      </c>
      <c r="O2492" t="s">
        <v>163</v>
      </c>
      <c r="P2492" t="s">
        <v>164</v>
      </c>
      <c r="Q2492" t="s">
        <v>165</v>
      </c>
      <c r="R2492" t="s">
        <v>166</v>
      </c>
      <c r="S2492" t="s">
        <v>167</v>
      </c>
      <c r="T2492">
        <v>3004</v>
      </c>
      <c r="U2492" t="s">
        <v>168</v>
      </c>
      <c r="V2492" t="s">
        <v>169</v>
      </c>
      <c r="W2492" t="s">
        <v>170</v>
      </c>
      <c r="X2492" t="s">
        <v>171</v>
      </c>
      <c r="Y2492" t="s">
        <v>119</v>
      </c>
    </row>
    <row r="2493" spans="1:25">
      <c r="A2493">
        <v>10133</v>
      </c>
      <c r="B2493">
        <v>24</v>
      </c>
      <c r="C2493">
        <v>77.64</v>
      </c>
      <c r="D2493">
        <v>8</v>
      </c>
      <c r="E2493">
        <v>1863.36</v>
      </c>
      <c r="F2493" t="s">
        <v>766</v>
      </c>
      <c r="G2493" t="s">
        <v>93</v>
      </c>
      <c r="H2493">
        <v>2</v>
      </c>
      <c r="I2493">
        <v>6</v>
      </c>
      <c r="J2493">
        <v>2003</v>
      </c>
      <c r="K2493" t="s">
        <v>726</v>
      </c>
      <c r="L2493">
        <v>91</v>
      </c>
      <c r="M2493" t="s">
        <v>855</v>
      </c>
      <c r="N2493" t="s">
        <v>257</v>
      </c>
      <c r="O2493" t="s">
        <v>258</v>
      </c>
      <c r="P2493" t="s">
        <v>259</v>
      </c>
      <c r="R2493" t="s">
        <v>260</v>
      </c>
      <c r="T2493">
        <v>28034</v>
      </c>
      <c r="U2493" t="s">
        <v>261</v>
      </c>
      <c r="V2493" t="s">
        <v>110</v>
      </c>
      <c r="W2493" t="s">
        <v>262</v>
      </c>
      <c r="X2493" t="s">
        <v>263</v>
      </c>
      <c r="Y2493" t="s">
        <v>104</v>
      </c>
    </row>
    <row r="2494" spans="1:25">
      <c r="A2494">
        <v>10143</v>
      </c>
      <c r="B2494">
        <v>36</v>
      </c>
      <c r="C2494">
        <v>100</v>
      </c>
      <c r="D2494">
        <v>2</v>
      </c>
      <c r="E2494">
        <v>3945.96</v>
      </c>
      <c r="F2494" s="4">
        <v>37902</v>
      </c>
      <c r="G2494" t="s">
        <v>93</v>
      </c>
      <c r="H2494">
        <v>3</v>
      </c>
      <c r="I2494">
        <v>8</v>
      </c>
      <c r="J2494">
        <v>2003</v>
      </c>
      <c r="K2494" t="s">
        <v>726</v>
      </c>
      <c r="L2494">
        <v>91</v>
      </c>
      <c r="M2494" t="s">
        <v>855</v>
      </c>
      <c r="N2494" t="s">
        <v>439</v>
      </c>
      <c r="O2494">
        <v>5085559555</v>
      </c>
      <c r="P2494" t="s">
        <v>440</v>
      </c>
      <c r="R2494" t="s">
        <v>244</v>
      </c>
      <c r="S2494" t="s">
        <v>200</v>
      </c>
      <c r="T2494">
        <v>50553</v>
      </c>
      <c r="U2494" t="s">
        <v>100</v>
      </c>
      <c r="V2494" t="s">
        <v>101</v>
      </c>
      <c r="W2494" t="s">
        <v>441</v>
      </c>
      <c r="X2494" t="s">
        <v>442</v>
      </c>
      <c r="Y2494" t="s">
        <v>119</v>
      </c>
    </row>
    <row r="2495" spans="1:25">
      <c r="A2495">
        <v>10156</v>
      </c>
      <c r="B2495">
        <v>48</v>
      </c>
      <c r="C2495">
        <v>100</v>
      </c>
      <c r="D2495">
        <v>2</v>
      </c>
      <c r="E2495">
        <v>4954.08</v>
      </c>
      <c r="F2495" s="4">
        <v>37843</v>
      </c>
      <c r="G2495" t="s">
        <v>93</v>
      </c>
      <c r="H2495">
        <v>4</v>
      </c>
      <c r="I2495">
        <v>10</v>
      </c>
      <c r="J2495">
        <v>2003</v>
      </c>
      <c r="K2495" t="s">
        <v>726</v>
      </c>
      <c r="L2495">
        <v>91</v>
      </c>
      <c r="M2495" t="s">
        <v>855</v>
      </c>
      <c r="N2495" t="s">
        <v>257</v>
      </c>
      <c r="O2495" t="s">
        <v>258</v>
      </c>
      <c r="P2495" t="s">
        <v>259</v>
      </c>
      <c r="R2495" t="s">
        <v>260</v>
      </c>
      <c r="T2495">
        <v>28034</v>
      </c>
      <c r="U2495" t="s">
        <v>261</v>
      </c>
      <c r="V2495" t="s">
        <v>110</v>
      </c>
      <c r="W2495" t="s">
        <v>262</v>
      </c>
      <c r="X2495" t="s">
        <v>263</v>
      </c>
      <c r="Y2495" t="s">
        <v>119</v>
      </c>
    </row>
    <row r="2496" spans="1:25">
      <c r="A2496">
        <v>10168</v>
      </c>
      <c r="B2496">
        <v>28</v>
      </c>
      <c r="C2496">
        <v>98.65</v>
      </c>
      <c r="D2496">
        <v>14</v>
      </c>
      <c r="E2496">
        <v>2762.2</v>
      </c>
      <c r="F2496" t="s">
        <v>131</v>
      </c>
      <c r="G2496" t="s">
        <v>93</v>
      </c>
      <c r="H2496">
        <v>4</v>
      </c>
      <c r="I2496">
        <v>10</v>
      </c>
      <c r="J2496">
        <v>2003</v>
      </c>
      <c r="K2496" t="s">
        <v>726</v>
      </c>
      <c r="L2496">
        <v>91</v>
      </c>
      <c r="M2496" t="s">
        <v>855</v>
      </c>
      <c r="N2496" t="s">
        <v>132</v>
      </c>
      <c r="O2496">
        <v>6505556809</v>
      </c>
      <c r="P2496" t="s">
        <v>133</v>
      </c>
      <c r="R2496" t="s">
        <v>134</v>
      </c>
      <c r="S2496" t="s">
        <v>124</v>
      </c>
      <c r="T2496">
        <v>94217</v>
      </c>
      <c r="U2496" t="s">
        <v>100</v>
      </c>
      <c r="V2496" t="s">
        <v>101</v>
      </c>
      <c r="W2496" t="s">
        <v>135</v>
      </c>
      <c r="X2496" t="s">
        <v>136</v>
      </c>
      <c r="Y2496" t="s">
        <v>104</v>
      </c>
    </row>
    <row r="2497" spans="1:25">
      <c r="A2497">
        <v>10199</v>
      </c>
      <c r="B2497">
        <v>48</v>
      </c>
      <c r="C2497">
        <v>83.12</v>
      </c>
      <c r="D2497">
        <v>2</v>
      </c>
      <c r="E2497">
        <v>3989.76</v>
      </c>
      <c r="F2497" s="4">
        <v>37633</v>
      </c>
      <c r="G2497" t="s">
        <v>93</v>
      </c>
      <c r="H2497">
        <v>4</v>
      </c>
      <c r="I2497">
        <v>12</v>
      </c>
      <c r="J2497">
        <v>2003</v>
      </c>
      <c r="K2497" t="s">
        <v>726</v>
      </c>
      <c r="L2497">
        <v>91</v>
      </c>
      <c r="M2497" t="s">
        <v>855</v>
      </c>
      <c r="N2497" t="s">
        <v>326</v>
      </c>
      <c r="O2497">
        <v>3105553722</v>
      </c>
      <c r="P2497" t="s">
        <v>327</v>
      </c>
      <c r="R2497" t="s">
        <v>328</v>
      </c>
      <c r="S2497" t="s">
        <v>124</v>
      </c>
      <c r="T2497">
        <v>94019</v>
      </c>
      <c r="U2497" t="s">
        <v>100</v>
      </c>
      <c r="V2497" t="s">
        <v>101</v>
      </c>
      <c r="W2497" t="s">
        <v>6</v>
      </c>
      <c r="X2497" t="s">
        <v>329</v>
      </c>
      <c r="Y2497" t="s">
        <v>119</v>
      </c>
    </row>
    <row r="2498" spans="1:25">
      <c r="A2498">
        <v>10210</v>
      </c>
      <c r="B2498">
        <v>21</v>
      </c>
      <c r="C2498">
        <v>78.55</v>
      </c>
      <c r="D2498">
        <v>12</v>
      </c>
      <c r="E2498">
        <v>1649.55</v>
      </c>
      <c r="F2498" s="4">
        <v>38322</v>
      </c>
      <c r="G2498" t="s">
        <v>93</v>
      </c>
      <c r="H2498">
        <v>1</v>
      </c>
      <c r="I2498">
        <v>1</v>
      </c>
      <c r="J2498">
        <v>2004</v>
      </c>
      <c r="K2498" t="s">
        <v>726</v>
      </c>
      <c r="L2498">
        <v>91</v>
      </c>
      <c r="M2498" t="s">
        <v>855</v>
      </c>
      <c r="N2498" t="s">
        <v>403</v>
      </c>
      <c r="O2498" t="s">
        <v>404</v>
      </c>
      <c r="P2498" t="s">
        <v>405</v>
      </c>
      <c r="R2498" t="s">
        <v>406</v>
      </c>
      <c r="S2498" t="s">
        <v>406</v>
      </c>
      <c r="T2498" t="s">
        <v>407</v>
      </c>
      <c r="U2498" t="s">
        <v>288</v>
      </c>
      <c r="V2498" t="s">
        <v>288</v>
      </c>
      <c r="W2498" t="s">
        <v>408</v>
      </c>
      <c r="X2498" t="s">
        <v>409</v>
      </c>
      <c r="Y2498" t="s">
        <v>104</v>
      </c>
    </row>
    <row r="2499" spans="1:25">
      <c r="A2499">
        <v>10223</v>
      </c>
      <c r="B2499">
        <v>25</v>
      </c>
      <c r="C2499">
        <v>100</v>
      </c>
      <c r="D2499">
        <v>14</v>
      </c>
      <c r="E2499">
        <v>2534.75</v>
      </c>
      <c r="F2499" t="s">
        <v>161</v>
      </c>
      <c r="G2499" t="s">
        <v>93</v>
      </c>
      <c r="H2499">
        <v>1</v>
      </c>
      <c r="I2499">
        <v>2</v>
      </c>
      <c r="J2499">
        <v>2004</v>
      </c>
      <c r="K2499" t="s">
        <v>726</v>
      </c>
      <c r="L2499">
        <v>91</v>
      </c>
      <c r="M2499" t="s">
        <v>855</v>
      </c>
      <c r="N2499" t="s">
        <v>162</v>
      </c>
      <c r="O2499" t="s">
        <v>163</v>
      </c>
      <c r="P2499" t="s">
        <v>164</v>
      </c>
      <c r="Q2499" t="s">
        <v>165</v>
      </c>
      <c r="R2499" t="s">
        <v>166</v>
      </c>
      <c r="S2499" t="s">
        <v>167</v>
      </c>
      <c r="T2499">
        <v>3004</v>
      </c>
      <c r="U2499" t="s">
        <v>168</v>
      </c>
      <c r="V2499" t="s">
        <v>169</v>
      </c>
      <c r="W2499" t="s">
        <v>170</v>
      </c>
      <c r="X2499" t="s">
        <v>171</v>
      </c>
      <c r="Y2499" t="s">
        <v>104</v>
      </c>
    </row>
    <row r="2500" spans="1:25">
      <c r="A2500">
        <v>10235</v>
      </c>
      <c r="B2500">
        <v>25</v>
      </c>
      <c r="C2500">
        <v>100</v>
      </c>
      <c r="D2500">
        <v>8</v>
      </c>
      <c r="E2500">
        <v>2580.25</v>
      </c>
      <c r="F2500" s="4">
        <v>38021</v>
      </c>
      <c r="G2500" t="s">
        <v>93</v>
      </c>
      <c r="H2500">
        <v>2</v>
      </c>
      <c r="I2500">
        <v>4</v>
      </c>
      <c r="J2500">
        <v>2004</v>
      </c>
      <c r="K2500" t="s">
        <v>726</v>
      </c>
      <c r="L2500">
        <v>91</v>
      </c>
      <c r="M2500" t="s">
        <v>855</v>
      </c>
      <c r="N2500" t="s">
        <v>484</v>
      </c>
      <c r="O2500" t="s">
        <v>485</v>
      </c>
      <c r="P2500" t="s">
        <v>486</v>
      </c>
      <c r="R2500" t="s">
        <v>487</v>
      </c>
      <c r="S2500" t="s">
        <v>320</v>
      </c>
      <c r="T2500" t="s">
        <v>488</v>
      </c>
      <c r="U2500" t="s">
        <v>322</v>
      </c>
      <c r="V2500" t="s">
        <v>101</v>
      </c>
      <c r="W2500" t="s">
        <v>489</v>
      </c>
      <c r="X2500" t="s">
        <v>254</v>
      </c>
      <c r="Y2500" t="s">
        <v>104</v>
      </c>
    </row>
    <row r="2501" spans="1:25">
      <c r="A2501">
        <v>10250</v>
      </c>
      <c r="B2501">
        <v>31</v>
      </c>
      <c r="C2501">
        <v>91.34</v>
      </c>
      <c r="D2501">
        <v>9</v>
      </c>
      <c r="E2501">
        <v>2831.54</v>
      </c>
      <c r="F2501" s="4">
        <v>38296</v>
      </c>
      <c r="G2501" t="s">
        <v>93</v>
      </c>
      <c r="H2501">
        <v>2</v>
      </c>
      <c r="I2501">
        <v>5</v>
      </c>
      <c r="J2501">
        <v>2004</v>
      </c>
      <c r="K2501" t="s">
        <v>726</v>
      </c>
      <c r="L2501">
        <v>91</v>
      </c>
      <c r="M2501" t="s">
        <v>855</v>
      </c>
      <c r="N2501" t="s">
        <v>514</v>
      </c>
      <c r="O2501">
        <v>4085553659</v>
      </c>
      <c r="P2501" t="s">
        <v>515</v>
      </c>
      <c r="R2501" t="s">
        <v>516</v>
      </c>
      <c r="S2501" t="s">
        <v>124</v>
      </c>
      <c r="T2501">
        <v>94217</v>
      </c>
      <c r="U2501" t="s">
        <v>100</v>
      </c>
      <c r="V2501" t="s">
        <v>101</v>
      </c>
      <c r="W2501" t="s">
        <v>175</v>
      </c>
      <c r="X2501" t="s">
        <v>517</v>
      </c>
      <c r="Y2501" t="s">
        <v>104</v>
      </c>
    </row>
    <row r="2502" spans="1:25">
      <c r="A2502">
        <v>10262</v>
      </c>
      <c r="B2502">
        <v>40</v>
      </c>
      <c r="C2502">
        <v>84.03</v>
      </c>
      <c r="D2502">
        <v>4</v>
      </c>
      <c r="E2502">
        <v>3361.2</v>
      </c>
      <c r="F2502" t="s">
        <v>734</v>
      </c>
      <c r="G2502" t="s">
        <v>444</v>
      </c>
      <c r="H2502">
        <v>2</v>
      </c>
      <c r="I2502">
        <v>6</v>
      </c>
      <c r="J2502">
        <v>2004</v>
      </c>
      <c r="K2502" t="s">
        <v>726</v>
      </c>
      <c r="L2502">
        <v>91</v>
      </c>
      <c r="M2502" t="s">
        <v>855</v>
      </c>
      <c r="N2502" t="s">
        <v>257</v>
      </c>
      <c r="O2502" t="s">
        <v>258</v>
      </c>
      <c r="P2502" t="s">
        <v>259</v>
      </c>
      <c r="R2502" t="s">
        <v>260</v>
      </c>
      <c r="T2502">
        <v>28034</v>
      </c>
      <c r="U2502" t="s">
        <v>261</v>
      </c>
      <c r="V2502" t="s">
        <v>110</v>
      </c>
      <c r="W2502" t="s">
        <v>262</v>
      </c>
      <c r="X2502" t="s">
        <v>263</v>
      </c>
      <c r="Y2502" t="s">
        <v>119</v>
      </c>
    </row>
    <row r="2503" spans="1:25">
      <c r="A2503">
        <v>10275</v>
      </c>
      <c r="B2503">
        <v>32</v>
      </c>
      <c r="C2503">
        <v>89.51</v>
      </c>
      <c r="D2503">
        <v>14</v>
      </c>
      <c r="E2503">
        <v>2864.32</v>
      </c>
      <c r="F2503" t="s">
        <v>189</v>
      </c>
      <c r="G2503" t="s">
        <v>93</v>
      </c>
      <c r="H2503">
        <v>3</v>
      </c>
      <c r="I2503">
        <v>7</v>
      </c>
      <c r="J2503">
        <v>2004</v>
      </c>
      <c r="K2503" t="s">
        <v>726</v>
      </c>
      <c r="L2503">
        <v>91</v>
      </c>
      <c r="M2503" t="s">
        <v>855</v>
      </c>
      <c r="N2503" t="s">
        <v>190</v>
      </c>
      <c r="O2503" t="s">
        <v>191</v>
      </c>
      <c r="P2503" t="s">
        <v>192</v>
      </c>
      <c r="R2503" t="s">
        <v>193</v>
      </c>
      <c r="T2503">
        <v>44000</v>
      </c>
      <c r="U2503" t="s">
        <v>109</v>
      </c>
      <c r="V2503" t="s">
        <v>110</v>
      </c>
      <c r="W2503" t="s">
        <v>194</v>
      </c>
      <c r="X2503" t="s">
        <v>195</v>
      </c>
      <c r="Y2503" t="s">
        <v>104</v>
      </c>
    </row>
    <row r="2504" spans="1:25">
      <c r="A2504">
        <v>10284</v>
      </c>
      <c r="B2504">
        <v>24</v>
      </c>
      <c r="C2504">
        <v>83.12</v>
      </c>
      <c r="D2504">
        <v>6</v>
      </c>
      <c r="E2504">
        <v>1994.88</v>
      </c>
      <c r="F2504" t="s">
        <v>735</v>
      </c>
      <c r="G2504" t="s">
        <v>93</v>
      </c>
      <c r="H2504">
        <v>3</v>
      </c>
      <c r="I2504">
        <v>8</v>
      </c>
      <c r="J2504">
        <v>2004</v>
      </c>
      <c r="K2504" t="s">
        <v>726</v>
      </c>
      <c r="L2504">
        <v>91</v>
      </c>
      <c r="M2504" t="s">
        <v>855</v>
      </c>
      <c r="N2504" t="s">
        <v>688</v>
      </c>
      <c r="O2504" t="s">
        <v>689</v>
      </c>
      <c r="P2504" t="s">
        <v>690</v>
      </c>
      <c r="R2504" t="s">
        <v>691</v>
      </c>
      <c r="T2504" t="s">
        <v>692</v>
      </c>
      <c r="U2504" t="s">
        <v>149</v>
      </c>
      <c r="V2504" t="s">
        <v>110</v>
      </c>
      <c r="W2504" t="s">
        <v>693</v>
      </c>
      <c r="X2504" t="s">
        <v>694</v>
      </c>
      <c r="Y2504" t="s">
        <v>104</v>
      </c>
    </row>
    <row r="2505" spans="1:25">
      <c r="A2505">
        <v>10296</v>
      </c>
      <c r="B2505">
        <v>42</v>
      </c>
      <c r="C2505">
        <v>100</v>
      </c>
      <c r="D2505">
        <v>2</v>
      </c>
      <c r="E2505">
        <v>4296.6000000000004</v>
      </c>
      <c r="F2505" t="s">
        <v>736</v>
      </c>
      <c r="G2505" t="s">
        <v>93</v>
      </c>
      <c r="H2505">
        <v>3</v>
      </c>
      <c r="I2505">
        <v>9</v>
      </c>
      <c r="J2505">
        <v>2004</v>
      </c>
      <c r="K2505" t="s">
        <v>726</v>
      </c>
      <c r="L2505">
        <v>91</v>
      </c>
      <c r="M2505" t="s">
        <v>855</v>
      </c>
      <c r="N2505" t="s">
        <v>737</v>
      </c>
      <c r="O2505" t="s">
        <v>738</v>
      </c>
      <c r="P2505" t="s">
        <v>739</v>
      </c>
      <c r="R2505" t="s">
        <v>740</v>
      </c>
      <c r="T2505">
        <v>80686</v>
      </c>
      <c r="U2505" t="s">
        <v>566</v>
      </c>
      <c r="V2505" t="s">
        <v>110</v>
      </c>
      <c r="W2505" t="s">
        <v>741</v>
      </c>
      <c r="X2505" t="s">
        <v>176</v>
      </c>
      <c r="Y2505" t="s">
        <v>119</v>
      </c>
    </row>
    <row r="2506" spans="1:25">
      <c r="A2506">
        <v>10308</v>
      </c>
      <c r="B2506">
        <v>21</v>
      </c>
      <c r="C2506">
        <v>100</v>
      </c>
      <c r="D2506">
        <v>12</v>
      </c>
      <c r="E2506">
        <v>2224.9499999999998</v>
      </c>
      <c r="F2506" t="s">
        <v>211</v>
      </c>
      <c r="G2506" t="s">
        <v>93</v>
      </c>
      <c r="H2506">
        <v>4</v>
      </c>
      <c r="I2506">
        <v>10</v>
      </c>
      <c r="J2506">
        <v>2004</v>
      </c>
      <c r="K2506" t="s">
        <v>726</v>
      </c>
      <c r="L2506">
        <v>91</v>
      </c>
      <c r="M2506" t="s">
        <v>855</v>
      </c>
      <c r="N2506" t="s">
        <v>419</v>
      </c>
      <c r="O2506">
        <v>9145554562</v>
      </c>
      <c r="P2506" t="s">
        <v>420</v>
      </c>
      <c r="R2506" t="s">
        <v>421</v>
      </c>
      <c r="S2506" t="s">
        <v>99</v>
      </c>
      <c r="T2506">
        <v>24067</v>
      </c>
      <c r="U2506" t="s">
        <v>100</v>
      </c>
      <c r="V2506" t="s">
        <v>101</v>
      </c>
      <c r="W2506" t="s">
        <v>175</v>
      </c>
      <c r="X2506" t="s">
        <v>329</v>
      </c>
      <c r="Y2506" t="s">
        <v>104</v>
      </c>
    </row>
    <row r="2507" spans="1:25">
      <c r="A2507">
        <v>10316</v>
      </c>
      <c r="B2507">
        <v>34</v>
      </c>
      <c r="C2507">
        <v>82.21</v>
      </c>
      <c r="D2507">
        <v>4</v>
      </c>
      <c r="E2507">
        <v>2795.14</v>
      </c>
      <c r="F2507" s="4">
        <v>37997</v>
      </c>
      <c r="G2507" t="s">
        <v>93</v>
      </c>
      <c r="H2507">
        <v>4</v>
      </c>
      <c r="I2507">
        <v>11</v>
      </c>
      <c r="J2507">
        <v>2004</v>
      </c>
      <c r="K2507" t="s">
        <v>726</v>
      </c>
      <c r="L2507">
        <v>91</v>
      </c>
      <c r="M2507" t="s">
        <v>855</v>
      </c>
      <c r="N2507" t="s">
        <v>495</v>
      </c>
      <c r="O2507" t="s">
        <v>496</v>
      </c>
      <c r="P2507" t="s">
        <v>497</v>
      </c>
      <c r="R2507" t="s">
        <v>498</v>
      </c>
      <c r="S2507" t="s">
        <v>499</v>
      </c>
      <c r="T2507" t="s">
        <v>500</v>
      </c>
      <c r="U2507" t="s">
        <v>252</v>
      </c>
      <c r="V2507" t="s">
        <v>110</v>
      </c>
      <c r="W2507" t="s">
        <v>501</v>
      </c>
      <c r="X2507" t="s">
        <v>502</v>
      </c>
      <c r="Y2507" t="s">
        <v>104</v>
      </c>
    </row>
    <row r="2508" spans="1:25">
      <c r="A2508">
        <v>10328</v>
      </c>
      <c r="B2508">
        <v>27</v>
      </c>
      <c r="C2508">
        <v>100</v>
      </c>
      <c r="D2508">
        <v>8</v>
      </c>
      <c r="E2508">
        <v>2762.1</v>
      </c>
      <c r="F2508" s="4">
        <v>38332</v>
      </c>
      <c r="G2508" t="s">
        <v>93</v>
      </c>
      <c r="H2508">
        <v>4</v>
      </c>
      <c r="I2508">
        <v>11</v>
      </c>
      <c r="J2508">
        <v>2004</v>
      </c>
      <c r="K2508" t="s">
        <v>726</v>
      </c>
      <c r="L2508">
        <v>91</v>
      </c>
      <c r="M2508" t="s">
        <v>855</v>
      </c>
      <c r="N2508" t="s">
        <v>703</v>
      </c>
      <c r="O2508" t="s">
        <v>704</v>
      </c>
      <c r="P2508" t="s">
        <v>705</v>
      </c>
      <c r="R2508" t="s">
        <v>706</v>
      </c>
      <c r="T2508">
        <v>24100</v>
      </c>
      <c r="U2508" t="s">
        <v>352</v>
      </c>
      <c r="V2508" t="s">
        <v>110</v>
      </c>
      <c r="W2508" t="s">
        <v>707</v>
      </c>
      <c r="X2508" t="s">
        <v>708</v>
      </c>
      <c r="Y2508" t="s">
        <v>104</v>
      </c>
    </row>
    <row r="2509" spans="1:25">
      <c r="A2509">
        <v>10340</v>
      </c>
      <c r="B2509">
        <v>30</v>
      </c>
      <c r="C2509">
        <v>88.6</v>
      </c>
      <c r="D2509">
        <v>5</v>
      </c>
      <c r="E2509">
        <v>2658</v>
      </c>
      <c r="F2509" t="s">
        <v>224</v>
      </c>
      <c r="G2509" t="s">
        <v>93</v>
      </c>
      <c r="H2509">
        <v>4</v>
      </c>
      <c r="I2509">
        <v>11</v>
      </c>
      <c r="J2509">
        <v>2004</v>
      </c>
      <c r="K2509" t="s">
        <v>726</v>
      </c>
      <c r="L2509">
        <v>91</v>
      </c>
      <c r="M2509" t="s">
        <v>855</v>
      </c>
      <c r="N2509" t="s">
        <v>459</v>
      </c>
      <c r="O2509" t="s">
        <v>460</v>
      </c>
      <c r="P2509" t="s">
        <v>461</v>
      </c>
      <c r="R2509" t="s">
        <v>462</v>
      </c>
      <c r="T2509">
        <v>8022</v>
      </c>
      <c r="U2509" t="s">
        <v>261</v>
      </c>
      <c r="V2509" t="s">
        <v>110</v>
      </c>
      <c r="W2509" t="s">
        <v>463</v>
      </c>
      <c r="X2509" t="s">
        <v>464</v>
      </c>
      <c r="Y2509" t="s">
        <v>104</v>
      </c>
    </row>
    <row r="2510" spans="1:25">
      <c r="A2510">
        <v>10353</v>
      </c>
      <c r="B2510">
        <v>39</v>
      </c>
      <c r="C2510">
        <v>100</v>
      </c>
      <c r="D2510">
        <v>9</v>
      </c>
      <c r="E2510">
        <v>5043.87</v>
      </c>
      <c r="F2510" s="4">
        <v>38089</v>
      </c>
      <c r="G2510" t="s">
        <v>93</v>
      </c>
      <c r="H2510">
        <v>4</v>
      </c>
      <c r="I2510">
        <v>12</v>
      </c>
      <c r="J2510">
        <v>2004</v>
      </c>
      <c r="K2510" t="s">
        <v>726</v>
      </c>
      <c r="L2510">
        <v>91</v>
      </c>
      <c r="M2510" t="s">
        <v>855</v>
      </c>
      <c r="N2510" t="s">
        <v>729</v>
      </c>
      <c r="O2510">
        <v>2035554407</v>
      </c>
      <c r="P2510" t="s">
        <v>730</v>
      </c>
      <c r="R2510" t="s">
        <v>656</v>
      </c>
      <c r="S2510" t="s">
        <v>187</v>
      </c>
      <c r="T2510">
        <v>97561</v>
      </c>
      <c r="U2510" t="s">
        <v>100</v>
      </c>
      <c r="V2510" t="s">
        <v>101</v>
      </c>
      <c r="W2510" t="s">
        <v>731</v>
      </c>
      <c r="X2510" t="s">
        <v>732</v>
      </c>
      <c r="Y2510" t="s">
        <v>119</v>
      </c>
    </row>
    <row r="2511" spans="1:25">
      <c r="A2511">
        <v>10361</v>
      </c>
      <c r="B2511">
        <v>20</v>
      </c>
      <c r="C2511">
        <v>60.54</v>
      </c>
      <c r="D2511">
        <v>4</v>
      </c>
      <c r="E2511">
        <v>1210.8</v>
      </c>
      <c r="F2511" t="s">
        <v>233</v>
      </c>
      <c r="G2511" t="s">
        <v>93</v>
      </c>
      <c r="H2511">
        <v>4</v>
      </c>
      <c r="I2511">
        <v>12</v>
      </c>
      <c r="J2511">
        <v>2004</v>
      </c>
      <c r="K2511" t="s">
        <v>726</v>
      </c>
      <c r="L2511">
        <v>91</v>
      </c>
      <c r="M2511" t="s">
        <v>855</v>
      </c>
      <c r="N2511" t="s">
        <v>234</v>
      </c>
      <c r="O2511" t="s">
        <v>235</v>
      </c>
      <c r="P2511" t="s">
        <v>236</v>
      </c>
      <c r="Q2511" t="s">
        <v>237</v>
      </c>
      <c r="R2511" t="s">
        <v>238</v>
      </c>
      <c r="S2511" t="s">
        <v>239</v>
      </c>
      <c r="T2511">
        <v>2067</v>
      </c>
      <c r="U2511" t="s">
        <v>168</v>
      </c>
      <c r="V2511" t="s">
        <v>169</v>
      </c>
      <c r="W2511" t="s">
        <v>240</v>
      </c>
      <c r="X2511" t="s">
        <v>241</v>
      </c>
      <c r="Y2511" t="s">
        <v>104</v>
      </c>
    </row>
    <row r="2512" spans="1:25">
      <c r="A2512">
        <v>10375</v>
      </c>
      <c r="B2512">
        <v>37</v>
      </c>
      <c r="C2512">
        <v>81.87</v>
      </c>
      <c r="D2512">
        <v>6</v>
      </c>
      <c r="E2512">
        <v>3029.19</v>
      </c>
      <c r="F2512" s="4">
        <v>38413</v>
      </c>
      <c r="G2512" t="s">
        <v>93</v>
      </c>
      <c r="H2512">
        <v>1</v>
      </c>
      <c r="I2512">
        <v>2</v>
      </c>
      <c r="J2512">
        <v>2005</v>
      </c>
      <c r="K2512" t="s">
        <v>726</v>
      </c>
      <c r="L2512">
        <v>91</v>
      </c>
      <c r="M2512" t="s">
        <v>855</v>
      </c>
      <c r="N2512" t="s">
        <v>190</v>
      </c>
      <c r="O2512" t="s">
        <v>191</v>
      </c>
      <c r="P2512" t="s">
        <v>192</v>
      </c>
      <c r="R2512" t="s">
        <v>193</v>
      </c>
      <c r="T2512">
        <v>44000</v>
      </c>
      <c r="U2512" t="s">
        <v>109</v>
      </c>
      <c r="V2512" t="s">
        <v>110</v>
      </c>
      <c r="W2512" t="s">
        <v>194</v>
      </c>
      <c r="X2512" t="s">
        <v>195</v>
      </c>
      <c r="Y2512" t="s">
        <v>119</v>
      </c>
    </row>
    <row r="2513" spans="1:25">
      <c r="A2513">
        <v>10388</v>
      </c>
      <c r="B2513">
        <v>46</v>
      </c>
      <c r="C2513">
        <v>100</v>
      </c>
      <c r="D2513">
        <v>2</v>
      </c>
      <c r="E2513">
        <v>10066.6</v>
      </c>
      <c r="F2513" s="4">
        <v>38414</v>
      </c>
      <c r="G2513" t="s">
        <v>93</v>
      </c>
      <c r="H2513">
        <v>1</v>
      </c>
      <c r="I2513">
        <v>3</v>
      </c>
      <c r="J2513">
        <v>2005</v>
      </c>
      <c r="K2513" t="s">
        <v>726</v>
      </c>
      <c r="L2513">
        <v>91</v>
      </c>
      <c r="M2513" t="s">
        <v>855</v>
      </c>
      <c r="N2513" t="s">
        <v>242</v>
      </c>
      <c r="O2513">
        <v>5085552555</v>
      </c>
      <c r="P2513" t="s">
        <v>243</v>
      </c>
      <c r="R2513" t="s">
        <v>244</v>
      </c>
      <c r="S2513" t="s">
        <v>200</v>
      </c>
      <c r="T2513">
        <v>50553</v>
      </c>
      <c r="U2513" t="s">
        <v>100</v>
      </c>
      <c r="V2513" t="s">
        <v>101</v>
      </c>
      <c r="W2513" t="s">
        <v>245</v>
      </c>
      <c r="X2513" t="s">
        <v>246</v>
      </c>
      <c r="Y2513" t="s">
        <v>232</v>
      </c>
    </row>
    <row r="2514" spans="1:25">
      <c r="A2514">
        <v>10398</v>
      </c>
      <c r="B2514">
        <v>47</v>
      </c>
      <c r="C2514">
        <v>87.69</v>
      </c>
      <c r="D2514">
        <v>6</v>
      </c>
      <c r="E2514">
        <v>4121.43</v>
      </c>
      <c r="F2514" t="s">
        <v>750</v>
      </c>
      <c r="G2514" t="s">
        <v>93</v>
      </c>
      <c r="H2514">
        <v>1</v>
      </c>
      <c r="I2514">
        <v>3</v>
      </c>
      <c r="J2514">
        <v>2005</v>
      </c>
      <c r="K2514" t="s">
        <v>726</v>
      </c>
      <c r="L2514">
        <v>91</v>
      </c>
      <c r="M2514" t="s">
        <v>855</v>
      </c>
      <c r="N2514" t="s">
        <v>105</v>
      </c>
      <c r="O2514" t="s">
        <v>106</v>
      </c>
      <c r="P2514" t="s">
        <v>107</v>
      </c>
      <c r="R2514" t="s">
        <v>108</v>
      </c>
      <c r="T2514">
        <v>51100</v>
      </c>
      <c r="U2514" t="s">
        <v>109</v>
      </c>
      <c r="V2514" t="s">
        <v>110</v>
      </c>
      <c r="W2514" t="s">
        <v>111</v>
      </c>
      <c r="X2514" t="s">
        <v>112</v>
      </c>
      <c r="Y2514" t="s">
        <v>119</v>
      </c>
    </row>
    <row r="2515" spans="1:25">
      <c r="A2515">
        <v>10401</v>
      </c>
      <c r="B2515">
        <v>11</v>
      </c>
      <c r="C2515">
        <v>100</v>
      </c>
      <c r="D2515">
        <v>8</v>
      </c>
      <c r="E2515">
        <v>1135.31</v>
      </c>
      <c r="F2515" s="4">
        <v>38415</v>
      </c>
      <c r="G2515" t="s">
        <v>518</v>
      </c>
      <c r="H2515">
        <v>2</v>
      </c>
      <c r="I2515">
        <v>4</v>
      </c>
      <c r="J2515">
        <v>2005</v>
      </c>
      <c r="K2515" t="s">
        <v>726</v>
      </c>
      <c r="L2515">
        <v>91</v>
      </c>
      <c r="M2515" t="s">
        <v>855</v>
      </c>
      <c r="N2515" t="s">
        <v>178</v>
      </c>
      <c r="O2515">
        <v>2015559350</v>
      </c>
      <c r="P2515" t="s">
        <v>179</v>
      </c>
      <c r="R2515" t="s">
        <v>180</v>
      </c>
      <c r="S2515" t="s">
        <v>181</v>
      </c>
      <c r="T2515">
        <v>94019</v>
      </c>
      <c r="U2515" t="s">
        <v>100</v>
      </c>
      <c r="V2515" t="s">
        <v>101</v>
      </c>
      <c r="W2515" t="s">
        <v>130</v>
      </c>
      <c r="X2515" t="s">
        <v>182</v>
      </c>
      <c r="Y2515" t="s">
        <v>104</v>
      </c>
    </row>
    <row r="2516" spans="1:25">
      <c r="A2516">
        <v>10416</v>
      </c>
      <c r="B2516">
        <v>23</v>
      </c>
      <c r="C2516">
        <v>91.34</v>
      </c>
      <c r="D2516">
        <v>9</v>
      </c>
      <c r="E2516">
        <v>2100.8200000000002</v>
      </c>
      <c r="F2516" s="4">
        <v>38630</v>
      </c>
      <c r="G2516" t="s">
        <v>93</v>
      </c>
      <c r="H2516">
        <v>2</v>
      </c>
      <c r="I2516">
        <v>5</v>
      </c>
      <c r="J2516">
        <v>2005</v>
      </c>
      <c r="K2516" t="s">
        <v>726</v>
      </c>
      <c r="L2516">
        <v>91</v>
      </c>
      <c r="M2516" t="s">
        <v>855</v>
      </c>
      <c r="N2516" t="s">
        <v>576</v>
      </c>
      <c r="O2516" t="s">
        <v>577</v>
      </c>
      <c r="P2516" t="s">
        <v>578</v>
      </c>
      <c r="R2516" t="s">
        <v>579</v>
      </c>
      <c r="T2516">
        <v>42100</v>
      </c>
      <c r="U2516" t="s">
        <v>352</v>
      </c>
      <c r="V2516" t="s">
        <v>110</v>
      </c>
      <c r="W2516" t="s">
        <v>580</v>
      </c>
      <c r="X2516" t="s">
        <v>581</v>
      </c>
      <c r="Y2516" t="s">
        <v>104</v>
      </c>
    </row>
    <row r="2517" spans="1:25">
      <c r="A2517">
        <v>10105</v>
      </c>
      <c r="B2517">
        <v>29</v>
      </c>
      <c r="C2517">
        <v>70.150000000000006</v>
      </c>
      <c r="D2517">
        <v>12</v>
      </c>
      <c r="E2517">
        <v>2034.35</v>
      </c>
      <c r="F2517" s="4">
        <v>37927</v>
      </c>
      <c r="G2517" t="s">
        <v>93</v>
      </c>
      <c r="H2517">
        <v>1</v>
      </c>
      <c r="I2517">
        <v>2</v>
      </c>
      <c r="J2517">
        <v>2003</v>
      </c>
      <c r="K2517" t="s">
        <v>775</v>
      </c>
      <c r="L2517">
        <v>86</v>
      </c>
      <c r="M2517" t="s">
        <v>856</v>
      </c>
      <c r="N2517" t="s">
        <v>425</v>
      </c>
      <c r="O2517" t="s">
        <v>426</v>
      </c>
      <c r="P2517" t="s">
        <v>427</v>
      </c>
      <c r="R2517" t="s">
        <v>428</v>
      </c>
      <c r="T2517">
        <v>1734</v>
      </c>
      <c r="U2517" t="s">
        <v>429</v>
      </c>
      <c r="V2517" t="s">
        <v>110</v>
      </c>
      <c r="W2517" t="s">
        <v>430</v>
      </c>
      <c r="X2517" t="s">
        <v>431</v>
      </c>
      <c r="Y2517" t="s">
        <v>104</v>
      </c>
    </row>
    <row r="2518" spans="1:25">
      <c r="A2518">
        <v>10117</v>
      </c>
      <c r="B2518">
        <v>38</v>
      </c>
      <c r="C2518">
        <v>79.680000000000007</v>
      </c>
      <c r="D2518">
        <v>6</v>
      </c>
      <c r="E2518">
        <v>3027.84</v>
      </c>
      <c r="F2518" t="s">
        <v>602</v>
      </c>
      <c r="G2518" t="s">
        <v>93</v>
      </c>
      <c r="H2518">
        <v>2</v>
      </c>
      <c r="I2518">
        <v>4</v>
      </c>
      <c r="J2518">
        <v>2003</v>
      </c>
      <c r="K2518" t="s">
        <v>775</v>
      </c>
      <c r="L2518">
        <v>86</v>
      </c>
      <c r="M2518" t="s">
        <v>856</v>
      </c>
      <c r="N2518" t="s">
        <v>284</v>
      </c>
      <c r="O2518" t="s">
        <v>285</v>
      </c>
      <c r="P2518" t="s">
        <v>286</v>
      </c>
      <c r="R2518" t="s">
        <v>287</v>
      </c>
      <c r="T2518">
        <v>79903</v>
      </c>
      <c r="U2518" t="s">
        <v>287</v>
      </c>
      <c r="V2518" t="s">
        <v>288</v>
      </c>
      <c r="W2518" t="s">
        <v>289</v>
      </c>
      <c r="X2518" t="s">
        <v>290</v>
      </c>
      <c r="Y2518" t="s">
        <v>119</v>
      </c>
    </row>
    <row r="2519" spans="1:25">
      <c r="A2519">
        <v>10128</v>
      </c>
      <c r="B2519">
        <v>32</v>
      </c>
      <c r="C2519">
        <v>97</v>
      </c>
      <c r="D2519">
        <v>3</v>
      </c>
      <c r="E2519">
        <v>3104</v>
      </c>
      <c r="F2519" s="4">
        <v>37778</v>
      </c>
      <c r="G2519" t="s">
        <v>93</v>
      </c>
      <c r="H2519">
        <v>2</v>
      </c>
      <c r="I2519">
        <v>6</v>
      </c>
      <c r="J2519">
        <v>2003</v>
      </c>
      <c r="K2519" t="s">
        <v>775</v>
      </c>
      <c r="L2519">
        <v>86</v>
      </c>
      <c r="M2519" t="s">
        <v>856</v>
      </c>
      <c r="N2519" t="s">
        <v>257</v>
      </c>
      <c r="O2519" t="s">
        <v>258</v>
      </c>
      <c r="P2519" t="s">
        <v>259</v>
      </c>
      <c r="R2519" t="s">
        <v>260</v>
      </c>
      <c r="T2519">
        <v>28034</v>
      </c>
      <c r="U2519" t="s">
        <v>261</v>
      </c>
      <c r="V2519" t="s">
        <v>110</v>
      </c>
      <c r="W2519" t="s">
        <v>262</v>
      </c>
      <c r="X2519" t="s">
        <v>263</v>
      </c>
      <c r="Y2519" t="s">
        <v>119</v>
      </c>
    </row>
    <row r="2520" spans="1:25">
      <c r="A2520">
        <v>10142</v>
      </c>
      <c r="B2520">
        <v>43</v>
      </c>
      <c r="C2520">
        <v>84.01</v>
      </c>
      <c r="D2520">
        <v>9</v>
      </c>
      <c r="E2520">
        <v>3612.43</v>
      </c>
      <c r="F2520" s="4">
        <v>37841</v>
      </c>
      <c r="G2520" t="s">
        <v>93</v>
      </c>
      <c r="H2520">
        <v>3</v>
      </c>
      <c r="I2520">
        <v>8</v>
      </c>
      <c r="J2520">
        <v>2003</v>
      </c>
      <c r="K2520" t="s">
        <v>775</v>
      </c>
      <c r="L2520">
        <v>86</v>
      </c>
      <c r="M2520" t="s">
        <v>856</v>
      </c>
      <c r="N2520" t="s">
        <v>367</v>
      </c>
      <c r="O2520">
        <v>4155551450</v>
      </c>
      <c r="P2520" t="s">
        <v>368</v>
      </c>
      <c r="R2520" t="s">
        <v>369</v>
      </c>
      <c r="S2520" t="s">
        <v>124</v>
      </c>
      <c r="T2520">
        <v>97562</v>
      </c>
      <c r="U2520" t="s">
        <v>100</v>
      </c>
      <c r="V2520" t="s">
        <v>101</v>
      </c>
      <c r="W2520" t="s">
        <v>370</v>
      </c>
      <c r="X2520" t="s">
        <v>371</v>
      </c>
      <c r="Y2520" t="s">
        <v>119</v>
      </c>
    </row>
    <row r="2521" spans="1:25">
      <c r="A2521">
        <v>10153</v>
      </c>
      <c r="B2521">
        <v>31</v>
      </c>
      <c r="C2521">
        <v>87.48</v>
      </c>
      <c r="D2521">
        <v>8</v>
      </c>
      <c r="E2521">
        <v>2711.88</v>
      </c>
      <c r="F2521" t="s">
        <v>607</v>
      </c>
      <c r="G2521" t="s">
        <v>93</v>
      </c>
      <c r="H2521">
        <v>3</v>
      </c>
      <c r="I2521">
        <v>9</v>
      </c>
      <c r="J2521">
        <v>2003</v>
      </c>
      <c r="K2521" t="s">
        <v>775</v>
      </c>
      <c r="L2521">
        <v>86</v>
      </c>
      <c r="M2521" t="s">
        <v>856</v>
      </c>
      <c r="N2521" t="s">
        <v>257</v>
      </c>
      <c r="O2521" t="s">
        <v>258</v>
      </c>
      <c r="P2521" t="s">
        <v>259</v>
      </c>
      <c r="R2521" t="s">
        <v>260</v>
      </c>
      <c r="T2521">
        <v>28034</v>
      </c>
      <c r="U2521" t="s">
        <v>261</v>
      </c>
      <c r="V2521" t="s">
        <v>110</v>
      </c>
      <c r="W2521" t="s">
        <v>262</v>
      </c>
      <c r="X2521" t="s">
        <v>263</v>
      </c>
      <c r="Y2521" t="s">
        <v>104</v>
      </c>
    </row>
    <row r="2522" spans="1:25">
      <c r="A2522">
        <v>10166</v>
      </c>
      <c r="B2522">
        <v>29</v>
      </c>
      <c r="C2522">
        <v>100</v>
      </c>
      <c r="D2522">
        <v>3</v>
      </c>
      <c r="E2522">
        <v>3013.97</v>
      </c>
      <c r="F2522" t="s">
        <v>525</v>
      </c>
      <c r="G2522" t="s">
        <v>93</v>
      </c>
      <c r="H2522">
        <v>4</v>
      </c>
      <c r="I2522">
        <v>10</v>
      </c>
      <c r="J2522">
        <v>2003</v>
      </c>
      <c r="K2522" t="s">
        <v>775</v>
      </c>
      <c r="L2522">
        <v>86</v>
      </c>
      <c r="M2522" t="s">
        <v>856</v>
      </c>
      <c r="N2522" t="s">
        <v>242</v>
      </c>
      <c r="O2522">
        <v>5085552555</v>
      </c>
      <c r="P2522" t="s">
        <v>243</v>
      </c>
      <c r="R2522" t="s">
        <v>244</v>
      </c>
      <c r="S2522" t="s">
        <v>200</v>
      </c>
      <c r="T2522">
        <v>50553</v>
      </c>
      <c r="U2522" t="s">
        <v>100</v>
      </c>
      <c r="V2522" t="s">
        <v>101</v>
      </c>
      <c r="W2522" t="s">
        <v>245</v>
      </c>
      <c r="X2522" t="s">
        <v>246</v>
      </c>
      <c r="Y2522" t="s">
        <v>119</v>
      </c>
    </row>
    <row r="2523" spans="1:25">
      <c r="A2523">
        <v>10177</v>
      </c>
      <c r="B2523">
        <v>31</v>
      </c>
      <c r="C2523">
        <v>88.34</v>
      </c>
      <c r="D2523">
        <v>10</v>
      </c>
      <c r="E2523">
        <v>2738.54</v>
      </c>
      <c r="F2523" s="4">
        <v>37813</v>
      </c>
      <c r="G2523" t="s">
        <v>93</v>
      </c>
      <c r="H2523">
        <v>4</v>
      </c>
      <c r="I2523">
        <v>11</v>
      </c>
      <c r="J2523">
        <v>2003</v>
      </c>
      <c r="K2523" t="s">
        <v>775</v>
      </c>
      <c r="L2523">
        <v>86</v>
      </c>
      <c r="M2523" t="s">
        <v>856</v>
      </c>
      <c r="N2523" t="s">
        <v>618</v>
      </c>
      <c r="O2523" t="s">
        <v>619</v>
      </c>
      <c r="P2523" t="s">
        <v>620</v>
      </c>
      <c r="R2523" t="s">
        <v>260</v>
      </c>
      <c r="T2523">
        <v>28023</v>
      </c>
      <c r="U2523" t="s">
        <v>261</v>
      </c>
      <c r="V2523" t="s">
        <v>110</v>
      </c>
      <c r="W2523" t="s">
        <v>621</v>
      </c>
      <c r="X2523" t="s">
        <v>622</v>
      </c>
      <c r="Y2523" t="s">
        <v>104</v>
      </c>
    </row>
    <row r="2524" spans="1:25">
      <c r="A2524">
        <v>10185</v>
      </c>
      <c r="B2524">
        <v>30</v>
      </c>
      <c r="C2524">
        <v>94.4</v>
      </c>
      <c r="D2524">
        <v>10</v>
      </c>
      <c r="E2524">
        <v>2832</v>
      </c>
      <c r="F2524" t="s">
        <v>451</v>
      </c>
      <c r="G2524" t="s">
        <v>93</v>
      </c>
      <c r="H2524">
        <v>4</v>
      </c>
      <c r="I2524">
        <v>11</v>
      </c>
      <c r="J2524">
        <v>2003</v>
      </c>
      <c r="K2524" t="s">
        <v>775</v>
      </c>
      <c r="L2524">
        <v>86</v>
      </c>
      <c r="M2524" t="s">
        <v>856</v>
      </c>
      <c r="N2524" t="s">
        <v>439</v>
      </c>
      <c r="O2524">
        <v>5085559555</v>
      </c>
      <c r="P2524" t="s">
        <v>440</v>
      </c>
      <c r="R2524" t="s">
        <v>244</v>
      </c>
      <c r="S2524" t="s">
        <v>200</v>
      </c>
      <c r="T2524">
        <v>50553</v>
      </c>
      <c r="U2524" t="s">
        <v>100</v>
      </c>
      <c r="V2524" t="s">
        <v>101</v>
      </c>
      <c r="W2524" t="s">
        <v>441</v>
      </c>
      <c r="X2524" t="s">
        <v>442</v>
      </c>
      <c r="Y2524" t="s">
        <v>104</v>
      </c>
    </row>
    <row r="2525" spans="1:25">
      <c r="A2525">
        <v>10196</v>
      </c>
      <c r="B2525">
        <v>50</v>
      </c>
      <c r="C2525">
        <v>94.4</v>
      </c>
      <c r="D2525">
        <v>2</v>
      </c>
      <c r="E2525">
        <v>4720</v>
      </c>
      <c r="F2525" t="s">
        <v>458</v>
      </c>
      <c r="G2525" t="s">
        <v>93</v>
      </c>
      <c r="H2525">
        <v>4</v>
      </c>
      <c r="I2525">
        <v>11</v>
      </c>
      <c r="J2525">
        <v>2003</v>
      </c>
      <c r="K2525" t="s">
        <v>775</v>
      </c>
      <c r="L2525">
        <v>86</v>
      </c>
      <c r="M2525" t="s">
        <v>856</v>
      </c>
      <c r="N2525" t="s">
        <v>333</v>
      </c>
      <c r="O2525">
        <v>2035559545</v>
      </c>
      <c r="P2525" t="s">
        <v>334</v>
      </c>
      <c r="R2525" t="s">
        <v>335</v>
      </c>
      <c r="S2525" t="s">
        <v>187</v>
      </c>
      <c r="T2525">
        <v>97823</v>
      </c>
      <c r="U2525" t="s">
        <v>100</v>
      </c>
      <c r="V2525" t="s">
        <v>101</v>
      </c>
      <c r="W2525" t="s">
        <v>154</v>
      </c>
      <c r="X2525" t="s">
        <v>336</v>
      </c>
      <c r="Y2525" t="s">
        <v>119</v>
      </c>
    </row>
    <row r="2526" spans="1:25">
      <c r="A2526">
        <v>10208</v>
      </c>
      <c r="B2526">
        <v>40</v>
      </c>
      <c r="C2526">
        <v>80.55</v>
      </c>
      <c r="D2526">
        <v>10</v>
      </c>
      <c r="E2526">
        <v>3222</v>
      </c>
      <c r="F2526" s="4">
        <v>38018</v>
      </c>
      <c r="G2526" t="s">
        <v>93</v>
      </c>
      <c r="H2526">
        <v>1</v>
      </c>
      <c r="I2526">
        <v>1</v>
      </c>
      <c r="J2526">
        <v>2004</v>
      </c>
      <c r="K2526" t="s">
        <v>775</v>
      </c>
      <c r="L2526">
        <v>86</v>
      </c>
      <c r="M2526" t="s">
        <v>856</v>
      </c>
      <c r="N2526" t="s">
        <v>310</v>
      </c>
      <c r="O2526" t="s">
        <v>311</v>
      </c>
      <c r="P2526" t="s">
        <v>312</v>
      </c>
      <c r="R2526" t="s">
        <v>313</v>
      </c>
      <c r="T2526">
        <v>69004</v>
      </c>
      <c r="U2526" t="s">
        <v>109</v>
      </c>
      <c r="V2526" t="s">
        <v>110</v>
      </c>
      <c r="W2526" t="s">
        <v>314</v>
      </c>
      <c r="X2526" t="s">
        <v>315</v>
      </c>
      <c r="Y2526" t="s">
        <v>119</v>
      </c>
    </row>
    <row r="2527" spans="1:25">
      <c r="A2527">
        <v>10221</v>
      </c>
      <c r="B2527">
        <v>23</v>
      </c>
      <c r="C2527">
        <v>97</v>
      </c>
      <c r="D2527">
        <v>4</v>
      </c>
      <c r="E2527">
        <v>2231</v>
      </c>
      <c r="F2527" t="s">
        <v>781</v>
      </c>
      <c r="G2527" t="s">
        <v>93</v>
      </c>
      <c r="H2527">
        <v>1</v>
      </c>
      <c r="I2527">
        <v>2</v>
      </c>
      <c r="J2527">
        <v>2004</v>
      </c>
      <c r="K2527" t="s">
        <v>775</v>
      </c>
      <c r="L2527">
        <v>86</v>
      </c>
      <c r="M2527" t="s">
        <v>856</v>
      </c>
      <c r="N2527" t="s">
        <v>475</v>
      </c>
      <c r="O2527" t="s">
        <v>476</v>
      </c>
      <c r="P2527" t="s">
        <v>477</v>
      </c>
      <c r="R2527" t="s">
        <v>478</v>
      </c>
      <c r="T2527" t="s">
        <v>479</v>
      </c>
      <c r="U2527" t="s">
        <v>480</v>
      </c>
      <c r="V2527" t="s">
        <v>110</v>
      </c>
      <c r="W2527" t="s">
        <v>481</v>
      </c>
      <c r="X2527" t="s">
        <v>482</v>
      </c>
      <c r="Y2527" t="s">
        <v>104</v>
      </c>
    </row>
    <row r="2528" spans="1:25">
      <c r="A2528">
        <v>10232</v>
      </c>
      <c r="B2528">
        <v>26</v>
      </c>
      <c r="C2528">
        <v>88.34</v>
      </c>
      <c r="D2528">
        <v>7</v>
      </c>
      <c r="E2528">
        <v>2296.84</v>
      </c>
      <c r="F2528" t="s">
        <v>782</v>
      </c>
      <c r="G2528" t="s">
        <v>93</v>
      </c>
      <c r="H2528">
        <v>1</v>
      </c>
      <c r="I2528">
        <v>3</v>
      </c>
      <c r="J2528">
        <v>2004</v>
      </c>
      <c r="K2528" t="s">
        <v>775</v>
      </c>
      <c r="L2528">
        <v>86</v>
      </c>
      <c r="M2528" t="s">
        <v>856</v>
      </c>
      <c r="N2528" t="s">
        <v>495</v>
      </c>
      <c r="O2528" t="s">
        <v>496</v>
      </c>
      <c r="P2528" t="s">
        <v>497</v>
      </c>
      <c r="R2528" t="s">
        <v>498</v>
      </c>
      <c r="S2528" t="s">
        <v>499</v>
      </c>
      <c r="T2528" t="s">
        <v>500</v>
      </c>
      <c r="U2528" t="s">
        <v>252</v>
      </c>
      <c r="V2528" t="s">
        <v>110</v>
      </c>
      <c r="W2528" t="s">
        <v>501</v>
      </c>
      <c r="X2528" t="s">
        <v>502</v>
      </c>
      <c r="Y2528" t="s">
        <v>104</v>
      </c>
    </row>
    <row r="2529" spans="1:25">
      <c r="A2529">
        <v>10248</v>
      </c>
      <c r="B2529">
        <v>40</v>
      </c>
      <c r="C2529">
        <v>100</v>
      </c>
      <c r="D2529">
        <v>13</v>
      </c>
      <c r="E2529">
        <v>4157.2</v>
      </c>
      <c r="F2529" s="4">
        <v>38173</v>
      </c>
      <c r="G2529" t="s">
        <v>444</v>
      </c>
      <c r="H2529">
        <v>2</v>
      </c>
      <c r="I2529">
        <v>5</v>
      </c>
      <c r="J2529">
        <v>2004</v>
      </c>
      <c r="K2529" t="s">
        <v>775</v>
      </c>
      <c r="L2529">
        <v>86</v>
      </c>
      <c r="M2529" t="s">
        <v>856</v>
      </c>
      <c r="N2529" t="s">
        <v>96</v>
      </c>
      <c r="O2529">
        <v>2125557818</v>
      </c>
      <c r="P2529" t="s">
        <v>97</v>
      </c>
      <c r="R2529" t="s">
        <v>98</v>
      </c>
      <c r="S2529" t="s">
        <v>99</v>
      </c>
      <c r="T2529">
        <v>10022</v>
      </c>
      <c r="U2529" t="s">
        <v>100</v>
      </c>
      <c r="V2529" t="s">
        <v>101</v>
      </c>
      <c r="W2529" t="s">
        <v>102</v>
      </c>
      <c r="X2529" t="s">
        <v>103</v>
      </c>
      <c r="Y2529" t="s">
        <v>119</v>
      </c>
    </row>
    <row r="2530" spans="1:25">
      <c r="A2530">
        <v>10273</v>
      </c>
      <c r="B2530">
        <v>21</v>
      </c>
      <c r="C2530">
        <v>100</v>
      </c>
      <c r="D2530">
        <v>14</v>
      </c>
      <c r="E2530">
        <v>2146.1999999999998</v>
      </c>
      <c r="F2530" t="s">
        <v>474</v>
      </c>
      <c r="G2530" t="s">
        <v>93</v>
      </c>
      <c r="H2530">
        <v>3</v>
      </c>
      <c r="I2530">
        <v>7</v>
      </c>
      <c r="J2530">
        <v>2004</v>
      </c>
      <c r="K2530" t="s">
        <v>775</v>
      </c>
      <c r="L2530">
        <v>86</v>
      </c>
      <c r="M2530" t="s">
        <v>856</v>
      </c>
      <c r="N2530" t="s">
        <v>475</v>
      </c>
      <c r="O2530" t="s">
        <v>476</v>
      </c>
      <c r="P2530" t="s">
        <v>477</v>
      </c>
      <c r="R2530" t="s">
        <v>478</v>
      </c>
      <c r="T2530" t="s">
        <v>479</v>
      </c>
      <c r="U2530" t="s">
        <v>480</v>
      </c>
      <c r="V2530" t="s">
        <v>110</v>
      </c>
      <c r="W2530" t="s">
        <v>481</v>
      </c>
      <c r="X2530" t="s">
        <v>482</v>
      </c>
      <c r="Y2530" t="s">
        <v>104</v>
      </c>
    </row>
    <row r="2531" spans="1:25">
      <c r="A2531">
        <v>10282</v>
      </c>
      <c r="B2531">
        <v>43</v>
      </c>
      <c r="C2531">
        <v>86.61</v>
      </c>
      <c r="D2531">
        <v>2</v>
      </c>
      <c r="E2531">
        <v>3724.23</v>
      </c>
      <c r="F2531" t="s">
        <v>483</v>
      </c>
      <c r="G2531" t="s">
        <v>93</v>
      </c>
      <c r="H2531">
        <v>3</v>
      </c>
      <c r="I2531">
        <v>8</v>
      </c>
      <c r="J2531">
        <v>2004</v>
      </c>
      <c r="K2531" t="s">
        <v>775</v>
      </c>
      <c r="L2531">
        <v>86</v>
      </c>
      <c r="M2531" t="s">
        <v>856</v>
      </c>
      <c r="N2531" t="s">
        <v>367</v>
      </c>
      <c r="O2531">
        <v>4155551450</v>
      </c>
      <c r="P2531" t="s">
        <v>368</v>
      </c>
      <c r="R2531" t="s">
        <v>369</v>
      </c>
      <c r="S2531" t="s">
        <v>124</v>
      </c>
      <c r="T2531">
        <v>97562</v>
      </c>
      <c r="U2531" t="s">
        <v>100</v>
      </c>
      <c r="V2531" t="s">
        <v>101</v>
      </c>
      <c r="W2531" t="s">
        <v>370</v>
      </c>
      <c r="X2531" t="s">
        <v>371</v>
      </c>
      <c r="Y2531" t="s">
        <v>119</v>
      </c>
    </row>
    <row r="2532" spans="1:25">
      <c r="A2532">
        <v>10293</v>
      </c>
      <c r="B2532">
        <v>29</v>
      </c>
      <c r="C2532">
        <v>71.89</v>
      </c>
      <c r="D2532">
        <v>5</v>
      </c>
      <c r="E2532">
        <v>2084.81</v>
      </c>
      <c r="F2532" s="4">
        <v>38239</v>
      </c>
      <c r="G2532" t="s">
        <v>93</v>
      </c>
      <c r="H2532">
        <v>3</v>
      </c>
      <c r="I2532">
        <v>9</v>
      </c>
      <c r="J2532">
        <v>2004</v>
      </c>
      <c r="K2532" t="s">
        <v>775</v>
      </c>
      <c r="L2532">
        <v>86</v>
      </c>
      <c r="M2532" t="s">
        <v>856</v>
      </c>
      <c r="N2532" t="s">
        <v>348</v>
      </c>
      <c r="O2532" t="s">
        <v>349</v>
      </c>
      <c r="P2532" t="s">
        <v>350</v>
      </c>
      <c r="R2532" t="s">
        <v>351</v>
      </c>
      <c r="T2532">
        <v>10100</v>
      </c>
      <c r="U2532" t="s">
        <v>352</v>
      </c>
      <c r="V2532" t="s">
        <v>110</v>
      </c>
      <c r="W2532" t="s">
        <v>353</v>
      </c>
      <c r="X2532" t="s">
        <v>354</v>
      </c>
      <c r="Y2532" t="s">
        <v>104</v>
      </c>
    </row>
    <row r="2533" spans="1:25">
      <c r="A2533">
        <v>10306</v>
      </c>
      <c r="B2533">
        <v>38</v>
      </c>
      <c r="C2533">
        <v>91.81</v>
      </c>
      <c r="D2533">
        <v>10</v>
      </c>
      <c r="E2533">
        <v>3488.78</v>
      </c>
      <c r="F2533" t="s">
        <v>494</v>
      </c>
      <c r="G2533" t="s">
        <v>93</v>
      </c>
      <c r="H2533">
        <v>4</v>
      </c>
      <c r="I2533">
        <v>10</v>
      </c>
      <c r="J2533">
        <v>2004</v>
      </c>
      <c r="K2533" t="s">
        <v>775</v>
      </c>
      <c r="L2533">
        <v>86</v>
      </c>
      <c r="M2533" t="s">
        <v>856</v>
      </c>
      <c r="N2533" t="s">
        <v>624</v>
      </c>
      <c r="O2533" t="s">
        <v>625</v>
      </c>
      <c r="P2533" t="s">
        <v>626</v>
      </c>
      <c r="R2533" t="s">
        <v>627</v>
      </c>
      <c r="T2533" t="s">
        <v>628</v>
      </c>
      <c r="U2533" t="s">
        <v>252</v>
      </c>
      <c r="V2533" t="s">
        <v>110</v>
      </c>
      <c r="W2533" t="s">
        <v>629</v>
      </c>
      <c r="X2533" t="s">
        <v>167</v>
      </c>
      <c r="Y2533" t="s">
        <v>119</v>
      </c>
    </row>
    <row r="2534" spans="1:25">
      <c r="A2534">
        <v>10314</v>
      </c>
      <c r="B2534">
        <v>23</v>
      </c>
      <c r="C2534">
        <v>76.22</v>
      </c>
      <c r="D2534">
        <v>2</v>
      </c>
      <c r="E2534">
        <v>1753.06</v>
      </c>
      <c r="F2534" t="s">
        <v>544</v>
      </c>
      <c r="G2534" t="s">
        <v>93</v>
      </c>
      <c r="H2534">
        <v>4</v>
      </c>
      <c r="I2534">
        <v>10</v>
      </c>
      <c r="J2534">
        <v>2004</v>
      </c>
      <c r="K2534" t="s">
        <v>775</v>
      </c>
      <c r="L2534">
        <v>86</v>
      </c>
      <c r="M2534" t="s">
        <v>856</v>
      </c>
      <c r="N2534" t="s">
        <v>630</v>
      </c>
      <c r="O2534" t="s">
        <v>631</v>
      </c>
      <c r="P2534" t="s">
        <v>632</v>
      </c>
      <c r="R2534" t="s">
        <v>633</v>
      </c>
      <c r="T2534">
        <v>8200</v>
      </c>
      <c r="U2534" t="s">
        <v>429</v>
      </c>
      <c r="V2534" t="s">
        <v>110</v>
      </c>
      <c r="W2534" t="s">
        <v>634</v>
      </c>
      <c r="X2534" t="s">
        <v>635</v>
      </c>
      <c r="Y2534" t="s">
        <v>104</v>
      </c>
    </row>
    <row r="2535" spans="1:25">
      <c r="A2535">
        <v>10327</v>
      </c>
      <c r="B2535">
        <v>20</v>
      </c>
      <c r="C2535">
        <v>100</v>
      </c>
      <c r="D2535">
        <v>7</v>
      </c>
      <c r="E2535">
        <v>3469.2</v>
      </c>
      <c r="F2535" s="4">
        <v>38271</v>
      </c>
      <c r="G2535" t="s">
        <v>526</v>
      </c>
      <c r="H2535">
        <v>4</v>
      </c>
      <c r="I2535">
        <v>11</v>
      </c>
      <c r="J2535">
        <v>2004</v>
      </c>
      <c r="K2535" t="s">
        <v>775</v>
      </c>
      <c r="L2535">
        <v>86</v>
      </c>
      <c r="M2535" t="s">
        <v>856</v>
      </c>
      <c r="N2535" t="s">
        <v>425</v>
      </c>
      <c r="O2535" t="s">
        <v>426</v>
      </c>
      <c r="P2535" t="s">
        <v>427</v>
      </c>
      <c r="R2535" t="s">
        <v>428</v>
      </c>
      <c r="T2535">
        <v>1734</v>
      </c>
      <c r="U2535" t="s">
        <v>429</v>
      </c>
      <c r="V2535" t="s">
        <v>110</v>
      </c>
      <c r="W2535" t="s">
        <v>430</v>
      </c>
      <c r="X2535" t="s">
        <v>431</v>
      </c>
      <c r="Y2535" t="s">
        <v>119</v>
      </c>
    </row>
    <row r="2536" spans="1:25">
      <c r="A2536">
        <v>10337</v>
      </c>
      <c r="B2536">
        <v>36</v>
      </c>
      <c r="C2536">
        <v>70.3</v>
      </c>
      <c r="D2536">
        <v>9</v>
      </c>
      <c r="E2536">
        <v>2530.8000000000002</v>
      </c>
      <c r="F2536" t="s">
        <v>503</v>
      </c>
      <c r="G2536" t="s">
        <v>93</v>
      </c>
      <c r="H2536">
        <v>4</v>
      </c>
      <c r="I2536">
        <v>11</v>
      </c>
      <c r="J2536">
        <v>2004</v>
      </c>
      <c r="K2536" t="s">
        <v>775</v>
      </c>
      <c r="L2536">
        <v>86</v>
      </c>
      <c r="M2536" t="s">
        <v>856</v>
      </c>
      <c r="N2536" t="s">
        <v>292</v>
      </c>
      <c r="O2536">
        <v>2125558493</v>
      </c>
      <c r="P2536" t="s">
        <v>293</v>
      </c>
      <c r="Q2536" t="s">
        <v>294</v>
      </c>
      <c r="R2536" t="s">
        <v>98</v>
      </c>
      <c r="S2536" t="s">
        <v>99</v>
      </c>
      <c r="T2536">
        <v>10022</v>
      </c>
      <c r="U2536" t="s">
        <v>100</v>
      </c>
      <c r="V2536" t="s">
        <v>101</v>
      </c>
      <c r="W2536" t="s">
        <v>201</v>
      </c>
      <c r="X2536" t="s">
        <v>295</v>
      </c>
      <c r="Y2536" t="s">
        <v>104</v>
      </c>
    </row>
    <row r="2537" spans="1:25">
      <c r="A2537">
        <v>10350</v>
      </c>
      <c r="B2537">
        <v>28</v>
      </c>
      <c r="C2537">
        <v>100</v>
      </c>
      <c r="D2537">
        <v>4</v>
      </c>
      <c r="E2537">
        <v>2924.32</v>
      </c>
      <c r="F2537" s="4">
        <v>38029</v>
      </c>
      <c r="G2537" t="s">
        <v>93</v>
      </c>
      <c r="H2537">
        <v>4</v>
      </c>
      <c r="I2537">
        <v>12</v>
      </c>
      <c r="J2537">
        <v>2004</v>
      </c>
      <c r="K2537" t="s">
        <v>775</v>
      </c>
      <c r="L2537">
        <v>86</v>
      </c>
      <c r="M2537" t="s">
        <v>856</v>
      </c>
      <c r="N2537" t="s">
        <v>257</v>
      </c>
      <c r="O2537" t="s">
        <v>258</v>
      </c>
      <c r="P2537" t="s">
        <v>259</v>
      </c>
      <c r="R2537" t="s">
        <v>260</v>
      </c>
      <c r="T2537">
        <v>28034</v>
      </c>
      <c r="U2537" t="s">
        <v>261</v>
      </c>
      <c r="V2537" t="s">
        <v>110</v>
      </c>
      <c r="W2537" t="s">
        <v>262</v>
      </c>
      <c r="X2537" t="s">
        <v>263</v>
      </c>
      <c r="Y2537" t="s">
        <v>104</v>
      </c>
    </row>
    <row r="2538" spans="1:25">
      <c r="A2538">
        <v>10372</v>
      </c>
      <c r="B2538">
        <v>44</v>
      </c>
      <c r="C2538">
        <v>100</v>
      </c>
      <c r="D2538">
        <v>2</v>
      </c>
      <c r="E2538">
        <v>4496.8</v>
      </c>
      <c r="F2538" t="s">
        <v>651</v>
      </c>
      <c r="G2538" t="s">
        <v>93</v>
      </c>
      <c r="H2538">
        <v>1</v>
      </c>
      <c r="I2538">
        <v>1</v>
      </c>
      <c r="J2538">
        <v>2005</v>
      </c>
      <c r="K2538" t="s">
        <v>775</v>
      </c>
      <c r="L2538">
        <v>86</v>
      </c>
      <c r="M2538" t="s">
        <v>856</v>
      </c>
      <c r="N2538" t="s">
        <v>338</v>
      </c>
      <c r="O2538" t="s">
        <v>339</v>
      </c>
      <c r="P2538" t="s">
        <v>340</v>
      </c>
      <c r="R2538" t="s">
        <v>341</v>
      </c>
      <c r="S2538" t="s">
        <v>342</v>
      </c>
      <c r="T2538" t="s">
        <v>343</v>
      </c>
      <c r="U2538" t="s">
        <v>288</v>
      </c>
      <c r="V2538" t="s">
        <v>288</v>
      </c>
      <c r="W2538" t="s">
        <v>344</v>
      </c>
      <c r="X2538" t="s">
        <v>345</v>
      </c>
      <c r="Y2538" t="s">
        <v>119</v>
      </c>
    </row>
    <row r="2539" spans="1:25">
      <c r="A2539">
        <v>10384</v>
      </c>
      <c r="B2539">
        <v>49</v>
      </c>
      <c r="C2539">
        <v>100</v>
      </c>
      <c r="D2539">
        <v>1</v>
      </c>
      <c r="E2539">
        <v>6397.44</v>
      </c>
      <c r="F2539" t="s">
        <v>512</v>
      </c>
      <c r="G2539" t="s">
        <v>93</v>
      </c>
      <c r="H2539">
        <v>1</v>
      </c>
      <c r="I2539">
        <v>2</v>
      </c>
      <c r="J2539">
        <v>2005</v>
      </c>
      <c r="K2539" t="s">
        <v>775</v>
      </c>
      <c r="L2539">
        <v>86</v>
      </c>
      <c r="M2539" t="s">
        <v>856</v>
      </c>
      <c r="N2539" t="s">
        <v>127</v>
      </c>
      <c r="O2539">
        <v>6505551386</v>
      </c>
      <c r="P2539" t="s">
        <v>128</v>
      </c>
      <c r="R2539" t="s">
        <v>129</v>
      </c>
      <c r="S2539" t="s">
        <v>124</v>
      </c>
      <c r="U2539" t="s">
        <v>100</v>
      </c>
      <c r="V2539" t="s">
        <v>101</v>
      </c>
      <c r="W2539" t="s">
        <v>130</v>
      </c>
      <c r="X2539" t="s">
        <v>126</v>
      </c>
      <c r="Y2539" t="s">
        <v>119</v>
      </c>
    </row>
    <row r="2540" spans="1:25">
      <c r="A2540">
        <v>10397</v>
      </c>
      <c r="B2540">
        <v>32</v>
      </c>
      <c r="C2540">
        <v>80.55</v>
      </c>
      <c r="D2540">
        <v>5</v>
      </c>
      <c r="E2540">
        <v>2577.6</v>
      </c>
      <c r="F2540" t="s">
        <v>857</v>
      </c>
      <c r="G2540" t="s">
        <v>93</v>
      </c>
      <c r="H2540">
        <v>1</v>
      </c>
      <c r="I2540">
        <v>3</v>
      </c>
      <c r="J2540">
        <v>2005</v>
      </c>
      <c r="K2540" t="s">
        <v>775</v>
      </c>
      <c r="L2540">
        <v>86</v>
      </c>
      <c r="M2540" t="s">
        <v>856</v>
      </c>
      <c r="N2540" t="s">
        <v>445</v>
      </c>
      <c r="O2540" t="s">
        <v>446</v>
      </c>
      <c r="P2540" t="s">
        <v>447</v>
      </c>
      <c r="R2540" t="s">
        <v>448</v>
      </c>
      <c r="T2540">
        <v>31000</v>
      </c>
      <c r="U2540" t="s">
        <v>109</v>
      </c>
      <c r="V2540" t="s">
        <v>110</v>
      </c>
      <c r="W2540" t="s">
        <v>449</v>
      </c>
      <c r="X2540" t="s">
        <v>450</v>
      </c>
      <c r="Y2540" t="s">
        <v>104</v>
      </c>
    </row>
    <row r="2541" spans="1:25">
      <c r="A2541">
        <v>10414</v>
      </c>
      <c r="B2541">
        <v>34</v>
      </c>
      <c r="C2541">
        <v>100</v>
      </c>
      <c r="D2541">
        <v>13</v>
      </c>
      <c r="E2541">
        <v>3533.62</v>
      </c>
      <c r="F2541" s="4">
        <v>38508</v>
      </c>
      <c r="G2541" t="s">
        <v>518</v>
      </c>
      <c r="H2541">
        <v>2</v>
      </c>
      <c r="I2541">
        <v>5</v>
      </c>
      <c r="J2541">
        <v>2005</v>
      </c>
      <c r="K2541" t="s">
        <v>775</v>
      </c>
      <c r="L2541">
        <v>86</v>
      </c>
      <c r="M2541" t="s">
        <v>856</v>
      </c>
      <c r="N2541" t="s">
        <v>490</v>
      </c>
      <c r="O2541">
        <v>6175559555</v>
      </c>
      <c r="P2541" t="s">
        <v>491</v>
      </c>
      <c r="R2541" t="s">
        <v>492</v>
      </c>
      <c r="S2541" t="s">
        <v>200</v>
      </c>
      <c r="T2541">
        <v>51003</v>
      </c>
      <c r="U2541" t="s">
        <v>100</v>
      </c>
      <c r="V2541" t="s">
        <v>101</v>
      </c>
      <c r="W2541" t="s">
        <v>493</v>
      </c>
      <c r="X2541" t="s">
        <v>136</v>
      </c>
      <c r="Y2541" t="s">
        <v>119</v>
      </c>
    </row>
    <row r="2542" spans="1:25">
      <c r="A2542">
        <v>10106</v>
      </c>
      <c r="B2542">
        <v>30</v>
      </c>
      <c r="C2542">
        <v>100</v>
      </c>
      <c r="D2542">
        <v>16</v>
      </c>
      <c r="E2542">
        <v>3177.3</v>
      </c>
      <c r="F2542" t="s">
        <v>725</v>
      </c>
      <c r="G2542" t="s">
        <v>93</v>
      </c>
      <c r="H2542">
        <v>1</v>
      </c>
      <c r="I2542">
        <v>2</v>
      </c>
      <c r="J2542">
        <v>2003</v>
      </c>
      <c r="K2542" t="s">
        <v>775</v>
      </c>
      <c r="L2542">
        <v>90</v>
      </c>
      <c r="M2542" t="s">
        <v>858</v>
      </c>
      <c r="N2542" t="s">
        <v>703</v>
      </c>
      <c r="O2542" t="s">
        <v>704</v>
      </c>
      <c r="P2542" t="s">
        <v>705</v>
      </c>
      <c r="R2542" t="s">
        <v>706</v>
      </c>
      <c r="T2542">
        <v>24100</v>
      </c>
      <c r="U2542" t="s">
        <v>352</v>
      </c>
      <c r="V2542" t="s">
        <v>110</v>
      </c>
      <c r="W2542" t="s">
        <v>707</v>
      </c>
      <c r="X2542" t="s">
        <v>708</v>
      </c>
      <c r="Y2542" t="s">
        <v>119</v>
      </c>
    </row>
    <row r="2543" spans="1:25">
      <c r="A2543">
        <v>10119</v>
      </c>
      <c r="B2543">
        <v>29</v>
      </c>
      <c r="C2543">
        <v>94.14</v>
      </c>
      <c r="D2543">
        <v>7</v>
      </c>
      <c r="E2543">
        <v>2730.06</v>
      </c>
      <c r="F2543" t="s">
        <v>432</v>
      </c>
      <c r="G2543" t="s">
        <v>93</v>
      </c>
      <c r="H2543">
        <v>2</v>
      </c>
      <c r="I2543">
        <v>4</v>
      </c>
      <c r="J2543">
        <v>2003</v>
      </c>
      <c r="K2543" t="s">
        <v>775</v>
      </c>
      <c r="L2543">
        <v>90</v>
      </c>
      <c r="M2543" t="s">
        <v>858</v>
      </c>
      <c r="N2543" t="s">
        <v>225</v>
      </c>
      <c r="O2543" t="s">
        <v>226</v>
      </c>
      <c r="P2543" t="s">
        <v>227</v>
      </c>
      <c r="R2543" t="s">
        <v>228</v>
      </c>
      <c r="T2543">
        <v>5020</v>
      </c>
      <c r="U2543" t="s">
        <v>229</v>
      </c>
      <c r="V2543" t="s">
        <v>110</v>
      </c>
      <c r="W2543" t="s">
        <v>230</v>
      </c>
      <c r="X2543" t="s">
        <v>231</v>
      </c>
      <c r="Y2543" t="s">
        <v>104</v>
      </c>
    </row>
    <row r="2544" spans="1:25">
      <c r="A2544">
        <v>10131</v>
      </c>
      <c r="B2544">
        <v>22</v>
      </c>
      <c r="C2544">
        <v>85.99</v>
      </c>
      <c r="D2544">
        <v>8</v>
      </c>
      <c r="E2544">
        <v>1891.78</v>
      </c>
      <c r="F2544" t="s">
        <v>728</v>
      </c>
      <c r="G2544" t="s">
        <v>93</v>
      </c>
      <c r="H2544">
        <v>2</v>
      </c>
      <c r="I2544">
        <v>6</v>
      </c>
      <c r="J2544">
        <v>2003</v>
      </c>
      <c r="K2544" t="s">
        <v>775</v>
      </c>
      <c r="L2544">
        <v>90</v>
      </c>
      <c r="M2544" t="s">
        <v>858</v>
      </c>
      <c r="N2544" t="s">
        <v>729</v>
      </c>
      <c r="O2544">
        <v>2035554407</v>
      </c>
      <c r="P2544" t="s">
        <v>730</v>
      </c>
      <c r="R2544" t="s">
        <v>656</v>
      </c>
      <c r="S2544" t="s">
        <v>187</v>
      </c>
      <c r="T2544">
        <v>97561</v>
      </c>
      <c r="U2544" t="s">
        <v>100</v>
      </c>
      <c r="V2544" t="s">
        <v>101</v>
      </c>
      <c r="W2544" t="s">
        <v>731</v>
      </c>
      <c r="X2544" t="s">
        <v>732</v>
      </c>
      <c r="Y2544" t="s">
        <v>104</v>
      </c>
    </row>
    <row r="2545" spans="1:25">
      <c r="A2545">
        <v>10143</v>
      </c>
      <c r="B2545">
        <v>26</v>
      </c>
      <c r="C2545">
        <v>100</v>
      </c>
      <c r="D2545">
        <v>11</v>
      </c>
      <c r="E2545">
        <v>2612.48</v>
      </c>
      <c r="F2545" s="4">
        <v>37902</v>
      </c>
      <c r="G2545" t="s">
        <v>93</v>
      </c>
      <c r="H2545">
        <v>3</v>
      </c>
      <c r="I2545">
        <v>8</v>
      </c>
      <c r="J2545">
        <v>2003</v>
      </c>
      <c r="K2545" t="s">
        <v>775</v>
      </c>
      <c r="L2545">
        <v>90</v>
      </c>
      <c r="M2545" t="s">
        <v>858</v>
      </c>
      <c r="N2545" t="s">
        <v>439</v>
      </c>
      <c r="O2545">
        <v>5085559555</v>
      </c>
      <c r="P2545" t="s">
        <v>440</v>
      </c>
      <c r="R2545" t="s">
        <v>244</v>
      </c>
      <c r="S2545" t="s">
        <v>200</v>
      </c>
      <c r="T2545">
        <v>50553</v>
      </c>
      <c r="U2545" t="s">
        <v>100</v>
      </c>
      <c r="V2545" t="s">
        <v>101</v>
      </c>
      <c r="W2545" t="s">
        <v>441</v>
      </c>
      <c r="X2545" t="s">
        <v>442</v>
      </c>
      <c r="Y2545" t="s">
        <v>104</v>
      </c>
    </row>
    <row r="2546" spans="1:25">
      <c r="A2546">
        <v>10155</v>
      </c>
      <c r="B2546">
        <v>32</v>
      </c>
      <c r="C2546">
        <v>91.43</v>
      </c>
      <c r="D2546">
        <v>9</v>
      </c>
      <c r="E2546">
        <v>2925.76</v>
      </c>
      <c r="F2546" s="4">
        <v>37782</v>
      </c>
      <c r="G2546" t="s">
        <v>93</v>
      </c>
      <c r="H2546">
        <v>4</v>
      </c>
      <c r="I2546">
        <v>10</v>
      </c>
      <c r="J2546">
        <v>2003</v>
      </c>
      <c r="K2546" t="s">
        <v>775</v>
      </c>
      <c r="L2546">
        <v>90</v>
      </c>
      <c r="M2546" t="s">
        <v>858</v>
      </c>
      <c r="N2546" t="s">
        <v>204</v>
      </c>
      <c r="O2546" t="s">
        <v>205</v>
      </c>
      <c r="P2546" t="s">
        <v>206</v>
      </c>
      <c r="R2546" t="s">
        <v>207</v>
      </c>
      <c r="T2546">
        <v>21240</v>
      </c>
      <c r="U2546" t="s">
        <v>208</v>
      </c>
      <c r="V2546" t="s">
        <v>110</v>
      </c>
      <c r="W2546" t="s">
        <v>209</v>
      </c>
      <c r="X2546" t="s">
        <v>210</v>
      </c>
      <c r="Y2546" t="s">
        <v>104</v>
      </c>
    </row>
    <row r="2547" spans="1:25">
      <c r="A2547">
        <v>10167</v>
      </c>
      <c r="B2547">
        <v>29</v>
      </c>
      <c r="C2547">
        <v>100</v>
      </c>
      <c r="D2547">
        <v>5</v>
      </c>
      <c r="E2547">
        <v>2940.02</v>
      </c>
      <c r="F2547" t="s">
        <v>443</v>
      </c>
      <c r="G2547" t="s">
        <v>444</v>
      </c>
      <c r="H2547">
        <v>4</v>
      </c>
      <c r="I2547">
        <v>10</v>
      </c>
      <c r="J2547">
        <v>2003</v>
      </c>
      <c r="K2547" t="s">
        <v>775</v>
      </c>
      <c r="L2547">
        <v>90</v>
      </c>
      <c r="M2547" t="s">
        <v>858</v>
      </c>
      <c r="N2547" t="s">
        <v>355</v>
      </c>
      <c r="O2547" t="s">
        <v>356</v>
      </c>
      <c r="P2547" t="s">
        <v>357</v>
      </c>
      <c r="R2547" t="s">
        <v>358</v>
      </c>
      <c r="T2547" t="s">
        <v>359</v>
      </c>
      <c r="U2547" t="s">
        <v>273</v>
      </c>
      <c r="V2547" t="s">
        <v>110</v>
      </c>
      <c r="W2547" t="s">
        <v>360</v>
      </c>
      <c r="X2547" t="s">
        <v>295</v>
      </c>
      <c r="Y2547" t="s">
        <v>104</v>
      </c>
    </row>
    <row r="2548" spans="1:25">
      <c r="A2548">
        <v>10178</v>
      </c>
      <c r="B2548">
        <v>34</v>
      </c>
      <c r="C2548">
        <v>96.86</v>
      </c>
      <c r="D2548">
        <v>8</v>
      </c>
      <c r="E2548">
        <v>3293.24</v>
      </c>
      <c r="F2548" s="4">
        <v>37844</v>
      </c>
      <c r="G2548" t="s">
        <v>93</v>
      </c>
      <c r="H2548">
        <v>4</v>
      </c>
      <c r="I2548">
        <v>11</v>
      </c>
      <c r="J2548">
        <v>2003</v>
      </c>
      <c r="K2548" t="s">
        <v>775</v>
      </c>
      <c r="L2548">
        <v>90</v>
      </c>
      <c r="M2548" t="s">
        <v>858</v>
      </c>
      <c r="N2548" t="s">
        <v>445</v>
      </c>
      <c r="O2548" t="s">
        <v>446</v>
      </c>
      <c r="P2548" t="s">
        <v>447</v>
      </c>
      <c r="R2548" t="s">
        <v>448</v>
      </c>
      <c r="T2548">
        <v>31000</v>
      </c>
      <c r="U2548" t="s">
        <v>109</v>
      </c>
      <c r="V2548" t="s">
        <v>110</v>
      </c>
      <c r="W2548" t="s">
        <v>449</v>
      </c>
      <c r="X2548" t="s">
        <v>450</v>
      </c>
      <c r="Y2548" t="s">
        <v>119</v>
      </c>
    </row>
    <row r="2549" spans="1:25">
      <c r="A2549">
        <v>10186</v>
      </c>
      <c r="B2549">
        <v>24</v>
      </c>
      <c r="C2549">
        <v>99.57</v>
      </c>
      <c r="D2549">
        <v>5</v>
      </c>
      <c r="E2549">
        <v>2389.6799999999998</v>
      </c>
      <c r="F2549" t="s">
        <v>451</v>
      </c>
      <c r="G2549" t="s">
        <v>93</v>
      </c>
      <c r="H2549">
        <v>4</v>
      </c>
      <c r="I2549">
        <v>11</v>
      </c>
      <c r="J2549">
        <v>2003</v>
      </c>
      <c r="K2549" t="s">
        <v>775</v>
      </c>
      <c r="L2549">
        <v>90</v>
      </c>
      <c r="M2549" t="s">
        <v>858</v>
      </c>
      <c r="N2549" t="s">
        <v>452</v>
      </c>
      <c r="O2549" t="s">
        <v>453</v>
      </c>
      <c r="P2549" t="s">
        <v>454</v>
      </c>
      <c r="R2549" t="s">
        <v>436</v>
      </c>
      <c r="T2549" t="s">
        <v>455</v>
      </c>
      <c r="U2549" t="s">
        <v>252</v>
      </c>
      <c r="V2549" t="s">
        <v>110</v>
      </c>
      <c r="W2549" t="s">
        <v>456</v>
      </c>
      <c r="X2549" t="s">
        <v>457</v>
      </c>
      <c r="Y2549" t="s">
        <v>104</v>
      </c>
    </row>
    <row r="2550" spans="1:25">
      <c r="A2550">
        <v>10197</v>
      </c>
      <c r="B2550">
        <v>24</v>
      </c>
      <c r="C2550">
        <v>90.52</v>
      </c>
      <c r="D2550">
        <v>2</v>
      </c>
      <c r="E2550">
        <v>2172.48</v>
      </c>
      <c r="F2550" t="s">
        <v>458</v>
      </c>
      <c r="G2550" t="s">
        <v>93</v>
      </c>
      <c r="H2550">
        <v>4</v>
      </c>
      <c r="I2550">
        <v>11</v>
      </c>
      <c r="J2550">
        <v>2003</v>
      </c>
      <c r="K2550" t="s">
        <v>775</v>
      </c>
      <c r="L2550">
        <v>90</v>
      </c>
      <c r="M2550" t="s">
        <v>858</v>
      </c>
      <c r="N2550" t="s">
        <v>459</v>
      </c>
      <c r="O2550" t="s">
        <v>460</v>
      </c>
      <c r="P2550" t="s">
        <v>461</v>
      </c>
      <c r="R2550" t="s">
        <v>462</v>
      </c>
      <c r="T2550">
        <v>8022</v>
      </c>
      <c r="U2550" t="s">
        <v>261</v>
      </c>
      <c r="V2550" t="s">
        <v>110</v>
      </c>
      <c r="W2550" t="s">
        <v>463</v>
      </c>
      <c r="X2550" t="s">
        <v>464</v>
      </c>
      <c r="Y2550" t="s">
        <v>104</v>
      </c>
    </row>
    <row r="2551" spans="1:25">
      <c r="A2551">
        <v>10209</v>
      </c>
      <c r="B2551">
        <v>33</v>
      </c>
      <c r="C2551">
        <v>88.71</v>
      </c>
      <c r="D2551">
        <v>4</v>
      </c>
      <c r="E2551">
        <v>2927.43</v>
      </c>
      <c r="F2551" s="4">
        <v>38231</v>
      </c>
      <c r="G2551" t="s">
        <v>93</v>
      </c>
      <c r="H2551">
        <v>1</v>
      </c>
      <c r="I2551">
        <v>1</v>
      </c>
      <c r="J2551">
        <v>2004</v>
      </c>
      <c r="K2551" t="s">
        <v>775</v>
      </c>
      <c r="L2551">
        <v>90</v>
      </c>
      <c r="M2551" t="s">
        <v>858</v>
      </c>
      <c r="N2551" t="s">
        <v>465</v>
      </c>
      <c r="O2551">
        <v>2155554369</v>
      </c>
      <c r="P2551" t="s">
        <v>466</v>
      </c>
      <c r="R2551" t="s">
        <v>467</v>
      </c>
      <c r="S2551" t="s">
        <v>124</v>
      </c>
      <c r="U2551" t="s">
        <v>100</v>
      </c>
      <c r="V2551" t="s">
        <v>101</v>
      </c>
      <c r="W2551" t="s">
        <v>468</v>
      </c>
      <c r="X2551" t="s">
        <v>176</v>
      </c>
      <c r="Y2551" t="s">
        <v>104</v>
      </c>
    </row>
    <row r="2552" spans="1:25">
      <c r="A2552">
        <v>10222</v>
      </c>
      <c r="B2552">
        <v>26</v>
      </c>
      <c r="C2552">
        <v>100</v>
      </c>
      <c r="D2552">
        <v>8</v>
      </c>
      <c r="E2552">
        <v>2659.54</v>
      </c>
      <c r="F2552" t="s">
        <v>469</v>
      </c>
      <c r="G2552" t="s">
        <v>93</v>
      </c>
      <c r="H2552">
        <v>1</v>
      </c>
      <c r="I2552">
        <v>2</v>
      </c>
      <c r="J2552">
        <v>2004</v>
      </c>
      <c r="K2552" t="s">
        <v>775</v>
      </c>
      <c r="L2552">
        <v>90</v>
      </c>
      <c r="M2552" t="s">
        <v>858</v>
      </c>
      <c r="N2552" t="s">
        <v>470</v>
      </c>
      <c r="O2552">
        <v>7605558146</v>
      </c>
      <c r="P2552" t="s">
        <v>471</v>
      </c>
      <c r="R2552" t="s">
        <v>472</v>
      </c>
      <c r="S2552" t="s">
        <v>124</v>
      </c>
      <c r="T2552">
        <v>91217</v>
      </c>
      <c r="U2552" t="s">
        <v>100</v>
      </c>
      <c r="V2552" t="s">
        <v>101</v>
      </c>
      <c r="W2552" t="s">
        <v>6</v>
      </c>
      <c r="X2552" t="s">
        <v>371</v>
      </c>
      <c r="Y2552" t="s">
        <v>104</v>
      </c>
    </row>
    <row r="2553" spans="1:25">
      <c r="A2553">
        <v>10249</v>
      </c>
      <c r="B2553">
        <v>40</v>
      </c>
      <c r="C2553">
        <v>95.95</v>
      </c>
      <c r="D2553">
        <v>4</v>
      </c>
      <c r="E2553">
        <v>3838</v>
      </c>
      <c r="F2553" s="4">
        <v>38204</v>
      </c>
      <c r="G2553" t="s">
        <v>93</v>
      </c>
      <c r="H2553">
        <v>2</v>
      </c>
      <c r="I2553">
        <v>5</v>
      </c>
      <c r="J2553">
        <v>2004</v>
      </c>
      <c r="K2553" t="s">
        <v>775</v>
      </c>
      <c r="L2553">
        <v>90</v>
      </c>
      <c r="M2553" t="s">
        <v>858</v>
      </c>
      <c r="N2553" t="s">
        <v>330</v>
      </c>
      <c r="O2553">
        <v>6175555555</v>
      </c>
      <c r="P2553" t="s">
        <v>331</v>
      </c>
      <c r="R2553" t="s">
        <v>199</v>
      </c>
      <c r="S2553" t="s">
        <v>200</v>
      </c>
      <c r="T2553">
        <v>51247</v>
      </c>
      <c r="U2553" t="s">
        <v>100</v>
      </c>
      <c r="V2553" t="s">
        <v>101</v>
      </c>
      <c r="W2553" t="s">
        <v>332</v>
      </c>
      <c r="X2553" t="s">
        <v>222</v>
      </c>
      <c r="Y2553" t="s">
        <v>119</v>
      </c>
    </row>
    <row r="2554" spans="1:25">
      <c r="A2554">
        <v>10262</v>
      </c>
      <c r="B2554">
        <v>44</v>
      </c>
      <c r="C2554">
        <v>94.14</v>
      </c>
      <c r="D2554">
        <v>13</v>
      </c>
      <c r="E2554">
        <v>4142.16</v>
      </c>
      <c r="F2554" t="s">
        <v>734</v>
      </c>
      <c r="G2554" t="s">
        <v>444</v>
      </c>
      <c r="H2554">
        <v>2</v>
      </c>
      <c r="I2554">
        <v>6</v>
      </c>
      <c r="J2554">
        <v>2004</v>
      </c>
      <c r="K2554" t="s">
        <v>775</v>
      </c>
      <c r="L2554">
        <v>90</v>
      </c>
      <c r="M2554" t="s">
        <v>858</v>
      </c>
      <c r="N2554" t="s">
        <v>257</v>
      </c>
      <c r="O2554" t="s">
        <v>258</v>
      </c>
      <c r="P2554" t="s">
        <v>259</v>
      </c>
      <c r="R2554" t="s">
        <v>260</v>
      </c>
      <c r="T2554">
        <v>28034</v>
      </c>
      <c r="U2554" t="s">
        <v>261</v>
      </c>
      <c r="V2554" t="s">
        <v>110</v>
      </c>
      <c r="W2554" t="s">
        <v>262</v>
      </c>
      <c r="X2554" t="s">
        <v>263</v>
      </c>
      <c r="Y2554" t="s">
        <v>119</v>
      </c>
    </row>
    <row r="2555" spans="1:25">
      <c r="A2555">
        <v>10274</v>
      </c>
      <c r="B2555">
        <v>24</v>
      </c>
      <c r="C2555">
        <v>90.52</v>
      </c>
      <c r="D2555">
        <v>5</v>
      </c>
      <c r="E2555">
        <v>2172.48</v>
      </c>
      <c r="F2555" t="s">
        <v>474</v>
      </c>
      <c r="G2555" t="s">
        <v>93</v>
      </c>
      <c r="H2555">
        <v>3</v>
      </c>
      <c r="I2555">
        <v>7</v>
      </c>
      <c r="J2555">
        <v>2004</v>
      </c>
      <c r="K2555" t="s">
        <v>775</v>
      </c>
      <c r="L2555">
        <v>90</v>
      </c>
      <c r="M2555" t="s">
        <v>858</v>
      </c>
      <c r="N2555" t="s">
        <v>379</v>
      </c>
      <c r="O2555">
        <v>6175558555</v>
      </c>
      <c r="P2555" t="s">
        <v>380</v>
      </c>
      <c r="R2555" t="s">
        <v>381</v>
      </c>
      <c r="S2555" t="s">
        <v>200</v>
      </c>
      <c r="T2555">
        <v>58339</v>
      </c>
      <c r="U2555" t="s">
        <v>100</v>
      </c>
      <c r="V2555" t="s">
        <v>101</v>
      </c>
      <c r="W2555" t="s">
        <v>370</v>
      </c>
      <c r="X2555" t="s">
        <v>382</v>
      </c>
      <c r="Y2555" t="s">
        <v>104</v>
      </c>
    </row>
    <row r="2556" spans="1:25">
      <c r="A2556">
        <v>10283</v>
      </c>
      <c r="B2556">
        <v>20</v>
      </c>
      <c r="C2556">
        <v>94.14</v>
      </c>
      <c r="D2556">
        <v>2</v>
      </c>
      <c r="E2556">
        <v>1882.8</v>
      </c>
      <c r="F2556" t="s">
        <v>483</v>
      </c>
      <c r="G2556" t="s">
        <v>93</v>
      </c>
      <c r="H2556">
        <v>3</v>
      </c>
      <c r="I2556">
        <v>8</v>
      </c>
      <c r="J2556">
        <v>2004</v>
      </c>
      <c r="K2556" t="s">
        <v>775</v>
      </c>
      <c r="L2556">
        <v>90</v>
      </c>
      <c r="M2556" t="s">
        <v>858</v>
      </c>
      <c r="N2556" t="s">
        <v>484</v>
      </c>
      <c r="O2556" t="s">
        <v>485</v>
      </c>
      <c r="P2556" t="s">
        <v>486</v>
      </c>
      <c r="R2556" t="s">
        <v>487</v>
      </c>
      <c r="S2556" t="s">
        <v>320</v>
      </c>
      <c r="T2556" t="s">
        <v>488</v>
      </c>
      <c r="U2556" t="s">
        <v>322</v>
      </c>
      <c r="V2556" t="s">
        <v>101</v>
      </c>
      <c r="W2556" t="s">
        <v>489</v>
      </c>
      <c r="X2556" t="s">
        <v>254</v>
      </c>
      <c r="Y2556" t="s">
        <v>104</v>
      </c>
    </row>
    <row r="2557" spans="1:25">
      <c r="A2557">
        <v>10296</v>
      </c>
      <c r="B2557">
        <v>34</v>
      </c>
      <c r="C2557">
        <v>100</v>
      </c>
      <c r="D2557">
        <v>11</v>
      </c>
      <c r="E2557">
        <v>3477.86</v>
      </c>
      <c r="F2557" t="s">
        <v>736</v>
      </c>
      <c r="G2557" t="s">
        <v>93</v>
      </c>
      <c r="H2557">
        <v>3</v>
      </c>
      <c r="I2557">
        <v>9</v>
      </c>
      <c r="J2557">
        <v>2004</v>
      </c>
      <c r="K2557" t="s">
        <v>775</v>
      </c>
      <c r="L2557">
        <v>90</v>
      </c>
      <c r="M2557" t="s">
        <v>858</v>
      </c>
      <c r="N2557" t="s">
        <v>737</v>
      </c>
      <c r="O2557" t="s">
        <v>738</v>
      </c>
      <c r="P2557" t="s">
        <v>739</v>
      </c>
      <c r="R2557" t="s">
        <v>740</v>
      </c>
      <c r="T2557">
        <v>80686</v>
      </c>
      <c r="U2557" t="s">
        <v>566</v>
      </c>
      <c r="V2557" t="s">
        <v>110</v>
      </c>
      <c r="W2557" t="s">
        <v>741</v>
      </c>
      <c r="X2557" t="s">
        <v>176</v>
      </c>
      <c r="Y2557" t="s">
        <v>119</v>
      </c>
    </row>
    <row r="2558" spans="1:25">
      <c r="A2558">
        <v>10307</v>
      </c>
      <c r="B2558">
        <v>34</v>
      </c>
      <c r="C2558">
        <v>97.76</v>
      </c>
      <c r="D2558">
        <v>5</v>
      </c>
      <c r="E2558">
        <v>3323.84</v>
      </c>
      <c r="F2558" t="s">
        <v>494</v>
      </c>
      <c r="G2558" t="s">
        <v>93</v>
      </c>
      <c r="H2558">
        <v>4</v>
      </c>
      <c r="I2558">
        <v>10</v>
      </c>
      <c r="J2558">
        <v>2004</v>
      </c>
      <c r="K2558" t="s">
        <v>775</v>
      </c>
      <c r="L2558">
        <v>90</v>
      </c>
      <c r="M2558" t="s">
        <v>858</v>
      </c>
      <c r="N2558" t="s">
        <v>304</v>
      </c>
      <c r="O2558">
        <v>2155554695</v>
      </c>
      <c r="P2558" t="s">
        <v>305</v>
      </c>
      <c r="R2558" t="s">
        <v>306</v>
      </c>
      <c r="S2558" t="s">
        <v>221</v>
      </c>
      <c r="T2558">
        <v>71270</v>
      </c>
      <c r="U2558" t="s">
        <v>100</v>
      </c>
      <c r="V2558" t="s">
        <v>101</v>
      </c>
      <c r="W2558" t="s">
        <v>307</v>
      </c>
      <c r="X2558" t="s">
        <v>308</v>
      </c>
      <c r="Y2558" t="s">
        <v>119</v>
      </c>
    </row>
    <row r="2559" spans="1:25">
      <c r="A2559">
        <v>10316</v>
      </c>
      <c r="B2559">
        <v>45</v>
      </c>
      <c r="C2559">
        <v>93.24</v>
      </c>
      <c r="D2559">
        <v>13</v>
      </c>
      <c r="E2559">
        <v>4195.8</v>
      </c>
      <c r="F2559" s="4">
        <v>37997</v>
      </c>
      <c r="G2559" t="s">
        <v>93</v>
      </c>
      <c r="H2559">
        <v>4</v>
      </c>
      <c r="I2559">
        <v>11</v>
      </c>
      <c r="J2559">
        <v>2004</v>
      </c>
      <c r="K2559" t="s">
        <v>775</v>
      </c>
      <c r="L2559">
        <v>90</v>
      </c>
      <c r="M2559" t="s">
        <v>858</v>
      </c>
      <c r="N2559" t="s">
        <v>495</v>
      </c>
      <c r="O2559" t="s">
        <v>496</v>
      </c>
      <c r="P2559" t="s">
        <v>497</v>
      </c>
      <c r="R2559" t="s">
        <v>498</v>
      </c>
      <c r="S2559" t="s">
        <v>499</v>
      </c>
      <c r="T2559" t="s">
        <v>500</v>
      </c>
      <c r="U2559" t="s">
        <v>252</v>
      </c>
      <c r="V2559" t="s">
        <v>110</v>
      </c>
      <c r="W2559" t="s">
        <v>501</v>
      </c>
      <c r="X2559" t="s">
        <v>502</v>
      </c>
      <c r="Y2559" t="s">
        <v>119</v>
      </c>
    </row>
    <row r="2560" spans="1:25">
      <c r="A2560">
        <v>10328</v>
      </c>
      <c r="B2560">
        <v>41</v>
      </c>
      <c r="C2560">
        <v>100</v>
      </c>
      <c r="D2560">
        <v>9</v>
      </c>
      <c r="E2560">
        <v>4156.58</v>
      </c>
      <c r="F2560" s="4">
        <v>38332</v>
      </c>
      <c r="G2560" t="s">
        <v>93</v>
      </c>
      <c r="H2560">
        <v>4</v>
      </c>
      <c r="I2560">
        <v>11</v>
      </c>
      <c r="J2560">
        <v>2004</v>
      </c>
      <c r="K2560" t="s">
        <v>775</v>
      </c>
      <c r="L2560">
        <v>90</v>
      </c>
      <c r="M2560" t="s">
        <v>858</v>
      </c>
      <c r="N2560" t="s">
        <v>703</v>
      </c>
      <c r="O2560" t="s">
        <v>704</v>
      </c>
      <c r="P2560" t="s">
        <v>705</v>
      </c>
      <c r="R2560" t="s">
        <v>706</v>
      </c>
      <c r="T2560">
        <v>24100</v>
      </c>
      <c r="U2560" t="s">
        <v>352</v>
      </c>
      <c r="V2560" t="s">
        <v>110</v>
      </c>
      <c r="W2560" t="s">
        <v>707</v>
      </c>
      <c r="X2560" t="s">
        <v>708</v>
      </c>
      <c r="Y2560" t="s">
        <v>119</v>
      </c>
    </row>
    <row r="2561" spans="1:25">
      <c r="A2561">
        <v>10339</v>
      </c>
      <c r="B2561">
        <v>55</v>
      </c>
      <c r="C2561">
        <v>71.25</v>
      </c>
      <c r="D2561">
        <v>15</v>
      </c>
      <c r="E2561">
        <v>3918.75</v>
      </c>
      <c r="F2561" t="s">
        <v>422</v>
      </c>
      <c r="G2561" t="s">
        <v>93</v>
      </c>
      <c r="H2561">
        <v>4</v>
      </c>
      <c r="I2561">
        <v>11</v>
      </c>
      <c r="J2561">
        <v>2004</v>
      </c>
      <c r="K2561" t="s">
        <v>775</v>
      </c>
      <c r="L2561">
        <v>90</v>
      </c>
      <c r="M2561" t="s">
        <v>858</v>
      </c>
      <c r="N2561" t="s">
        <v>338</v>
      </c>
      <c r="O2561" t="s">
        <v>339</v>
      </c>
      <c r="P2561" t="s">
        <v>340</v>
      </c>
      <c r="R2561" t="s">
        <v>341</v>
      </c>
      <c r="S2561" t="s">
        <v>342</v>
      </c>
      <c r="T2561" t="s">
        <v>343</v>
      </c>
      <c r="U2561" t="s">
        <v>288</v>
      </c>
      <c r="V2561" t="s">
        <v>288</v>
      </c>
      <c r="W2561" t="s">
        <v>344</v>
      </c>
      <c r="X2561" t="s">
        <v>345</v>
      </c>
      <c r="Y2561" t="s">
        <v>119</v>
      </c>
    </row>
    <row r="2562" spans="1:25">
      <c r="A2562">
        <v>10352</v>
      </c>
      <c r="B2562">
        <v>23</v>
      </c>
      <c r="C2562">
        <v>100</v>
      </c>
      <c r="D2562">
        <v>3</v>
      </c>
      <c r="E2562">
        <v>2352.67</v>
      </c>
      <c r="F2562" s="4">
        <v>38058</v>
      </c>
      <c r="G2562" t="s">
        <v>93</v>
      </c>
      <c r="H2562">
        <v>4</v>
      </c>
      <c r="I2562">
        <v>12</v>
      </c>
      <c r="J2562">
        <v>2004</v>
      </c>
      <c r="K2562" t="s">
        <v>775</v>
      </c>
      <c r="L2562">
        <v>90</v>
      </c>
      <c r="M2562" t="s">
        <v>858</v>
      </c>
      <c r="N2562" t="s">
        <v>777</v>
      </c>
      <c r="O2562">
        <v>6175558428</v>
      </c>
      <c r="P2562" t="s">
        <v>778</v>
      </c>
      <c r="R2562" t="s">
        <v>381</v>
      </c>
      <c r="S2562" t="s">
        <v>200</v>
      </c>
      <c r="T2562">
        <v>58339</v>
      </c>
      <c r="U2562" t="s">
        <v>100</v>
      </c>
      <c r="V2562" t="s">
        <v>101</v>
      </c>
      <c r="W2562" t="s">
        <v>671</v>
      </c>
      <c r="X2562" t="s">
        <v>336</v>
      </c>
      <c r="Y2562" t="s">
        <v>104</v>
      </c>
    </row>
    <row r="2563" spans="1:25">
      <c r="A2563">
        <v>10361</v>
      </c>
      <c r="B2563">
        <v>24</v>
      </c>
      <c r="C2563">
        <v>45.39</v>
      </c>
      <c r="D2563">
        <v>14</v>
      </c>
      <c r="E2563">
        <v>1089.3599999999999</v>
      </c>
      <c r="F2563" t="s">
        <v>233</v>
      </c>
      <c r="G2563" t="s">
        <v>93</v>
      </c>
      <c r="H2563">
        <v>4</v>
      </c>
      <c r="I2563">
        <v>12</v>
      </c>
      <c r="J2563">
        <v>2004</v>
      </c>
      <c r="K2563" t="s">
        <v>775</v>
      </c>
      <c r="L2563">
        <v>90</v>
      </c>
      <c r="M2563" t="s">
        <v>858</v>
      </c>
      <c r="N2563" t="s">
        <v>234</v>
      </c>
      <c r="O2563" t="s">
        <v>235</v>
      </c>
      <c r="P2563" t="s">
        <v>236</v>
      </c>
      <c r="Q2563" t="s">
        <v>237</v>
      </c>
      <c r="R2563" t="s">
        <v>238</v>
      </c>
      <c r="S2563" t="s">
        <v>239</v>
      </c>
      <c r="T2563">
        <v>2067</v>
      </c>
      <c r="U2563" t="s">
        <v>168</v>
      </c>
      <c r="V2563" t="s">
        <v>169</v>
      </c>
      <c r="W2563" t="s">
        <v>240</v>
      </c>
      <c r="X2563" t="s">
        <v>241</v>
      </c>
      <c r="Y2563" t="s">
        <v>104</v>
      </c>
    </row>
    <row r="2564" spans="1:25">
      <c r="A2564">
        <v>10373</v>
      </c>
      <c r="B2564">
        <v>32</v>
      </c>
      <c r="C2564">
        <v>84.41</v>
      </c>
      <c r="D2564">
        <v>15</v>
      </c>
      <c r="E2564">
        <v>2701.12</v>
      </c>
      <c r="F2564" t="s">
        <v>505</v>
      </c>
      <c r="G2564" t="s">
        <v>93</v>
      </c>
      <c r="H2564">
        <v>1</v>
      </c>
      <c r="I2564">
        <v>1</v>
      </c>
      <c r="J2564">
        <v>2005</v>
      </c>
      <c r="K2564" t="s">
        <v>775</v>
      </c>
      <c r="L2564">
        <v>90</v>
      </c>
      <c r="M2564" t="s">
        <v>858</v>
      </c>
      <c r="N2564" t="s">
        <v>506</v>
      </c>
      <c r="O2564" t="s">
        <v>507</v>
      </c>
      <c r="P2564" t="s">
        <v>508</v>
      </c>
      <c r="R2564" t="s">
        <v>509</v>
      </c>
      <c r="T2564">
        <v>90110</v>
      </c>
      <c r="U2564" t="s">
        <v>208</v>
      </c>
      <c r="V2564" t="s">
        <v>110</v>
      </c>
      <c r="W2564" t="s">
        <v>510</v>
      </c>
      <c r="X2564" t="s">
        <v>511</v>
      </c>
      <c r="Y2564" t="s">
        <v>104</v>
      </c>
    </row>
    <row r="2565" spans="1:25">
      <c r="A2565">
        <v>10386</v>
      </c>
      <c r="B2565">
        <v>29</v>
      </c>
      <c r="C2565">
        <v>85.76</v>
      </c>
      <c r="D2565">
        <v>13</v>
      </c>
      <c r="E2565">
        <v>2487.04</v>
      </c>
      <c r="F2565" s="4">
        <v>38355</v>
      </c>
      <c r="G2565" t="s">
        <v>526</v>
      </c>
      <c r="H2565">
        <v>1</v>
      </c>
      <c r="I2565">
        <v>3</v>
      </c>
      <c r="J2565">
        <v>2005</v>
      </c>
      <c r="K2565" t="s">
        <v>775</v>
      </c>
      <c r="L2565">
        <v>90</v>
      </c>
      <c r="M2565" t="s">
        <v>858</v>
      </c>
      <c r="N2565" t="s">
        <v>257</v>
      </c>
      <c r="O2565" t="s">
        <v>258</v>
      </c>
      <c r="P2565" t="s">
        <v>259</v>
      </c>
      <c r="R2565" t="s">
        <v>260</v>
      </c>
      <c r="T2565">
        <v>28034</v>
      </c>
      <c r="U2565" t="s">
        <v>261</v>
      </c>
      <c r="V2565" t="s">
        <v>110</v>
      </c>
      <c r="W2565" t="s">
        <v>262</v>
      </c>
      <c r="X2565" t="s">
        <v>263</v>
      </c>
      <c r="Y2565" t="s">
        <v>104</v>
      </c>
    </row>
    <row r="2566" spans="1:25">
      <c r="A2566">
        <v>10398</v>
      </c>
      <c r="B2566">
        <v>36</v>
      </c>
      <c r="C2566">
        <v>100</v>
      </c>
      <c r="D2566">
        <v>7</v>
      </c>
      <c r="E2566">
        <v>3910.32</v>
      </c>
      <c r="F2566" t="s">
        <v>750</v>
      </c>
      <c r="G2566" t="s">
        <v>93</v>
      </c>
      <c r="H2566">
        <v>1</v>
      </c>
      <c r="I2566">
        <v>3</v>
      </c>
      <c r="J2566">
        <v>2005</v>
      </c>
      <c r="K2566" t="s">
        <v>775</v>
      </c>
      <c r="L2566">
        <v>90</v>
      </c>
      <c r="M2566" t="s">
        <v>858</v>
      </c>
      <c r="N2566" t="s">
        <v>105</v>
      </c>
      <c r="O2566" t="s">
        <v>106</v>
      </c>
      <c r="P2566" t="s">
        <v>107</v>
      </c>
      <c r="R2566" t="s">
        <v>108</v>
      </c>
      <c r="T2566">
        <v>51100</v>
      </c>
      <c r="U2566" t="s">
        <v>109</v>
      </c>
      <c r="V2566" t="s">
        <v>110</v>
      </c>
      <c r="W2566" t="s">
        <v>111</v>
      </c>
      <c r="X2566" t="s">
        <v>112</v>
      </c>
      <c r="Y2566" t="s">
        <v>119</v>
      </c>
    </row>
    <row r="2567" spans="1:25">
      <c r="A2567">
        <v>10400</v>
      </c>
      <c r="B2567">
        <v>46</v>
      </c>
      <c r="C2567">
        <v>87.8</v>
      </c>
      <c r="D2567">
        <v>5</v>
      </c>
      <c r="E2567">
        <v>4038.8</v>
      </c>
      <c r="F2567" s="4">
        <v>38356</v>
      </c>
      <c r="G2567" t="s">
        <v>93</v>
      </c>
      <c r="H2567">
        <v>2</v>
      </c>
      <c r="I2567">
        <v>4</v>
      </c>
      <c r="J2567">
        <v>2005</v>
      </c>
      <c r="K2567" t="s">
        <v>775</v>
      </c>
      <c r="L2567">
        <v>90</v>
      </c>
      <c r="M2567" t="s">
        <v>858</v>
      </c>
      <c r="N2567" t="s">
        <v>514</v>
      </c>
      <c r="O2567">
        <v>4085553659</v>
      </c>
      <c r="P2567" t="s">
        <v>515</v>
      </c>
      <c r="R2567" t="s">
        <v>516</v>
      </c>
      <c r="S2567" t="s">
        <v>124</v>
      </c>
      <c r="T2567">
        <v>94217</v>
      </c>
      <c r="U2567" t="s">
        <v>100</v>
      </c>
      <c r="V2567" t="s">
        <v>101</v>
      </c>
      <c r="W2567" t="s">
        <v>175</v>
      </c>
      <c r="X2567" t="s">
        <v>517</v>
      </c>
      <c r="Y2567" t="s">
        <v>119</v>
      </c>
    </row>
    <row r="2568" spans="1:25">
      <c r="A2568">
        <v>10415</v>
      </c>
      <c r="B2568">
        <v>32</v>
      </c>
      <c r="C2568">
        <v>95.95</v>
      </c>
      <c r="D2568">
        <v>4</v>
      </c>
      <c r="E2568">
        <v>3070.4</v>
      </c>
      <c r="F2568" s="4">
        <v>38600</v>
      </c>
      <c r="G2568" t="s">
        <v>256</v>
      </c>
      <c r="H2568">
        <v>2</v>
      </c>
      <c r="I2568">
        <v>5</v>
      </c>
      <c r="J2568">
        <v>2005</v>
      </c>
      <c r="K2568" t="s">
        <v>775</v>
      </c>
      <c r="L2568">
        <v>90</v>
      </c>
      <c r="M2568" t="s">
        <v>858</v>
      </c>
      <c r="N2568" t="s">
        <v>710</v>
      </c>
      <c r="O2568" t="s">
        <v>711</v>
      </c>
      <c r="P2568" t="s">
        <v>712</v>
      </c>
      <c r="R2568" t="s">
        <v>713</v>
      </c>
      <c r="S2568" t="s">
        <v>167</v>
      </c>
      <c r="T2568">
        <v>3150</v>
      </c>
      <c r="U2568" t="s">
        <v>168</v>
      </c>
      <c r="V2568" t="s">
        <v>169</v>
      </c>
      <c r="W2568" t="s">
        <v>714</v>
      </c>
      <c r="X2568" t="s">
        <v>715</v>
      </c>
      <c r="Y2568" t="s">
        <v>119</v>
      </c>
    </row>
    <row r="2569" spans="1:25">
      <c r="A2569">
        <v>10106</v>
      </c>
      <c r="B2569">
        <v>34</v>
      </c>
      <c r="C2569">
        <v>100</v>
      </c>
      <c r="D2569">
        <v>9</v>
      </c>
      <c r="E2569">
        <v>3763.46</v>
      </c>
      <c r="F2569" t="s">
        <v>725</v>
      </c>
      <c r="G2569" t="s">
        <v>93</v>
      </c>
      <c r="H2569">
        <v>1</v>
      </c>
      <c r="I2569">
        <v>2</v>
      </c>
      <c r="J2569">
        <v>2003</v>
      </c>
      <c r="K2569" t="s">
        <v>726</v>
      </c>
      <c r="L2569">
        <v>99</v>
      </c>
      <c r="M2569" t="s">
        <v>859</v>
      </c>
      <c r="N2569" t="s">
        <v>703</v>
      </c>
      <c r="O2569" t="s">
        <v>704</v>
      </c>
      <c r="P2569" t="s">
        <v>705</v>
      </c>
      <c r="R2569" t="s">
        <v>706</v>
      </c>
      <c r="T2569">
        <v>24100</v>
      </c>
      <c r="U2569" t="s">
        <v>352</v>
      </c>
      <c r="V2569" t="s">
        <v>110</v>
      </c>
      <c r="W2569" t="s">
        <v>707</v>
      </c>
      <c r="X2569" t="s">
        <v>708</v>
      </c>
      <c r="Y2569" t="s">
        <v>119</v>
      </c>
    </row>
    <row r="2570" spans="1:25">
      <c r="A2570">
        <v>10120</v>
      </c>
      <c r="B2570">
        <v>24</v>
      </c>
      <c r="C2570">
        <v>100</v>
      </c>
      <c r="D2570">
        <v>15</v>
      </c>
      <c r="E2570">
        <v>2584.8000000000002</v>
      </c>
      <c r="F2570" t="s">
        <v>402</v>
      </c>
      <c r="G2570" t="s">
        <v>93</v>
      </c>
      <c r="H2570">
        <v>2</v>
      </c>
      <c r="I2570">
        <v>4</v>
      </c>
      <c r="J2570">
        <v>2003</v>
      </c>
      <c r="K2570" t="s">
        <v>726</v>
      </c>
      <c r="L2570">
        <v>99</v>
      </c>
      <c r="M2570" t="s">
        <v>859</v>
      </c>
      <c r="N2570" t="s">
        <v>162</v>
      </c>
      <c r="O2570" t="s">
        <v>163</v>
      </c>
      <c r="P2570" t="s">
        <v>164</v>
      </c>
      <c r="Q2570" t="s">
        <v>165</v>
      </c>
      <c r="R2570" t="s">
        <v>166</v>
      </c>
      <c r="S2570" t="s">
        <v>167</v>
      </c>
      <c r="T2570">
        <v>3004</v>
      </c>
      <c r="U2570" t="s">
        <v>168</v>
      </c>
      <c r="V2570" t="s">
        <v>169</v>
      </c>
      <c r="W2570" t="s">
        <v>170</v>
      </c>
      <c r="X2570" t="s">
        <v>171</v>
      </c>
      <c r="Y2570" t="s">
        <v>104</v>
      </c>
    </row>
    <row r="2571" spans="1:25">
      <c r="A2571">
        <v>10131</v>
      </c>
      <c r="B2571">
        <v>40</v>
      </c>
      <c r="C2571">
        <v>100</v>
      </c>
      <c r="D2571">
        <v>1</v>
      </c>
      <c r="E2571">
        <v>4427.6000000000004</v>
      </c>
      <c r="F2571" t="s">
        <v>728</v>
      </c>
      <c r="G2571" t="s">
        <v>93</v>
      </c>
      <c r="H2571">
        <v>2</v>
      </c>
      <c r="I2571">
        <v>6</v>
      </c>
      <c r="J2571">
        <v>2003</v>
      </c>
      <c r="K2571" t="s">
        <v>726</v>
      </c>
      <c r="L2571">
        <v>99</v>
      </c>
      <c r="M2571" t="s">
        <v>859</v>
      </c>
      <c r="N2571" t="s">
        <v>729</v>
      </c>
      <c r="O2571">
        <v>2035554407</v>
      </c>
      <c r="P2571" t="s">
        <v>730</v>
      </c>
      <c r="R2571" t="s">
        <v>656</v>
      </c>
      <c r="S2571" t="s">
        <v>187</v>
      </c>
      <c r="T2571">
        <v>97561</v>
      </c>
      <c r="U2571" t="s">
        <v>100</v>
      </c>
      <c r="V2571" t="s">
        <v>101</v>
      </c>
      <c r="W2571" t="s">
        <v>731</v>
      </c>
      <c r="X2571" t="s">
        <v>732</v>
      </c>
      <c r="Y2571" t="s">
        <v>119</v>
      </c>
    </row>
    <row r="2572" spans="1:25">
      <c r="A2572">
        <v>10143</v>
      </c>
      <c r="B2572">
        <v>26</v>
      </c>
      <c r="C2572">
        <v>82.77</v>
      </c>
      <c r="D2572">
        <v>4</v>
      </c>
      <c r="E2572">
        <v>2152.02</v>
      </c>
      <c r="F2572" s="4">
        <v>37902</v>
      </c>
      <c r="G2572" t="s">
        <v>93</v>
      </c>
      <c r="H2572">
        <v>3</v>
      </c>
      <c r="I2572">
        <v>8</v>
      </c>
      <c r="J2572">
        <v>2003</v>
      </c>
      <c r="K2572" t="s">
        <v>726</v>
      </c>
      <c r="L2572">
        <v>99</v>
      </c>
      <c r="M2572" t="s">
        <v>859</v>
      </c>
      <c r="N2572" t="s">
        <v>439</v>
      </c>
      <c r="O2572">
        <v>5085559555</v>
      </c>
      <c r="P2572" t="s">
        <v>440</v>
      </c>
      <c r="R2572" t="s">
        <v>244</v>
      </c>
      <c r="S2572" t="s">
        <v>200</v>
      </c>
      <c r="T2572">
        <v>50553</v>
      </c>
      <c r="U2572" t="s">
        <v>100</v>
      </c>
      <c r="V2572" t="s">
        <v>101</v>
      </c>
      <c r="W2572" t="s">
        <v>441</v>
      </c>
      <c r="X2572" t="s">
        <v>442</v>
      </c>
      <c r="Y2572" t="s">
        <v>104</v>
      </c>
    </row>
    <row r="2573" spans="1:25">
      <c r="A2573">
        <v>10155</v>
      </c>
      <c r="B2573">
        <v>20</v>
      </c>
      <c r="C2573">
        <v>100</v>
      </c>
      <c r="D2573">
        <v>2</v>
      </c>
      <c r="E2573">
        <v>2353.4</v>
      </c>
      <c r="F2573" s="4">
        <v>37782</v>
      </c>
      <c r="G2573" t="s">
        <v>93</v>
      </c>
      <c r="H2573">
        <v>4</v>
      </c>
      <c r="I2573">
        <v>10</v>
      </c>
      <c r="J2573">
        <v>2003</v>
      </c>
      <c r="K2573" t="s">
        <v>726</v>
      </c>
      <c r="L2573">
        <v>99</v>
      </c>
      <c r="M2573" t="s">
        <v>859</v>
      </c>
      <c r="N2573" t="s">
        <v>204</v>
      </c>
      <c r="O2573" t="s">
        <v>205</v>
      </c>
      <c r="P2573" t="s">
        <v>206</v>
      </c>
      <c r="R2573" t="s">
        <v>207</v>
      </c>
      <c r="T2573">
        <v>21240</v>
      </c>
      <c r="U2573" t="s">
        <v>208</v>
      </c>
      <c r="V2573" t="s">
        <v>110</v>
      </c>
      <c r="W2573" t="s">
        <v>209</v>
      </c>
      <c r="X2573" t="s">
        <v>210</v>
      </c>
      <c r="Y2573" t="s">
        <v>104</v>
      </c>
    </row>
    <row r="2574" spans="1:25">
      <c r="A2574">
        <v>10168</v>
      </c>
      <c r="B2574">
        <v>31</v>
      </c>
      <c r="C2574">
        <v>100</v>
      </c>
      <c r="D2574">
        <v>16</v>
      </c>
      <c r="E2574">
        <v>3431.39</v>
      </c>
      <c r="F2574" t="s">
        <v>131</v>
      </c>
      <c r="G2574" t="s">
        <v>93</v>
      </c>
      <c r="H2574">
        <v>4</v>
      </c>
      <c r="I2574">
        <v>10</v>
      </c>
      <c r="J2574">
        <v>2003</v>
      </c>
      <c r="K2574" t="s">
        <v>726</v>
      </c>
      <c r="L2574">
        <v>99</v>
      </c>
      <c r="M2574" t="s">
        <v>859</v>
      </c>
      <c r="N2574" t="s">
        <v>132</v>
      </c>
      <c r="O2574">
        <v>6505556809</v>
      </c>
      <c r="P2574" t="s">
        <v>133</v>
      </c>
      <c r="R2574" t="s">
        <v>134</v>
      </c>
      <c r="S2574" t="s">
        <v>124</v>
      </c>
      <c r="T2574">
        <v>94217</v>
      </c>
      <c r="U2574" t="s">
        <v>100</v>
      </c>
      <c r="V2574" t="s">
        <v>101</v>
      </c>
      <c r="W2574" t="s">
        <v>135</v>
      </c>
      <c r="X2574" t="s">
        <v>136</v>
      </c>
      <c r="Y2574" t="s">
        <v>119</v>
      </c>
    </row>
    <row r="2575" spans="1:25">
      <c r="A2575">
        <v>10178</v>
      </c>
      <c r="B2575">
        <v>22</v>
      </c>
      <c r="C2575">
        <v>87.75</v>
      </c>
      <c r="D2575">
        <v>1</v>
      </c>
      <c r="E2575">
        <v>1930.5</v>
      </c>
      <c r="F2575" s="4">
        <v>37844</v>
      </c>
      <c r="G2575" t="s">
        <v>93</v>
      </c>
      <c r="H2575">
        <v>4</v>
      </c>
      <c r="I2575">
        <v>11</v>
      </c>
      <c r="J2575">
        <v>2003</v>
      </c>
      <c r="K2575" t="s">
        <v>726</v>
      </c>
      <c r="L2575">
        <v>99</v>
      </c>
      <c r="M2575" t="s">
        <v>859</v>
      </c>
      <c r="N2575" t="s">
        <v>445</v>
      </c>
      <c r="O2575" t="s">
        <v>446</v>
      </c>
      <c r="P2575" t="s">
        <v>447</v>
      </c>
      <c r="R2575" t="s">
        <v>448</v>
      </c>
      <c r="T2575">
        <v>31000</v>
      </c>
      <c r="U2575" t="s">
        <v>109</v>
      </c>
      <c r="V2575" t="s">
        <v>110</v>
      </c>
      <c r="W2575" t="s">
        <v>449</v>
      </c>
      <c r="X2575" t="s">
        <v>450</v>
      </c>
      <c r="Y2575" t="s">
        <v>104</v>
      </c>
    </row>
    <row r="2576" spans="1:25">
      <c r="A2576">
        <v>10198</v>
      </c>
      <c r="B2576">
        <v>42</v>
      </c>
      <c r="C2576">
        <v>100</v>
      </c>
      <c r="D2576">
        <v>1</v>
      </c>
      <c r="E2576">
        <v>4774.5600000000004</v>
      </c>
      <c r="F2576" t="s">
        <v>733</v>
      </c>
      <c r="G2576" t="s">
        <v>93</v>
      </c>
      <c r="H2576">
        <v>4</v>
      </c>
      <c r="I2576">
        <v>11</v>
      </c>
      <c r="J2576">
        <v>2003</v>
      </c>
      <c r="K2576" t="s">
        <v>726</v>
      </c>
      <c r="L2576">
        <v>99</v>
      </c>
      <c r="M2576" t="s">
        <v>859</v>
      </c>
      <c r="N2576" t="s">
        <v>547</v>
      </c>
      <c r="O2576" t="s">
        <v>548</v>
      </c>
      <c r="P2576" t="s">
        <v>549</v>
      </c>
      <c r="R2576" t="s">
        <v>550</v>
      </c>
      <c r="T2576" t="s">
        <v>551</v>
      </c>
      <c r="U2576" t="s">
        <v>552</v>
      </c>
      <c r="V2576" t="s">
        <v>288</v>
      </c>
      <c r="W2576" t="s">
        <v>553</v>
      </c>
      <c r="X2576" t="s">
        <v>554</v>
      </c>
      <c r="Y2576" t="s">
        <v>119</v>
      </c>
    </row>
    <row r="2577" spans="1:25">
      <c r="A2577">
        <v>10210</v>
      </c>
      <c r="B2577">
        <v>26</v>
      </c>
      <c r="C2577">
        <v>99.72</v>
      </c>
      <c r="D2577">
        <v>14</v>
      </c>
      <c r="E2577">
        <v>2592.7199999999998</v>
      </c>
      <c r="F2577" s="4">
        <v>38322</v>
      </c>
      <c r="G2577" t="s">
        <v>93</v>
      </c>
      <c r="H2577">
        <v>1</v>
      </c>
      <c r="I2577">
        <v>1</v>
      </c>
      <c r="J2577">
        <v>2004</v>
      </c>
      <c r="K2577" t="s">
        <v>726</v>
      </c>
      <c r="L2577">
        <v>99</v>
      </c>
      <c r="M2577" t="s">
        <v>859</v>
      </c>
      <c r="N2577" t="s">
        <v>403</v>
      </c>
      <c r="O2577" t="s">
        <v>404</v>
      </c>
      <c r="P2577" t="s">
        <v>405</v>
      </c>
      <c r="R2577" t="s">
        <v>406</v>
      </c>
      <c r="S2577" t="s">
        <v>406</v>
      </c>
      <c r="T2577" t="s">
        <v>407</v>
      </c>
      <c r="U2577" t="s">
        <v>288</v>
      </c>
      <c r="V2577" t="s">
        <v>288</v>
      </c>
      <c r="W2577" t="s">
        <v>408</v>
      </c>
      <c r="X2577" t="s">
        <v>409</v>
      </c>
      <c r="Y2577" t="s">
        <v>104</v>
      </c>
    </row>
    <row r="2578" spans="1:25">
      <c r="A2578">
        <v>10222</v>
      </c>
      <c r="B2578">
        <v>37</v>
      </c>
      <c r="C2578">
        <v>87.75</v>
      </c>
      <c r="D2578">
        <v>1</v>
      </c>
      <c r="E2578">
        <v>3246.75</v>
      </c>
      <c r="F2578" t="s">
        <v>469</v>
      </c>
      <c r="G2578" t="s">
        <v>93</v>
      </c>
      <c r="H2578">
        <v>1</v>
      </c>
      <c r="I2578">
        <v>2</v>
      </c>
      <c r="J2578">
        <v>2004</v>
      </c>
      <c r="K2578" t="s">
        <v>726</v>
      </c>
      <c r="L2578">
        <v>99</v>
      </c>
      <c r="M2578" t="s">
        <v>859</v>
      </c>
      <c r="N2578" t="s">
        <v>470</v>
      </c>
      <c r="O2578">
        <v>7605558146</v>
      </c>
      <c r="P2578" t="s">
        <v>471</v>
      </c>
      <c r="R2578" t="s">
        <v>472</v>
      </c>
      <c r="S2578" t="s">
        <v>124</v>
      </c>
      <c r="T2578">
        <v>91217</v>
      </c>
      <c r="U2578" t="s">
        <v>100</v>
      </c>
      <c r="V2578" t="s">
        <v>101</v>
      </c>
      <c r="W2578" t="s">
        <v>6</v>
      </c>
      <c r="X2578" t="s">
        <v>371</v>
      </c>
      <c r="Y2578" t="s">
        <v>119</v>
      </c>
    </row>
    <row r="2579" spans="1:25">
      <c r="A2579">
        <v>10235</v>
      </c>
      <c r="B2579">
        <v>38</v>
      </c>
      <c r="C2579">
        <v>88.75</v>
      </c>
      <c r="D2579">
        <v>10</v>
      </c>
      <c r="E2579">
        <v>3372.5</v>
      </c>
      <c r="F2579" s="4">
        <v>38021</v>
      </c>
      <c r="G2579" t="s">
        <v>93</v>
      </c>
      <c r="H2579">
        <v>2</v>
      </c>
      <c r="I2579">
        <v>4</v>
      </c>
      <c r="J2579">
        <v>2004</v>
      </c>
      <c r="K2579" t="s">
        <v>726</v>
      </c>
      <c r="L2579">
        <v>99</v>
      </c>
      <c r="M2579" t="s">
        <v>859</v>
      </c>
      <c r="N2579" t="s">
        <v>484</v>
      </c>
      <c r="O2579" t="s">
        <v>485</v>
      </c>
      <c r="P2579" t="s">
        <v>486</v>
      </c>
      <c r="R2579" t="s">
        <v>487</v>
      </c>
      <c r="S2579" t="s">
        <v>320</v>
      </c>
      <c r="T2579" t="s">
        <v>488</v>
      </c>
      <c r="U2579" t="s">
        <v>322</v>
      </c>
      <c r="V2579" t="s">
        <v>101</v>
      </c>
      <c r="W2579" t="s">
        <v>489</v>
      </c>
      <c r="X2579" t="s">
        <v>254</v>
      </c>
      <c r="Y2579" t="s">
        <v>119</v>
      </c>
    </row>
    <row r="2580" spans="1:25">
      <c r="A2580">
        <v>10250</v>
      </c>
      <c r="B2580">
        <v>35</v>
      </c>
      <c r="C2580">
        <v>100</v>
      </c>
      <c r="D2580">
        <v>11</v>
      </c>
      <c r="E2580">
        <v>3909.15</v>
      </c>
      <c r="F2580" s="4">
        <v>38296</v>
      </c>
      <c r="G2580" t="s">
        <v>93</v>
      </c>
      <c r="H2580">
        <v>2</v>
      </c>
      <c r="I2580">
        <v>5</v>
      </c>
      <c r="J2580">
        <v>2004</v>
      </c>
      <c r="K2580" t="s">
        <v>726</v>
      </c>
      <c r="L2580">
        <v>99</v>
      </c>
      <c r="M2580" t="s">
        <v>859</v>
      </c>
      <c r="N2580" t="s">
        <v>514</v>
      </c>
      <c r="O2580">
        <v>4085553659</v>
      </c>
      <c r="P2580" t="s">
        <v>515</v>
      </c>
      <c r="R2580" t="s">
        <v>516</v>
      </c>
      <c r="S2580" t="s">
        <v>124</v>
      </c>
      <c r="T2580">
        <v>94217</v>
      </c>
      <c r="U2580" t="s">
        <v>100</v>
      </c>
      <c r="V2580" t="s">
        <v>101</v>
      </c>
      <c r="W2580" t="s">
        <v>175</v>
      </c>
      <c r="X2580" t="s">
        <v>517</v>
      </c>
      <c r="Y2580" t="s">
        <v>119</v>
      </c>
    </row>
    <row r="2581" spans="1:25">
      <c r="A2581">
        <v>10262</v>
      </c>
      <c r="B2581">
        <v>33</v>
      </c>
      <c r="C2581">
        <v>90.75</v>
      </c>
      <c r="D2581">
        <v>6</v>
      </c>
      <c r="E2581">
        <v>2994.75</v>
      </c>
      <c r="F2581" t="s">
        <v>734</v>
      </c>
      <c r="G2581" t="s">
        <v>444</v>
      </c>
      <c r="H2581">
        <v>2</v>
      </c>
      <c r="I2581">
        <v>6</v>
      </c>
      <c r="J2581">
        <v>2004</v>
      </c>
      <c r="K2581" t="s">
        <v>726</v>
      </c>
      <c r="L2581">
        <v>99</v>
      </c>
      <c r="M2581" t="s">
        <v>859</v>
      </c>
      <c r="N2581" t="s">
        <v>257</v>
      </c>
      <c r="O2581" t="s">
        <v>258</v>
      </c>
      <c r="P2581" t="s">
        <v>259</v>
      </c>
      <c r="R2581" t="s">
        <v>260</v>
      </c>
      <c r="T2581">
        <v>28034</v>
      </c>
      <c r="U2581" t="s">
        <v>261</v>
      </c>
      <c r="V2581" t="s">
        <v>110</v>
      </c>
      <c r="W2581" t="s">
        <v>262</v>
      </c>
      <c r="X2581" t="s">
        <v>263</v>
      </c>
      <c r="Y2581" t="s">
        <v>104</v>
      </c>
    </row>
    <row r="2582" spans="1:25">
      <c r="A2582">
        <v>10275</v>
      </c>
      <c r="B2582">
        <v>39</v>
      </c>
      <c r="C2582">
        <v>100</v>
      </c>
      <c r="D2582">
        <v>16</v>
      </c>
      <c r="E2582">
        <v>4472.5200000000004</v>
      </c>
      <c r="F2582" t="s">
        <v>189</v>
      </c>
      <c r="G2582" t="s">
        <v>93</v>
      </c>
      <c r="H2582">
        <v>3</v>
      </c>
      <c r="I2582">
        <v>7</v>
      </c>
      <c r="J2582">
        <v>2004</v>
      </c>
      <c r="K2582" t="s">
        <v>726</v>
      </c>
      <c r="L2582">
        <v>99</v>
      </c>
      <c r="M2582" t="s">
        <v>859</v>
      </c>
      <c r="N2582" t="s">
        <v>190</v>
      </c>
      <c r="O2582" t="s">
        <v>191</v>
      </c>
      <c r="P2582" t="s">
        <v>192</v>
      </c>
      <c r="R2582" t="s">
        <v>193</v>
      </c>
      <c r="T2582">
        <v>44000</v>
      </c>
      <c r="U2582" t="s">
        <v>109</v>
      </c>
      <c r="V2582" t="s">
        <v>110</v>
      </c>
      <c r="W2582" t="s">
        <v>194</v>
      </c>
      <c r="X2582" t="s">
        <v>195</v>
      </c>
      <c r="Y2582" t="s">
        <v>119</v>
      </c>
    </row>
    <row r="2583" spans="1:25">
      <c r="A2583">
        <v>10284</v>
      </c>
      <c r="B2583">
        <v>45</v>
      </c>
      <c r="C2583">
        <v>100</v>
      </c>
      <c r="D2583">
        <v>8</v>
      </c>
      <c r="E2583">
        <v>4576.95</v>
      </c>
      <c r="F2583" t="s">
        <v>735</v>
      </c>
      <c r="G2583" t="s">
        <v>93</v>
      </c>
      <c r="H2583">
        <v>3</v>
      </c>
      <c r="I2583">
        <v>8</v>
      </c>
      <c r="J2583">
        <v>2004</v>
      </c>
      <c r="K2583" t="s">
        <v>726</v>
      </c>
      <c r="L2583">
        <v>99</v>
      </c>
      <c r="M2583" t="s">
        <v>859</v>
      </c>
      <c r="N2583" t="s">
        <v>688</v>
      </c>
      <c r="O2583" t="s">
        <v>689</v>
      </c>
      <c r="P2583" t="s">
        <v>690</v>
      </c>
      <c r="R2583" t="s">
        <v>691</v>
      </c>
      <c r="T2583" t="s">
        <v>692</v>
      </c>
      <c r="U2583" t="s">
        <v>149</v>
      </c>
      <c r="V2583" t="s">
        <v>110</v>
      </c>
      <c r="W2583" t="s">
        <v>693</v>
      </c>
      <c r="X2583" t="s">
        <v>694</v>
      </c>
      <c r="Y2583" t="s">
        <v>119</v>
      </c>
    </row>
    <row r="2584" spans="1:25">
      <c r="A2584">
        <v>10296</v>
      </c>
      <c r="B2584">
        <v>24</v>
      </c>
      <c r="C2584">
        <v>100</v>
      </c>
      <c r="D2584">
        <v>4</v>
      </c>
      <c r="E2584">
        <v>2441.04</v>
      </c>
      <c r="F2584" t="s">
        <v>736</v>
      </c>
      <c r="G2584" t="s">
        <v>93</v>
      </c>
      <c r="H2584">
        <v>3</v>
      </c>
      <c r="I2584">
        <v>9</v>
      </c>
      <c r="J2584">
        <v>2004</v>
      </c>
      <c r="K2584" t="s">
        <v>726</v>
      </c>
      <c r="L2584">
        <v>99</v>
      </c>
      <c r="M2584" t="s">
        <v>859</v>
      </c>
      <c r="N2584" t="s">
        <v>737</v>
      </c>
      <c r="O2584" t="s">
        <v>738</v>
      </c>
      <c r="P2584" t="s">
        <v>739</v>
      </c>
      <c r="R2584" t="s">
        <v>740</v>
      </c>
      <c r="T2584">
        <v>80686</v>
      </c>
      <c r="U2584" t="s">
        <v>566</v>
      </c>
      <c r="V2584" t="s">
        <v>110</v>
      </c>
      <c r="W2584" t="s">
        <v>741</v>
      </c>
      <c r="X2584" t="s">
        <v>176</v>
      </c>
      <c r="Y2584" t="s">
        <v>104</v>
      </c>
    </row>
    <row r="2585" spans="1:25">
      <c r="A2585">
        <v>10308</v>
      </c>
      <c r="B2585">
        <v>35</v>
      </c>
      <c r="C2585">
        <v>88.75</v>
      </c>
      <c r="D2585">
        <v>14</v>
      </c>
      <c r="E2585">
        <v>3106.25</v>
      </c>
      <c r="F2585" t="s">
        <v>211</v>
      </c>
      <c r="G2585" t="s">
        <v>93</v>
      </c>
      <c r="H2585">
        <v>4</v>
      </c>
      <c r="I2585">
        <v>10</v>
      </c>
      <c r="J2585">
        <v>2004</v>
      </c>
      <c r="K2585" t="s">
        <v>726</v>
      </c>
      <c r="L2585">
        <v>99</v>
      </c>
      <c r="M2585" t="s">
        <v>859</v>
      </c>
      <c r="N2585" t="s">
        <v>419</v>
      </c>
      <c r="O2585">
        <v>9145554562</v>
      </c>
      <c r="P2585" t="s">
        <v>420</v>
      </c>
      <c r="R2585" t="s">
        <v>421</v>
      </c>
      <c r="S2585" t="s">
        <v>99</v>
      </c>
      <c r="T2585">
        <v>24067</v>
      </c>
      <c r="U2585" t="s">
        <v>100</v>
      </c>
      <c r="V2585" t="s">
        <v>101</v>
      </c>
      <c r="W2585" t="s">
        <v>175</v>
      </c>
      <c r="X2585" t="s">
        <v>329</v>
      </c>
      <c r="Y2585" t="s">
        <v>119</v>
      </c>
    </row>
    <row r="2586" spans="1:25">
      <c r="A2586">
        <v>10316</v>
      </c>
      <c r="B2586">
        <v>23</v>
      </c>
      <c r="C2586">
        <v>100</v>
      </c>
      <c r="D2586">
        <v>6</v>
      </c>
      <c r="E2586">
        <v>2706.41</v>
      </c>
      <c r="F2586" s="4">
        <v>37997</v>
      </c>
      <c r="G2586" t="s">
        <v>93</v>
      </c>
      <c r="H2586">
        <v>4</v>
      </c>
      <c r="I2586">
        <v>11</v>
      </c>
      <c r="J2586">
        <v>2004</v>
      </c>
      <c r="K2586" t="s">
        <v>726</v>
      </c>
      <c r="L2586">
        <v>99</v>
      </c>
      <c r="M2586" t="s">
        <v>859</v>
      </c>
      <c r="N2586" t="s">
        <v>495</v>
      </c>
      <c r="O2586" t="s">
        <v>496</v>
      </c>
      <c r="P2586" t="s">
        <v>497</v>
      </c>
      <c r="R2586" t="s">
        <v>498</v>
      </c>
      <c r="S2586" t="s">
        <v>499</v>
      </c>
      <c r="T2586" t="s">
        <v>500</v>
      </c>
      <c r="U2586" t="s">
        <v>252</v>
      </c>
      <c r="V2586" t="s">
        <v>110</v>
      </c>
      <c r="W2586" t="s">
        <v>501</v>
      </c>
      <c r="X2586" t="s">
        <v>502</v>
      </c>
      <c r="Y2586" t="s">
        <v>104</v>
      </c>
    </row>
    <row r="2587" spans="1:25">
      <c r="A2587">
        <v>10328</v>
      </c>
      <c r="B2587">
        <v>37</v>
      </c>
      <c r="C2587">
        <v>100</v>
      </c>
      <c r="D2587">
        <v>10</v>
      </c>
      <c r="E2587">
        <v>4021.53</v>
      </c>
      <c r="F2587" s="4">
        <v>38332</v>
      </c>
      <c r="G2587" t="s">
        <v>93</v>
      </c>
      <c r="H2587">
        <v>4</v>
      </c>
      <c r="I2587">
        <v>11</v>
      </c>
      <c r="J2587">
        <v>2004</v>
      </c>
      <c r="K2587" t="s">
        <v>726</v>
      </c>
      <c r="L2587">
        <v>99</v>
      </c>
      <c r="M2587" t="s">
        <v>859</v>
      </c>
      <c r="N2587" t="s">
        <v>703</v>
      </c>
      <c r="O2587" t="s">
        <v>704</v>
      </c>
      <c r="P2587" t="s">
        <v>705</v>
      </c>
      <c r="R2587" t="s">
        <v>706</v>
      </c>
      <c r="T2587">
        <v>24100</v>
      </c>
      <c r="U2587" t="s">
        <v>352</v>
      </c>
      <c r="V2587" t="s">
        <v>110</v>
      </c>
      <c r="W2587" t="s">
        <v>707</v>
      </c>
      <c r="X2587" t="s">
        <v>708</v>
      </c>
      <c r="Y2587" t="s">
        <v>119</v>
      </c>
    </row>
    <row r="2588" spans="1:25">
      <c r="A2588">
        <v>10340</v>
      </c>
      <c r="B2588">
        <v>55</v>
      </c>
      <c r="C2588">
        <v>87.75</v>
      </c>
      <c r="D2588">
        <v>7</v>
      </c>
      <c r="E2588">
        <v>4826.25</v>
      </c>
      <c r="F2588" t="s">
        <v>224</v>
      </c>
      <c r="G2588" t="s">
        <v>93</v>
      </c>
      <c r="H2588">
        <v>4</v>
      </c>
      <c r="I2588">
        <v>11</v>
      </c>
      <c r="J2588">
        <v>2004</v>
      </c>
      <c r="K2588" t="s">
        <v>726</v>
      </c>
      <c r="L2588">
        <v>99</v>
      </c>
      <c r="M2588" t="s">
        <v>859</v>
      </c>
      <c r="N2588" t="s">
        <v>459</v>
      </c>
      <c r="O2588" t="s">
        <v>460</v>
      </c>
      <c r="P2588" t="s">
        <v>461</v>
      </c>
      <c r="R2588" t="s">
        <v>462</v>
      </c>
      <c r="T2588">
        <v>8022</v>
      </c>
      <c r="U2588" t="s">
        <v>261</v>
      </c>
      <c r="V2588" t="s">
        <v>110</v>
      </c>
      <c r="W2588" t="s">
        <v>463</v>
      </c>
      <c r="X2588" t="s">
        <v>464</v>
      </c>
      <c r="Y2588" t="s">
        <v>119</v>
      </c>
    </row>
    <row r="2589" spans="1:25">
      <c r="A2589">
        <v>10352</v>
      </c>
      <c r="B2589">
        <v>49</v>
      </c>
      <c r="C2589">
        <v>100</v>
      </c>
      <c r="D2589">
        <v>2</v>
      </c>
      <c r="E2589">
        <v>4935.28</v>
      </c>
      <c r="F2589" s="4">
        <v>38058</v>
      </c>
      <c r="G2589" t="s">
        <v>93</v>
      </c>
      <c r="H2589">
        <v>4</v>
      </c>
      <c r="I2589">
        <v>12</v>
      </c>
      <c r="J2589">
        <v>2004</v>
      </c>
      <c r="K2589" t="s">
        <v>726</v>
      </c>
      <c r="L2589">
        <v>99</v>
      </c>
      <c r="M2589" t="s">
        <v>859</v>
      </c>
      <c r="N2589" t="s">
        <v>777</v>
      </c>
      <c r="O2589">
        <v>6175558428</v>
      </c>
      <c r="P2589" t="s">
        <v>778</v>
      </c>
      <c r="R2589" t="s">
        <v>381</v>
      </c>
      <c r="S2589" t="s">
        <v>200</v>
      </c>
      <c r="T2589">
        <v>58339</v>
      </c>
      <c r="U2589" t="s">
        <v>100</v>
      </c>
      <c r="V2589" t="s">
        <v>101</v>
      </c>
      <c r="W2589" t="s">
        <v>671</v>
      </c>
      <c r="X2589" t="s">
        <v>336</v>
      </c>
      <c r="Y2589" t="s">
        <v>119</v>
      </c>
    </row>
    <row r="2590" spans="1:25">
      <c r="A2590">
        <v>10361</v>
      </c>
      <c r="B2590">
        <v>26</v>
      </c>
      <c r="C2590">
        <v>100</v>
      </c>
      <c r="D2590">
        <v>9</v>
      </c>
      <c r="E2590">
        <v>2754.7</v>
      </c>
      <c r="F2590" t="s">
        <v>233</v>
      </c>
      <c r="G2590" t="s">
        <v>93</v>
      </c>
      <c r="H2590">
        <v>4</v>
      </c>
      <c r="I2590">
        <v>12</v>
      </c>
      <c r="J2590">
        <v>2004</v>
      </c>
      <c r="K2590" t="s">
        <v>726</v>
      </c>
      <c r="L2590">
        <v>99</v>
      </c>
      <c r="M2590" t="s">
        <v>859</v>
      </c>
      <c r="N2590" t="s">
        <v>234</v>
      </c>
      <c r="O2590" t="s">
        <v>235</v>
      </c>
      <c r="P2590" t="s">
        <v>236</v>
      </c>
      <c r="Q2590" t="s">
        <v>237</v>
      </c>
      <c r="R2590" t="s">
        <v>238</v>
      </c>
      <c r="S2590" t="s">
        <v>239</v>
      </c>
      <c r="T2590">
        <v>2067</v>
      </c>
      <c r="U2590" t="s">
        <v>168</v>
      </c>
      <c r="V2590" t="s">
        <v>169</v>
      </c>
      <c r="W2590" t="s">
        <v>240</v>
      </c>
      <c r="X2590" t="s">
        <v>241</v>
      </c>
      <c r="Y2590" t="s">
        <v>104</v>
      </c>
    </row>
    <row r="2591" spans="1:25">
      <c r="A2591">
        <v>10375</v>
      </c>
      <c r="B2591">
        <v>33</v>
      </c>
      <c r="C2591">
        <v>100</v>
      </c>
      <c r="D2591">
        <v>1</v>
      </c>
      <c r="E2591">
        <v>3856.71</v>
      </c>
      <c r="F2591" s="4">
        <v>38413</v>
      </c>
      <c r="G2591" t="s">
        <v>93</v>
      </c>
      <c r="H2591">
        <v>1</v>
      </c>
      <c r="I2591">
        <v>2</v>
      </c>
      <c r="J2591">
        <v>2005</v>
      </c>
      <c r="K2591" t="s">
        <v>726</v>
      </c>
      <c r="L2591">
        <v>99</v>
      </c>
      <c r="M2591" t="s">
        <v>859</v>
      </c>
      <c r="N2591" t="s">
        <v>190</v>
      </c>
      <c r="O2591" t="s">
        <v>191</v>
      </c>
      <c r="P2591" t="s">
        <v>192</v>
      </c>
      <c r="R2591" t="s">
        <v>193</v>
      </c>
      <c r="T2591">
        <v>44000</v>
      </c>
      <c r="U2591" t="s">
        <v>109</v>
      </c>
      <c r="V2591" t="s">
        <v>110</v>
      </c>
      <c r="W2591" t="s">
        <v>194</v>
      </c>
      <c r="X2591" t="s">
        <v>195</v>
      </c>
      <c r="Y2591" t="s">
        <v>119</v>
      </c>
    </row>
    <row r="2592" spans="1:25">
      <c r="A2592">
        <v>10386</v>
      </c>
      <c r="B2592">
        <v>37</v>
      </c>
      <c r="C2592">
        <v>83.84</v>
      </c>
      <c r="D2592">
        <v>14</v>
      </c>
      <c r="E2592">
        <v>3102.08</v>
      </c>
      <c r="F2592" s="4">
        <v>38355</v>
      </c>
      <c r="G2592" t="s">
        <v>526</v>
      </c>
      <c r="H2592">
        <v>1</v>
      </c>
      <c r="I2592">
        <v>3</v>
      </c>
      <c r="J2592">
        <v>2005</v>
      </c>
      <c r="K2592" t="s">
        <v>726</v>
      </c>
      <c r="L2592">
        <v>99</v>
      </c>
      <c r="M2592" t="s">
        <v>859</v>
      </c>
      <c r="N2592" t="s">
        <v>257</v>
      </c>
      <c r="O2592" t="s">
        <v>258</v>
      </c>
      <c r="P2592" t="s">
        <v>259</v>
      </c>
      <c r="R2592" t="s">
        <v>260</v>
      </c>
      <c r="T2592">
        <v>28034</v>
      </c>
      <c r="U2592" t="s">
        <v>261</v>
      </c>
      <c r="V2592" t="s">
        <v>110</v>
      </c>
      <c r="W2592" t="s">
        <v>262</v>
      </c>
      <c r="X2592" t="s">
        <v>263</v>
      </c>
      <c r="Y2592" t="s">
        <v>119</v>
      </c>
    </row>
    <row r="2593" spans="1:25">
      <c r="A2593">
        <v>10398</v>
      </c>
      <c r="B2593">
        <v>22</v>
      </c>
      <c r="C2593">
        <v>86.76</v>
      </c>
      <c r="D2593">
        <v>8</v>
      </c>
      <c r="E2593">
        <v>1908.72</v>
      </c>
      <c r="F2593" t="s">
        <v>750</v>
      </c>
      <c r="G2593" t="s">
        <v>93</v>
      </c>
      <c r="H2593">
        <v>1</v>
      </c>
      <c r="I2593">
        <v>3</v>
      </c>
      <c r="J2593">
        <v>2005</v>
      </c>
      <c r="K2593" t="s">
        <v>726</v>
      </c>
      <c r="L2593">
        <v>99</v>
      </c>
      <c r="M2593" t="s">
        <v>859</v>
      </c>
      <c r="N2593" t="s">
        <v>105</v>
      </c>
      <c r="O2593" t="s">
        <v>106</v>
      </c>
      <c r="P2593" t="s">
        <v>107</v>
      </c>
      <c r="R2593" t="s">
        <v>108</v>
      </c>
      <c r="T2593">
        <v>51100</v>
      </c>
      <c r="U2593" t="s">
        <v>109</v>
      </c>
      <c r="V2593" t="s">
        <v>110</v>
      </c>
      <c r="W2593" t="s">
        <v>111</v>
      </c>
      <c r="X2593" t="s">
        <v>112</v>
      </c>
      <c r="Y2593" t="s">
        <v>104</v>
      </c>
    </row>
    <row r="2594" spans="1:25">
      <c r="A2594">
        <v>10401</v>
      </c>
      <c r="B2594">
        <v>85</v>
      </c>
      <c r="C2594">
        <v>88.75</v>
      </c>
      <c r="D2594">
        <v>10</v>
      </c>
      <c r="E2594">
        <v>7543.75</v>
      </c>
      <c r="F2594" s="4">
        <v>38415</v>
      </c>
      <c r="G2594" t="s">
        <v>518</v>
      </c>
      <c r="H2594">
        <v>2</v>
      </c>
      <c r="I2594">
        <v>4</v>
      </c>
      <c r="J2594">
        <v>2005</v>
      </c>
      <c r="K2594" t="s">
        <v>726</v>
      </c>
      <c r="L2594">
        <v>99</v>
      </c>
      <c r="M2594" t="s">
        <v>859</v>
      </c>
      <c r="N2594" t="s">
        <v>178</v>
      </c>
      <c r="O2594">
        <v>2015559350</v>
      </c>
      <c r="P2594" t="s">
        <v>179</v>
      </c>
      <c r="R2594" t="s">
        <v>180</v>
      </c>
      <c r="S2594" t="s">
        <v>181</v>
      </c>
      <c r="T2594">
        <v>94019</v>
      </c>
      <c r="U2594" t="s">
        <v>100</v>
      </c>
      <c r="V2594" t="s">
        <v>101</v>
      </c>
      <c r="W2594" t="s">
        <v>130</v>
      </c>
      <c r="X2594" t="s">
        <v>182</v>
      </c>
      <c r="Y2594" t="s">
        <v>232</v>
      </c>
    </row>
    <row r="2595" spans="1:25">
      <c r="A2595">
        <v>10416</v>
      </c>
      <c r="B2595">
        <v>22</v>
      </c>
      <c r="C2595">
        <v>100</v>
      </c>
      <c r="D2595">
        <v>11</v>
      </c>
      <c r="E2595">
        <v>2457.1799999999998</v>
      </c>
      <c r="F2595" s="4">
        <v>38630</v>
      </c>
      <c r="G2595" t="s">
        <v>93</v>
      </c>
      <c r="H2595">
        <v>2</v>
      </c>
      <c r="I2595">
        <v>5</v>
      </c>
      <c r="J2595">
        <v>2005</v>
      </c>
      <c r="K2595" t="s">
        <v>726</v>
      </c>
      <c r="L2595">
        <v>99</v>
      </c>
      <c r="M2595" t="s">
        <v>859</v>
      </c>
      <c r="N2595" t="s">
        <v>576</v>
      </c>
      <c r="O2595" t="s">
        <v>577</v>
      </c>
      <c r="P2595" t="s">
        <v>578</v>
      </c>
      <c r="R2595" t="s">
        <v>579</v>
      </c>
      <c r="T2595">
        <v>42100</v>
      </c>
      <c r="U2595" t="s">
        <v>352</v>
      </c>
      <c r="V2595" t="s">
        <v>110</v>
      </c>
      <c r="W2595" t="s">
        <v>580</v>
      </c>
      <c r="X2595" t="s">
        <v>581</v>
      </c>
      <c r="Y2595" t="s">
        <v>104</v>
      </c>
    </row>
    <row r="2596" spans="1:25">
      <c r="A2596">
        <v>10105</v>
      </c>
      <c r="B2596">
        <v>31</v>
      </c>
      <c r="C2596">
        <v>65.77</v>
      </c>
      <c r="D2596">
        <v>3</v>
      </c>
      <c r="E2596">
        <v>2038.87</v>
      </c>
      <c r="F2596" s="4">
        <v>37927</v>
      </c>
      <c r="G2596" t="s">
        <v>93</v>
      </c>
      <c r="H2596">
        <v>1</v>
      </c>
      <c r="I2596">
        <v>2</v>
      </c>
      <c r="J2596">
        <v>2003</v>
      </c>
      <c r="K2596" t="s">
        <v>775</v>
      </c>
      <c r="L2596">
        <v>72</v>
      </c>
      <c r="M2596" t="s">
        <v>860</v>
      </c>
      <c r="N2596" t="s">
        <v>425</v>
      </c>
      <c r="O2596" t="s">
        <v>426</v>
      </c>
      <c r="P2596" t="s">
        <v>427</v>
      </c>
      <c r="R2596" t="s">
        <v>428</v>
      </c>
      <c r="T2596">
        <v>1734</v>
      </c>
      <c r="U2596" t="s">
        <v>429</v>
      </c>
      <c r="V2596" t="s">
        <v>110</v>
      </c>
      <c r="W2596" t="s">
        <v>430</v>
      </c>
      <c r="X2596" t="s">
        <v>431</v>
      </c>
      <c r="Y2596" t="s">
        <v>104</v>
      </c>
    </row>
    <row r="2597" spans="1:25">
      <c r="A2597">
        <v>10119</v>
      </c>
      <c r="B2597">
        <v>38</v>
      </c>
      <c r="C2597">
        <v>65.77</v>
      </c>
      <c r="D2597">
        <v>12</v>
      </c>
      <c r="E2597">
        <v>2499.2600000000002</v>
      </c>
      <c r="F2597" t="s">
        <v>432</v>
      </c>
      <c r="G2597" t="s">
        <v>93</v>
      </c>
      <c r="H2597">
        <v>2</v>
      </c>
      <c r="I2597">
        <v>4</v>
      </c>
      <c r="J2597">
        <v>2003</v>
      </c>
      <c r="K2597" t="s">
        <v>775</v>
      </c>
      <c r="L2597">
        <v>72</v>
      </c>
      <c r="M2597" t="s">
        <v>860</v>
      </c>
      <c r="N2597" t="s">
        <v>225</v>
      </c>
      <c r="O2597" t="s">
        <v>226</v>
      </c>
      <c r="P2597" t="s">
        <v>227</v>
      </c>
      <c r="R2597" t="s">
        <v>228</v>
      </c>
      <c r="T2597">
        <v>5020</v>
      </c>
      <c r="U2597" t="s">
        <v>229</v>
      </c>
      <c r="V2597" t="s">
        <v>110</v>
      </c>
      <c r="W2597" t="s">
        <v>230</v>
      </c>
      <c r="X2597" t="s">
        <v>231</v>
      </c>
      <c r="Y2597" t="s">
        <v>104</v>
      </c>
    </row>
    <row r="2598" spans="1:25">
      <c r="A2598">
        <v>10129</v>
      </c>
      <c r="B2598">
        <v>45</v>
      </c>
      <c r="C2598">
        <v>85.29</v>
      </c>
      <c r="D2598">
        <v>3</v>
      </c>
      <c r="E2598">
        <v>3838.05</v>
      </c>
      <c r="F2598" s="4">
        <v>37961</v>
      </c>
      <c r="G2598" t="s">
        <v>93</v>
      </c>
      <c r="H2598">
        <v>2</v>
      </c>
      <c r="I2598">
        <v>6</v>
      </c>
      <c r="J2598">
        <v>2003</v>
      </c>
      <c r="K2598" t="s">
        <v>775</v>
      </c>
      <c r="L2598">
        <v>72</v>
      </c>
      <c r="M2598" t="s">
        <v>860</v>
      </c>
      <c r="N2598" t="s">
        <v>433</v>
      </c>
      <c r="O2598" t="s">
        <v>434</v>
      </c>
      <c r="P2598" t="s">
        <v>435</v>
      </c>
      <c r="R2598" t="s">
        <v>436</v>
      </c>
      <c r="T2598" t="s">
        <v>437</v>
      </c>
      <c r="U2598" t="s">
        <v>252</v>
      </c>
      <c r="V2598" t="s">
        <v>110</v>
      </c>
      <c r="W2598" t="s">
        <v>130</v>
      </c>
      <c r="X2598" t="s">
        <v>438</v>
      </c>
      <c r="Y2598" t="s">
        <v>119</v>
      </c>
    </row>
    <row r="2599" spans="1:25">
      <c r="A2599">
        <v>10143</v>
      </c>
      <c r="B2599">
        <v>31</v>
      </c>
      <c r="C2599">
        <v>85.29</v>
      </c>
      <c r="D2599">
        <v>16</v>
      </c>
      <c r="E2599">
        <v>2643.99</v>
      </c>
      <c r="F2599" s="4">
        <v>37902</v>
      </c>
      <c r="G2599" t="s">
        <v>93</v>
      </c>
      <c r="H2599">
        <v>3</v>
      </c>
      <c r="I2599">
        <v>8</v>
      </c>
      <c r="J2599">
        <v>2003</v>
      </c>
      <c r="K2599" t="s">
        <v>775</v>
      </c>
      <c r="L2599">
        <v>72</v>
      </c>
      <c r="M2599" t="s">
        <v>860</v>
      </c>
      <c r="N2599" t="s">
        <v>439</v>
      </c>
      <c r="O2599">
        <v>5085559555</v>
      </c>
      <c r="P2599" t="s">
        <v>440</v>
      </c>
      <c r="R2599" t="s">
        <v>244</v>
      </c>
      <c r="S2599" t="s">
        <v>200</v>
      </c>
      <c r="T2599">
        <v>50553</v>
      </c>
      <c r="U2599" t="s">
        <v>100</v>
      </c>
      <c r="V2599" t="s">
        <v>101</v>
      </c>
      <c r="W2599" t="s">
        <v>441</v>
      </c>
      <c r="X2599" t="s">
        <v>442</v>
      </c>
      <c r="Y2599" t="s">
        <v>104</v>
      </c>
    </row>
    <row r="2600" spans="1:25">
      <c r="A2600">
        <v>10154</v>
      </c>
      <c r="B2600">
        <v>36</v>
      </c>
      <c r="C2600">
        <v>64.33</v>
      </c>
      <c r="D2600">
        <v>1</v>
      </c>
      <c r="E2600">
        <v>2315.88</v>
      </c>
      <c r="F2600" s="4">
        <v>37662</v>
      </c>
      <c r="G2600" t="s">
        <v>93</v>
      </c>
      <c r="H2600">
        <v>4</v>
      </c>
      <c r="I2600">
        <v>10</v>
      </c>
      <c r="J2600">
        <v>2003</v>
      </c>
      <c r="K2600" t="s">
        <v>775</v>
      </c>
      <c r="L2600">
        <v>72</v>
      </c>
      <c r="M2600" t="s">
        <v>860</v>
      </c>
      <c r="N2600" t="s">
        <v>654</v>
      </c>
      <c r="O2600">
        <v>3105552373</v>
      </c>
      <c r="P2600" t="s">
        <v>655</v>
      </c>
      <c r="R2600" t="s">
        <v>656</v>
      </c>
      <c r="S2600" t="s">
        <v>124</v>
      </c>
      <c r="T2600">
        <v>92561</v>
      </c>
      <c r="U2600" t="s">
        <v>100</v>
      </c>
      <c r="V2600" t="s">
        <v>101</v>
      </c>
      <c r="W2600" t="s">
        <v>125</v>
      </c>
      <c r="X2600" t="s">
        <v>336</v>
      </c>
      <c r="Y2600" t="s">
        <v>104</v>
      </c>
    </row>
    <row r="2601" spans="1:25">
      <c r="A2601">
        <v>10167</v>
      </c>
      <c r="B2601">
        <v>46</v>
      </c>
      <c r="C2601">
        <v>70.11</v>
      </c>
      <c r="D2601">
        <v>10</v>
      </c>
      <c r="E2601">
        <v>3225.06</v>
      </c>
      <c r="F2601" t="s">
        <v>443</v>
      </c>
      <c r="G2601" t="s">
        <v>444</v>
      </c>
      <c r="H2601">
        <v>4</v>
      </c>
      <c r="I2601">
        <v>10</v>
      </c>
      <c r="J2601">
        <v>2003</v>
      </c>
      <c r="K2601" t="s">
        <v>775</v>
      </c>
      <c r="L2601">
        <v>72</v>
      </c>
      <c r="M2601" t="s">
        <v>860</v>
      </c>
      <c r="N2601" t="s">
        <v>355</v>
      </c>
      <c r="O2601" t="s">
        <v>356</v>
      </c>
      <c r="P2601" t="s">
        <v>357</v>
      </c>
      <c r="R2601" t="s">
        <v>358</v>
      </c>
      <c r="T2601" t="s">
        <v>359</v>
      </c>
      <c r="U2601" t="s">
        <v>273</v>
      </c>
      <c r="V2601" t="s">
        <v>110</v>
      </c>
      <c r="W2601" t="s">
        <v>360</v>
      </c>
      <c r="X2601" t="s">
        <v>295</v>
      </c>
      <c r="Y2601" t="s">
        <v>119</v>
      </c>
    </row>
    <row r="2602" spans="1:25">
      <c r="A2602">
        <v>10177</v>
      </c>
      <c r="B2602">
        <v>32</v>
      </c>
      <c r="C2602">
        <v>76.62</v>
      </c>
      <c r="D2602">
        <v>1</v>
      </c>
      <c r="E2602">
        <v>2451.84</v>
      </c>
      <c r="F2602" s="4">
        <v>37813</v>
      </c>
      <c r="G2602" t="s">
        <v>93</v>
      </c>
      <c r="H2602">
        <v>4</v>
      </c>
      <c r="I2602">
        <v>11</v>
      </c>
      <c r="J2602">
        <v>2003</v>
      </c>
      <c r="K2602" t="s">
        <v>775</v>
      </c>
      <c r="L2602">
        <v>72</v>
      </c>
      <c r="M2602" t="s">
        <v>860</v>
      </c>
      <c r="N2602" t="s">
        <v>618</v>
      </c>
      <c r="O2602" t="s">
        <v>619</v>
      </c>
      <c r="P2602" t="s">
        <v>620</v>
      </c>
      <c r="R2602" t="s">
        <v>260</v>
      </c>
      <c r="T2602">
        <v>28023</v>
      </c>
      <c r="U2602" t="s">
        <v>261</v>
      </c>
      <c r="V2602" t="s">
        <v>110</v>
      </c>
      <c r="W2602" t="s">
        <v>621</v>
      </c>
      <c r="X2602" t="s">
        <v>622</v>
      </c>
      <c r="Y2602" t="s">
        <v>104</v>
      </c>
    </row>
    <row r="2603" spans="1:25">
      <c r="A2603">
        <v>10185</v>
      </c>
      <c r="B2603">
        <v>39</v>
      </c>
      <c r="C2603">
        <v>57.82</v>
      </c>
      <c r="D2603">
        <v>1</v>
      </c>
      <c r="E2603">
        <v>2254.98</v>
      </c>
      <c r="F2603" t="s">
        <v>451</v>
      </c>
      <c r="G2603" t="s">
        <v>93</v>
      </c>
      <c r="H2603">
        <v>4</v>
      </c>
      <c r="I2603">
        <v>11</v>
      </c>
      <c r="J2603">
        <v>2003</v>
      </c>
      <c r="K2603" t="s">
        <v>775</v>
      </c>
      <c r="L2603">
        <v>72</v>
      </c>
      <c r="M2603" t="s">
        <v>860</v>
      </c>
      <c r="N2603" t="s">
        <v>439</v>
      </c>
      <c r="O2603">
        <v>5085559555</v>
      </c>
      <c r="P2603" t="s">
        <v>440</v>
      </c>
      <c r="R2603" t="s">
        <v>244</v>
      </c>
      <c r="S2603" t="s">
        <v>200</v>
      </c>
      <c r="T2603">
        <v>50553</v>
      </c>
      <c r="U2603" t="s">
        <v>100</v>
      </c>
      <c r="V2603" t="s">
        <v>101</v>
      </c>
      <c r="W2603" t="s">
        <v>441</v>
      </c>
      <c r="X2603" t="s">
        <v>442</v>
      </c>
      <c r="Y2603" t="s">
        <v>104</v>
      </c>
    </row>
    <row r="2604" spans="1:25">
      <c r="A2604">
        <v>10197</v>
      </c>
      <c r="B2604">
        <v>50</v>
      </c>
      <c r="C2604">
        <v>78.790000000000006</v>
      </c>
      <c r="D2604">
        <v>7</v>
      </c>
      <c r="E2604">
        <v>3939.5</v>
      </c>
      <c r="F2604" t="s">
        <v>458</v>
      </c>
      <c r="G2604" t="s">
        <v>93</v>
      </c>
      <c r="H2604">
        <v>4</v>
      </c>
      <c r="I2604">
        <v>11</v>
      </c>
      <c r="J2604">
        <v>2003</v>
      </c>
      <c r="K2604" t="s">
        <v>775</v>
      </c>
      <c r="L2604">
        <v>72</v>
      </c>
      <c r="M2604" t="s">
        <v>860</v>
      </c>
      <c r="N2604" t="s">
        <v>459</v>
      </c>
      <c r="O2604" t="s">
        <v>460</v>
      </c>
      <c r="P2604" t="s">
        <v>461</v>
      </c>
      <c r="R2604" t="s">
        <v>462</v>
      </c>
      <c r="T2604">
        <v>8022</v>
      </c>
      <c r="U2604" t="s">
        <v>261</v>
      </c>
      <c r="V2604" t="s">
        <v>110</v>
      </c>
      <c r="W2604" t="s">
        <v>463</v>
      </c>
      <c r="X2604" t="s">
        <v>464</v>
      </c>
      <c r="Y2604" t="s">
        <v>119</v>
      </c>
    </row>
    <row r="2605" spans="1:25">
      <c r="A2605">
        <v>10208</v>
      </c>
      <c r="B2605">
        <v>46</v>
      </c>
      <c r="C2605">
        <v>74.45</v>
      </c>
      <c r="D2605">
        <v>1</v>
      </c>
      <c r="E2605">
        <v>3424.7</v>
      </c>
      <c r="F2605" s="4">
        <v>38018</v>
      </c>
      <c r="G2605" t="s">
        <v>93</v>
      </c>
      <c r="H2605">
        <v>1</v>
      </c>
      <c r="I2605">
        <v>1</v>
      </c>
      <c r="J2605">
        <v>2004</v>
      </c>
      <c r="K2605" t="s">
        <v>775</v>
      </c>
      <c r="L2605">
        <v>72</v>
      </c>
      <c r="M2605" t="s">
        <v>860</v>
      </c>
      <c r="N2605" t="s">
        <v>310</v>
      </c>
      <c r="O2605" t="s">
        <v>311</v>
      </c>
      <c r="P2605" t="s">
        <v>312</v>
      </c>
      <c r="R2605" t="s">
        <v>313</v>
      </c>
      <c r="T2605">
        <v>69004</v>
      </c>
      <c r="U2605" t="s">
        <v>109</v>
      </c>
      <c r="V2605" t="s">
        <v>110</v>
      </c>
      <c r="W2605" t="s">
        <v>314</v>
      </c>
      <c r="X2605" t="s">
        <v>315</v>
      </c>
      <c r="Y2605" t="s">
        <v>119</v>
      </c>
    </row>
    <row r="2606" spans="1:25">
      <c r="A2606">
        <v>10222</v>
      </c>
      <c r="B2606">
        <v>36</v>
      </c>
      <c r="C2606">
        <v>80.95</v>
      </c>
      <c r="D2606">
        <v>13</v>
      </c>
      <c r="E2606">
        <v>2914.2</v>
      </c>
      <c r="F2606" t="s">
        <v>469</v>
      </c>
      <c r="G2606" t="s">
        <v>93</v>
      </c>
      <c r="H2606">
        <v>1</v>
      </c>
      <c r="I2606">
        <v>2</v>
      </c>
      <c r="J2606">
        <v>2004</v>
      </c>
      <c r="K2606" t="s">
        <v>775</v>
      </c>
      <c r="L2606">
        <v>72</v>
      </c>
      <c r="M2606" t="s">
        <v>860</v>
      </c>
      <c r="N2606" t="s">
        <v>470</v>
      </c>
      <c r="O2606">
        <v>7605558146</v>
      </c>
      <c r="P2606" t="s">
        <v>471</v>
      </c>
      <c r="R2606" t="s">
        <v>472</v>
      </c>
      <c r="S2606" t="s">
        <v>124</v>
      </c>
      <c r="T2606">
        <v>91217</v>
      </c>
      <c r="U2606" t="s">
        <v>100</v>
      </c>
      <c r="V2606" t="s">
        <v>101</v>
      </c>
      <c r="W2606" t="s">
        <v>6</v>
      </c>
      <c r="X2606" t="s">
        <v>371</v>
      </c>
      <c r="Y2606" t="s">
        <v>104</v>
      </c>
    </row>
    <row r="2607" spans="1:25">
      <c r="A2607">
        <v>10233</v>
      </c>
      <c r="B2607">
        <v>29</v>
      </c>
      <c r="C2607">
        <v>82.4</v>
      </c>
      <c r="D2607">
        <v>1</v>
      </c>
      <c r="E2607">
        <v>2389.6</v>
      </c>
      <c r="F2607" t="s">
        <v>826</v>
      </c>
      <c r="G2607" t="s">
        <v>93</v>
      </c>
      <c r="H2607">
        <v>1</v>
      </c>
      <c r="I2607">
        <v>3</v>
      </c>
      <c r="J2607">
        <v>2004</v>
      </c>
      <c r="K2607" t="s">
        <v>775</v>
      </c>
      <c r="L2607">
        <v>72</v>
      </c>
      <c r="M2607" t="s">
        <v>860</v>
      </c>
      <c r="N2607" t="s">
        <v>178</v>
      </c>
      <c r="O2607">
        <v>2015559350</v>
      </c>
      <c r="P2607" t="s">
        <v>179</v>
      </c>
      <c r="R2607" t="s">
        <v>180</v>
      </c>
      <c r="S2607" t="s">
        <v>181</v>
      </c>
      <c r="T2607">
        <v>94019</v>
      </c>
      <c r="U2607" t="s">
        <v>100</v>
      </c>
      <c r="V2607" t="s">
        <v>101</v>
      </c>
      <c r="W2607" t="s">
        <v>130</v>
      </c>
      <c r="X2607" t="s">
        <v>182</v>
      </c>
      <c r="Y2607" t="s">
        <v>104</v>
      </c>
    </row>
    <row r="2608" spans="1:25">
      <c r="A2608">
        <v>10248</v>
      </c>
      <c r="B2608">
        <v>32</v>
      </c>
      <c r="C2608">
        <v>75.89</v>
      </c>
      <c r="D2608">
        <v>4</v>
      </c>
      <c r="E2608">
        <v>2428.48</v>
      </c>
      <c r="F2608" s="4">
        <v>38173</v>
      </c>
      <c r="G2608" t="s">
        <v>444</v>
      </c>
      <c r="H2608">
        <v>2</v>
      </c>
      <c r="I2608">
        <v>5</v>
      </c>
      <c r="J2608">
        <v>2004</v>
      </c>
      <c r="K2608" t="s">
        <v>775</v>
      </c>
      <c r="L2608">
        <v>72</v>
      </c>
      <c r="M2608" t="s">
        <v>860</v>
      </c>
      <c r="N2608" t="s">
        <v>96</v>
      </c>
      <c r="O2608">
        <v>2125557818</v>
      </c>
      <c r="P2608" t="s">
        <v>97</v>
      </c>
      <c r="R2608" t="s">
        <v>98</v>
      </c>
      <c r="S2608" t="s">
        <v>99</v>
      </c>
      <c r="T2608">
        <v>10022</v>
      </c>
      <c r="U2608" t="s">
        <v>100</v>
      </c>
      <c r="V2608" t="s">
        <v>101</v>
      </c>
      <c r="W2608" t="s">
        <v>102</v>
      </c>
      <c r="X2608" t="s">
        <v>103</v>
      </c>
      <c r="Y2608" t="s">
        <v>104</v>
      </c>
    </row>
    <row r="2609" spans="1:25">
      <c r="A2609">
        <v>10261</v>
      </c>
      <c r="B2609">
        <v>44</v>
      </c>
      <c r="C2609">
        <v>68.67</v>
      </c>
      <c r="D2609">
        <v>2</v>
      </c>
      <c r="E2609">
        <v>3021.48</v>
      </c>
      <c r="F2609" t="s">
        <v>473</v>
      </c>
      <c r="G2609" t="s">
        <v>93</v>
      </c>
      <c r="H2609">
        <v>2</v>
      </c>
      <c r="I2609">
        <v>6</v>
      </c>
      <c r="J2609">
        <v>2004</v>
      </c>
      <c r="K2609" t="s">
        <v>775</v>
      </c>
      <c r="L2609">
        <v>72</v>
      </c>
      <c r="M2609" t="s">
        <v>860</v>
      </c>
      <c r="N2609" t="s">
        <v>391</v>
      </c>
      <c r="O2609" t="s">
        <v>392</v>
      </c>
      <c r="P2609" t="s">
        <v>393</v>
      </c>
      <c r="R2609" t="s">
        <v>394</v>
      </c>
      <c r="S2609" t="s">
        <v>395</v>
      </c>
      <c r="T2609" t="s">
        <v>396</v>
      </c>
      <c r="U2609" t="s">
        <v>322</v>
      </c>
      <c r="V2609" t="s">
        <v>101</v>
      </c>
      <c r="W2609" t="s">
        <v>397</v>
      </c>
      <c r="X2609" t="s">
        <v>398</v>
      </c>
      <c r="Y2609" t="s">
        <v>119</v>
      </c>
    </row>
    <row r="2610" spans="1:25">
      <c r="A2610">
        <v>10273</v>
      </c>
      <c r="B2610">
        <v>42</v>
      </c>
      <c r="C2610">
        <v>62.16</v>
      </c>
      <c r="D2610">
        <v>5</v>
      </c>
      <c r="E2610">
        <v>2610.7199999999998</v>
      </c>
      <c r="F2610" t="s">
        <v>474</v>
      </c>
      <c r="G2610" t="s">
        <v>93</v>
      </c>
      <c r="H2610">
        <v>3</v>
      </c>
      <c r="I2610">
        <v>7</v>
      </c>
      <c r="J2610">
        <v>2004</v>
      </c>
      <c r="K2610" t="s">
        <v>775</v>
      </c>
      <c r="L2610">
        <v>72</v>
      </c>
      <c r="M2610" t="s">
        <v>860</v>
      </c>
      <c r="N2610" t="s">
        <v>475</v>
      </c>
      <c r="O2610" t="s">
        <v>476</v>
      </c>
      <c r="P2610" t="s">
        <v>477</v>
      </c>
      <c r="R2610" t="s">
        <v>478</v>
      </c>
      <c r="T2610" t="s">
        <v>479</v>
      </c>
      <c r="U2610" t="s">
        <v>480</v>
      </c>
      <c r="V2610" t="s">
        <v>110</v>
      </c>
      <c r="W2610" t="s">
        <v>481</v>
      </c>
      <c r="X2610" t="s">
        <v>482</v>
      </c>
      <c r="Y2610" t="s">
        <v>104</v>
      </c>
    </row>
    <row r="2611" spans="1:25">
      <c r="A2611">
        <v>10283</v>
      </c>
      <c r="B2611">
        <v>47</v>
      </c>
      <c r="C2611">
        <v>65.77</v>
      </c>
      <c r="D2611">
        <v>7</v>
      </c>
      <c r="E2611">
        <v>3091.19</v>
      </c>
      <c r="F2611" t="s">
        <v>483</v>
      </c>
      <c r="G2611" t="s">
        <v>93</v>
      </c>
      <c r="H2611">
        <v>3</v>
      </c>
      <c r="I2611">
        <v>8</v>
      </c>
      <c r="J2611">
        <v>2004</v>
      </c>
      <c r="K2611" t="s">
        <v>775</v>
      </c>
      <c r="L2611">
        <v>72</v>
      </c>
      <c r="M2611" t="s">
        <v>860</v>
      </c>
      <c r="N2611" t="s">
        <v>484</v>
      </c>
      <c r="O2611" t="s">
        <v>485</v>
      </c>
      <c r="P2611" t="s">
        <v>486</v>
      </c>
      <c r="R2611" t="s">
        <v>487</v>
      </c>
      <c r="S2611" t="s">
        <v>320</v>
      </c>
      <c r="T2611" t="s">
        <v>488</v>
      </c>
      <c r="U2611" t="s">
        <v>322</v>
      </c>
      <c r="V2611" t="s">
        <v>101</v>
      </c>
      <c r="W2611" t="s">
        <v>489</v>
      </c>
      <c r="X2611" t="s">
        <v>254</v>
      </c>
      <c r="Y2611" t="s">
        <v>119</v>
      </c>
    </row>
    <row r="2612" spans="1:25">
      <c r="A2612">
        <v>10295</v>
      </c>
      <c r="B2612">
        <v>44</v>
      </c>
      <c r="C2612">
        <v>58.55</v>
      </c>
      <c r="D2612">
        <v>2</v>
      </c>
      <c r="E2612">
        <v>2576.1999999999998</v>
      </c>
      <c r="F2612" s="4">
        <v>38269</v>
      </c>
      <c r="G2612" t="s">
        <v>93</v>
      </c>
      <c r="H2612">
        <v>3</v>
      </c>
      <c r="I2612">
        <v>9</v>
      </c>
      <c r="J2612">
        <v>2004</v>
      </c>
      <c r="K2612" t="s">
        <v>775</v>
      </c>
      <c r="L2612">
        <v>72</v>
      </c>
      <c r="M2612" t="s">
        <v>860</v>
      </c>
      <c r="N2612" t="s">
        <v>490</v>
      </c>
      <c r="O2612">
        <v>6175559555</v>
      </c>
      <c r="P2612" t="s">
        <v>491</v>
      </c>
      <c r="R2612" t="s">
        <v>492</v>
      </c>
      <c r="S2612" t="s">
        <v>200</v>
      </c>
      <c r="T2612">
        <v>51003</v>
      </c>
      <c r="U2612" t="s">
        <v>100</v>
      </c>
      <c r="V2612" t="s">
        <v>101</v>
      </c>
      <c r="W2612" t="s">
        <v>493</v>
      </c>
      <c r="X2612" t="s">
        <v>136</v>
      </c>
      <c r="Y2612" t="s">
        <v>104</v>
      </c>
    </row>
    <row r="2613" spans="1:25">
      <c r="A2613">
        <v>10306</v>
      </c>
      <c r="B2613">
        <v>43</v>
      </c>
      <c r="C2613">
        <v>75.17</v>
      </c>
      <c r="D2613">
        <v>1</v>
      </c>
      <c r="E2613">
        <v>3232.31</v>
      </c>
      <c r="F2613" t="s">
        <v>494</v>
      </c>
      <c r="G2613" t="s">
        <v>93</v>
      </c>
      <c r="H2613">
        <v>4</v>
      </c>
      <c r="I2613">
        <v>10</v>
      </c>
      <c r="J2613">
        <v>2004</v>
      </c>
      <c r="K2613" t="s">
        <v>775</v>
      </c>
      <c r="L2613">
        <v>72</v>
      </c>
      <c r="M2613" t="s">
        <v>860</v>
      </c>
      <c r="N2613" t="s">
        <v>624</v>
      </c>
      <c r="O2613" t="s">
        <v>625</v>
      </c>
      <c r="P2613" t="s">
        <v>626</v>
      </c>
      <c r="R2613" t="s">
        <v>627</v>
      </c>
      <c r="T2613" t="s">
        <v>628</v>
      </c>
      <c r="U2613" t="s">
        <v>252</v>
      </c>
      <c r="V2613" t="s">
        <v>110</v>
      </c>
      <c r="W2613" t="s">
        <v>629</v>
      </c>
      <c r="X2613" t="s">
        <v>167</v>
      </c>
      <c r="Y2613" t="s">
        <v>119</v>
      </c>
    </row>
    <row r="2614" spans="1:25">
      <c r="A2614">
        <v>10316</v>
      </c>
      <c r="B2614">
        <v>48</v>
      </c>
      <c r="C2614">
        <v>74.45</v>
      </c>
      <c r="D2614">
        <v>18</v>
      </c>
      <c r="E2614">
        <v>3573.6</v>
      </c>
      <c r="F2614" s="4">
        <v>37997</v>
      </c>
      <c r="G2614" t="s">
        <v>93</v>
      </c>
      <c r="H2614">
        <v>4</v>
      </c>
      <c r="I2614">
        <v>11</v>
      </c>
      <c r="J2614">
        <v>2004</v>
      </c>
      <c r="K2614" t="s">
        <v>775</v>
      </c>
      <c r="L2614">
        <v>72</v>
      </c>
      <c r="M2614" t="s">
        <v>860</v>
      </c>
      <c r="N2614" t="s">
        <v>495</v>
      </c>
      <c r="O2614" t="s">
        <v>496</v>
      </c>
      <c r="P2614" t="s">
        <v>497</v>
      </c>
      <c r="R2614" t="s">
        <v>498</v>
      </c>
      <c r="S2614" t="s">
        <v>499</v>
      </c>
      <c r="T2614" t="s">
        <v>500</v>
      </c>
      <c r="U2614" t="s">
        <v>252</v>
      </c>
      <c r="V2614" t="s">
        <v>110</v>
      </c>
      <c r="W2614" t="s">
        <v>501</v>
      </c>
      <c r="X2614" t="s">
        <v>502</v>
      </c>
      <c r="Y2614" t="s">
        <v>119</v>
      </c>
    </row>
    <row r="2615" spans="1:25">
      <c r="A2615">
        <v>10327</v>
      </c>
      <c r="B2615">
        <v>21</v>
      </c>
      <c r="C2615">
        <v>96.31</v>
      </c>
      <c r="D2615">
        <v>1</v>
      </c>
      <c r="E2615">
        <v>2022.51</v>
      </c>
      <c r="F2615" s="4">
        <v>38271</v>
      </c>
      <c r="G2615" t="s">
        <v>526</v>
      </c>
      <c r="H2615">
        <v>4</v>
      </c>
      <c r="I2615">
        <v>11</v>
      </c>
      <c r="J2615">
        <v>2004</v>
      </c>
      <c r="K2615" t="s">
        <v>775</v>
      </c>
      <c r="L2615">
        <v>72</v>
      </c>
      <c r="M2615" t="s">
        <v>860</v>
      </c>
      <c r="N2615" t="s">
        <v>425</v>
      </c>
      <c r="O2615" t="s">
        <v>426</v>
      </c>
      <c r="P2615" t="s">
        <v>427</v>
      </c>
      <c r="R2615" t="s">
        <v>428</v>
      </c>
      <c r="T2615">
        <v>1734</v>
      </c>
      <c r="U2615" t="s">
        <v>429</v>
      </c>
      <c r="V2615" t="s">
        <v>110</v>
      </c>
      <c r="W2615" t="s">
        <v>430</v>
      </c>
      <c r="X2615" t="s">
        <v>431</v>
      </c>
      <c r="Y2615" t="s">
        <v>104</v>
      </c>
    </row>
    <row r="2616" spans="1:25">
      <c r="A2616">
        <v>10339</v>
      </c>
      <c r="B2616">
        <v>50</v>
      </c>
      <c r="C2616">
        <v>74.349999999999994</v>
      </c>
      <c r="D2616">
        <v>9</v>
      </c>
      <c r="E2616">
        <v>3717.5</v>
      </c>
      <c r="F2616" t="s">
        <v>422</v>
      </c>
      <c r="G2616" t="s">
        <v>93</v>
      </c>
      <c r="H2616">
        <v>4</v>
      </c>
      <c r="I2616">
        <v>11</v>
      </c>
      <c r="J2616">
        <v>2004</v>
      </c>
      <c r="K2616" t="s">
        <v>775</v>
      </c>
      <c r="L2616">
        <v>72</v>
      </c>
      <c r="M2616" t="s">
        <v>860</v>
      </c>
      <c r="N2616" t="s">
        <v>338</v>
      </c>
      <c r="O2616" t="s">
        <v>339</v>
      </c>
      <c r="P2616" t="s">
        <v>340</v>
      </c>
      <c r="R2616" t="s">
        <v>341</v>
      </c>
      <c r="S2616" t="s">
        <v>342</v>
      </c>
      <c r="T2616" t="s">
        <v>343</v>
      </c>
      <c r="U2616" t="s">
        <v>288</v>
      </c>
      <c r="V2616" t="s">
        <v>288</v>
      </c>
      <c r="W2616" t="s">
        <v>344</v>
      </c>
      <c r="X2616" t="s">
        <v>345</v>
      </c>
      <c r="Y2616" t="s">
        <v>119</v>
      </c>
    </row>
    <row r="2617" spans="1:25">
      <c r="A2617">
        <v>10350</v>
      </c>
      <c r="B2617">
        <v>29</v>
      </c>
      <c r="C2617">
        <v>75.349999999999994</v>
      </c>
      <c r="D2617">
        <v>12</v>
      </c>
      <c r="E2617">
        <v>2185.15</v>
      </c>
      <c r="F2617" s="4">
        <v>38029</v>
      </c>
      <c r="G2617" t="s">
        <v>93</v>
      </c>
      <c r="H2617">
        <v>4</v>
      </c>
      <c r="I2617">
        <v>12</v>
      </c>
      <c r="J2617">
        <v>2004</v>
      </c>
      <c r="K2617" t="s">
        <v>775</v>
      </c>
      <c r="L2617">
        <v>72</v>
      </c>
      <c r="M2617" t="s">
        <v>860</v>
      </c>
      <c r="N2617" t="s">
        <v>257</v>
      </c>
      <c r="O2617" t="s">
        <v>258</v>
      </c>
      <c r="P2617" t="s">
        <v>259</v>
      </c>
      <c r="R2617" t="s">
        <v>260</v>
      </c>
      <c r="T2617">
        <v>28034</v>
      </c>
      <c r="U2617" t="s">
        <v>261</v>
      </c>
      <c r="V2617" t="s">
        <v>110</v>
      </c>
      <c r="W2617" t="s">
        <v>262</v>
      </c>
      <c r="X2617" t="s">
        <v>263</v>
      </c>
      <c r="Y2617" t="s">
        <v>104</v>
      </c>
    </row>
    <row r="2618" spans="1:25">
      <c r="A2618">
        <v>10373</v>
      </c>
      <c r="B2618">
        <v>41</v>
      </c>
      <c r="C2618">
        <v>70.33</v>
      </c>
      <c r="D2618">
        <v>16</v>
      </c>
      <c r="E2618">
        <v>2883.53</v>
      </c>
      <c r="F2618" t="s">
        <v>505</v>
      </c>
      <c r="G2618" t="s">
        <v>93</v>
      </c>
      <c r="H2618">
        <v>1</v>
      </c>
      <c r="I2618">
        <v>1</v>
      </c>
      <c r="J2618">
        <v>2005</v>
      </c>
      <c r="K2618" t="s">
        <v>775</v>
      </c>
      <c r="L2618">
        <v>72</v>
      </c>
      <c r="M2618" t="s">
        <v>860</v>
      </c>
      <c r="N2618" t="s">
        <v>506</v>
      </c>
      <c r="O2618" t="s">
        <v>507</v>
      </c>
      <c r="P2618" t="s">
        <v>508</v>
      </c>
      <c r="R2618" t="s">
        <v>509</v>
      </c>
      <c r="T2618">
        <v>90110</v>
      </c>
      <c r="U2618" t="s">
        <v>208</v>
      </c>
      <c r="V2618" t="s">
        <v>110</v>
      </c>
      <c r="W2618" t="s">
        <v>510</v>
      </c>
      <c r="X2618" t="s">
        <v>511</v>
      </c>
      <c r="Y2618" t="s">
        <v>104</v>
      </c>
    </row>
    <row r="2619" spans="1:25">
      <c r="A2619">
        <v>10386</v>
      </c>
      <c r="B2619">
        <v>37</v>
      </c>
      <c r="C2619">
        <v>100</v>
      </c>
      <c r="D2619">
        <v>10</v>
      </c>
      <c r="E2619">
        <v>5017.57</v>
      </c>
      <c r="F2619" s="4">
        <v>38355</v>
      </c>
      <c r="G2619" t="s">
        <v>526</v>
      </c>
      <c r="H2619">
        <v>1</v>
      </c>
      <c r="I2619">
        <v>3</v>
      </c>
      <c r="J2619">
        <v>2005</v>
      </c>
      <c r="K2619" t="s">
        <v>775</v>
      </c>
      <c r="L2619">
        <v>72</v>
      </c>
      <c r="M2619" t="s">
        <v>860</v>
      </c>
      <c r="N2619" t="s">
        <v>257</v>
      </c>
      <c r="O2619" t="s">
        <v>258</v>
      </c>
      <c r="P2619" t="s">
        <v>259</v>
      </c>
      <c r="R2619" t="s">
        <v>260</v>
      </c>
      <c r="T2619">
        <v>28034</v>
      </c>
      <c r="U2619" t="s">
        <v>261</v>
      </c>
      <c r="V2619" t="s">
        <v>110</v>
      </c>
      <c r="W2619" t="s">
        <v>262</v>
      </c>
      <c r="X2619" t="s">
        <v>263</v>
      </c>
      <c r="Y2619" t="s">
        <v>119</v>
      </c>
    </row>
    <row r="2620" spans="1:25">
      <c r="A2620">
        <v>10397</v>
      </c>
      <c r="B2620">
        <v>22</v>
      </c>
      <c r="C2620">
        <v>66.5</v>
      </c>
      <c r="D2620">
        <v>4</v>
      </c>
      <c r="E2620">
        <v>1463</v>
      </c>
      <c r="F2620" t="s">
        <v>857</v>
      </c>
      <c r="G2620" t="s">
        <v>93</v>
      </c>
      <c r="H2620">
        <v>1</v>
      </c>
      <c r="I2620">
        <v>3</v>
      </c>
      <c r="J2620">
        <v>2005</v>
      </c>
      <c r="K2620" t="s">
        <v>775</v>
      </c>
      <c r="L2620">
        <v>72</v>
      </c>
      <c r="M2620" t="s">
        <v>860</v>
      </c>
      <c r="N2620" t="s">
        <v>445</v>
      </c>
      <c r="O2620" t="s">
        <v>446</v>
      </c>
      <c r="P2620" t="s">
        <v>447</v>
      </c>
      <c r="R2620" t="s">
        <v>448</v>
      </c>
      <c r="T2620">
        <v>31000</v>
      </c>
      <c r="U2620" t="s">
        <v>109</v>
      </c>
      <c r="V2620" t="s">
        <v>110</v>
      </c>
      <c r="W2620" t="s">
        <v>449</v>
      </c>
      <c r="X2620" t="s">
        <v>450</v>
      </c>
      <c r="Y2620" t="s">
        <v>104</v>
      </c>
    </row>
    <row r="2621" spans="1:25">
      <c r="A2621">
        <v>10414</v>
      </c>
      <c r="B2621">
        <v>31</v>
      </c>
      <c r="C2621">
        <v>75.89</v>
      </c>
      <c r="D2621">
        <v>4</v>
      </c>
      <c r="E2621">
        <v>2352.59</v>
      </c>
      <c r="F2621" s="4">
        <v>38508</v>
      </c>
      <c r="G2621" t="s">
        <v>518</v>
      </c>
      <c r="H2621">
        <v>2</v>
      </c>
      <c r="I2621">
        <v>5</v>
      </c>
      <c r="J2621">
        <v>2005</v>
      </c>
      <c r="K2621" t="s">
        <v>775</v>
      </c>
      <c r="L2621">
        <v>72</v>
      </c>
      <c r="M2621" t="s">
        <v>860</v>
      </c>
      <c r="N2621" t="s">
        <v>490</v>
      </c>
      <c r="O2621">
        <v>6175559555</v>
      </c>
      <c r="P2621" t="s">
        <v>491</v>
      </c>
      <c r="R2621" t="s">
        <v>492</v>
      </c>
      <c r="S2621" t="s">
        <v>200</v>
      </c>
      <c r="T2621">
        <v>51003</v>
      </c>
      <c r="U2621" t="s">
        <v>100</v>
      </c>
      <c r="V2621" t="s">
        <v>101</v>
      </c>
      <c r="W2621" t="s">
        <v>493</v>
      </c>
      <c r="X2621" t="s">
        <v>136</v>
      </c>
      <c r="Y2621" t="s">
        <v>104</v>
      </c>
    </row>
    <row r="2622" spans="1:25">
      <c r="A2622">
        <v>10103</v>
      </c>
      <c r="B2622">
        <v>42</v>
      </c>
      <c r="C2622">
        <v>100</v>
      </c>
      <c r="D2622">
        <v>6</v>
      </c>
      <c r="E2622">
        <v>4460.82</v>
      </c>
      <c r="F2622" t="s">
        <v>264</v>
      </c>
      <c r="G2622" t="s">
        <v>93</v>
      </c>
      <c r="H2622">
        <v>1</v>
      </c>
      <c r="I2622">
        <v>1</v>
      </c>
      <c r="J2622">
        <v>2003</v>
      </c>
      <c r="K2622" t="s">
        <v>265</v>
      </c>
      <c r="L2622">
        <v>101</v>
      </c>
      <c r="M2622" t="s">
        <v>861</v>
      </c>
      <c r="N2622" t="s">
        <v>212</v>
      </c>
      <c r="O2622" t="s">
        <v>213</v>
      </c>
      <c r="P2622" t="s">
        <v>214</v>
      </c>
      <c r="R2622" t="s">
        <v>215</v>
      </c>
      <c r="T2622">
        <v>4110</v>
      </c>
      <c r="U2622" t="s">
        <v>149</v>
      </c>
      <c r="V2622" t="s">
        <v>110</v>
      </c>
      <c r="W2622" t="s">
        <v>216</v>
      </c>
      <c r="X2622" t="s">
        <v>217</v>
      </c>
      <c r="Y2622" t="s">
        <v>119</v>
      </c>
    </row>
    <row r="2623" spans="1:25">
      <c r="A2623">
        <v>10114</v>
      </c>
      <c r="B2623">
        <v>42</v>
      </c>
      <c r="C2623">
        <v>100</v>
      </c>
      <c r="D2623">
        <v>10</v>
      </c>
      <c r="E2623">
        <v>4758.18</v>
      </c>
      <c r="F2623" s="4">
        <v>37625</v>
      </c>
      <c r="G2623" t="s">
        <v>93</v>
      </c>
      <c r="H2623">
        <v>2</v>
      </c>
      <c r="I2623">
        <v>4</v>
      </c>
      <c r="J2623">
        <v>2003</v>
      </c>
      <c r="K2623" t="s">
        <v>265</v>
      </c>
      <c r="L2623">
        <v>101</v>
      </c>
      <c r="M2623" t="s">
        <v>861</v>
      </c>
      <c r="N2623" t="s">
        <v>520</v>
      </c>
      <c r="O2623" t="s">
        <v>521</v>
      </c>
      <c r="P2623" t="s">
        <v>522</v>
      </c>
      <c r="R2623" t="s">
        <v>116</v>
      </c>
      <c r="T2623">
        <v>75012</v>
      </c>
      <c r="U2623" t="s">
        <v>109</v>
      </c>
      <c r="V2623" t="s">
        <v>110</v>
      </c>
      <c r="W2623" t="s">
        <v>523</v>
      </c>
      <c r="X2623" t="s">
        <v>524</v>
      </c>
      <c r="Y2623" t="s">
        <v>119</v>
      </c>
    </row>
    <row r="2624" spans="1:25">
      <c r="A2624">
        <v>10126</v>
      </c>
      <c r="B2624">
        <v>45</v>
      </c>
      <c r="C2624">
        <v>100</v>
      </c>
      <c r="D2624">
        <v>6</v>
      </c>
      <c r="E2624">
        <v>4597.2</v>
      </c>
      <c r="F2624" t="s">
        <v>276</v>
      </c>
      <c r="G2624" t="s">
        <v>93</v>
      </c>
      <c r="H2624">
        <v>2</v>
      </c>
      <c r="I2624">
        <v>5</v>
      </c>
      <c r="J2624">
        <v>2003</v>
      </c>
      <c r="K2624" t="s">
        <v>265</v>
      </c>
      <c r="L2624">
        <v>101</v>
      </c>
      <c r="M2624" t="s">
        <v>861</v>
      </c>
      <c r="N2624" t="s">
        <v>277</v>
      </c>
      <c r="O2624" t="s">
        <v>278</v>
      </c>
      <c r="P2624" t="s">
        <v>279</v>
      </c>
      <c r="R2624" t="s">
        <v>260</v>
      </c>
      <c r="T2624">
        <v>28023</v>
      </c>
      <c r="U2624" t="s">
        <v>261</v>
      </c>
      <c r="V2624" t="s">
        <v>110</v>
      </c>
      <c r="W2624" t="s">
        <v>280</v>
      </c>
      <c r="X2624" t="s">
        <v>281</v>
      </c>
      <c r="Y2624" t="s">
        <v>119</v>
      </c>
    </row>
    <row r="2625" spans="1:25">
      <c r="A2625">
        <v>10140</v>
      </c>
      <c r="B2625">
        <v>36</v>
      </c>
      <c r="C2625">
        <v>100</v>
      </c>
      <c r="D2625">
        <v>6</v>
      </c>
      <c r="E2625">
        <v>4114.8</v>
      </c>
      <c r="F2625" t="s">
        <v>282</v>
      </c>
      <c r="G2625" t="s">
        <v>93</v>
      </c>
      <c r="H2625">
        <v>3</v>
      </c>
      <c r="I2625">
        <v>7</v>
      </c>
      <c r="J2625">
        <v>2003</v>
      </c>
      <c r="K2625" t="s">
        <v>265</v>
      </c>
      <c r="L2625">
        <v>101</v>
      </c>
      <c r="M2625" t="s">
        <v>861</v>
      </c>
      <c r="N2625" t="s">
        <v>132</v>
      </c>
      <c r="O2625">
        <v>6505556809</v>
      </c>
      <c r="P2625" t="s">
        <v>133</v>
      </c>
      <c r="R2625" t="s">
        <v>134</v>
      </c>
      <c r="S2625" t="s">
        <v>124</v>
      </c>
      <c r="T2625">
        <v>94217</v>
      </c>
      <c r="U2625" t="s">
        <v>100</v>
      </c>
      <c r="V2625" t="s">
        <v>101</v>
      </c>
      <c r="W2625" t="s">
        <v>135</v>
      </c>
      <c r="X2625" t="s">
        <v>136</v>
      </c>
      <c r="Y2625" t="s">
        <v>119</v>
      </c>
    </row>
    <row r="2626" spans="1:25">
      <c r="A2626">
        <v>10150</v>
      </c>
      <c r="B2626">
        <v>20</v>
      </c>
      <c r="C2626">
        <v>100</v>
      </c>
      <c r="D2626">
        <v>3</v>
      </c>
      <c r="E2626">
        <v>2104</v>
      </c>
      <c r="F2626" t="s">
        <v>283</v>
      </c>
      <c r="G2626" t="s">
        <v>93</v>
      </c>
      <c r="H2626">
        <v>3</v>
      </c>
      <c r="I2626">
        <v>9</v>
      </c>
      <c r="J2626">
        <v>2003</v>
      </c>
      <c r="K2626" t="s">
        <v>265</v>
      </c>
      <c r="L2626">
        <v>101</v>
      </c>
      <c r="M2626" t="s">
        <v>861</v>
      </c>
      <c r="N2626" t="s">
        <v>284</v>
      </c>
      <c r="O2626" t="s">
        <v>285</v>
      </c>
      <c r="P2626" t="s">
        <v>286</v>
      </c>
      <c r="R2626" t="s">
        <v>287</v>
      </c>
      <c r="T2626">
        <v>79903</v>
      </c>
      <c r="U2626" t="s">
        <v>287</v>
      </c>
      <c r="V2626" t="s">
        <v>288</v>
      </c>
      <c r="W2626" t="s">
        <v>289</v>
      </c>
      <c r="X2626" t="s">
        <v>290</v>
      </c>
      <c r="Y2626" t="s">
        <v>104</v>
      </c>
    </row>
    <row r="2627" spans="1:25">
      <c r="A2627">
        <v>10164</v>
      </c>
      <c r="B2627">
        <v>39</v>
      </c>
      <c r="C2627">
        <v>81.93</v>
      </c>
      <c r="D2627">
        <v>4</v>
      </c>
      <c r="E2627">
        <v>3195.27</v>
      </c>
      <c r="F2627" t="s">
        <v>525</v>
      </c>
      <c r="G2627" t="s">
        <v>526</v>
      </c>
      <c r="H2627">
        <v>4</v>
      </c>
      <c r="I2627">
        <v>10</v>
      </c>
      <c r="J2627">
        <v>2003</v>
      </c>
      <c r="K2627" t="s">
        <v>265</v>
      </c>
      <c r="L2627">
        <v>101</v>
      </c>
      <c r="M2627" t="s">
        <v>861</v>
      </c>
      <c r="N2627" t="s">
        <v>527</v>
      </c>
      <c r="O2627" t="s">
        <v>528</v>
      </c>
      <c r="P2627" t="s">
        <v>529</v>
      </c>
      <c r="R2627" t="s">
        <v>530</v>
      </c>
      <c r="T2627">
        <v>8010</v>
      </c>
      <c r="U2627" t="s">
        <v>229</v>
      </c>
      <c r="V2627" t="s">
        <v>110</v>
      </c>
      <c r="W2627" t="s">
        <v>531</v>
      </c>
      <c r="X2627" t="s">
        <v>532</v>
      </c>
      <c r="Y2627" t="s">
        <v>119</v>
      </c>
    </row>
    <row r="2628" spans="1:25">
      <c r="A2628">
        <v>10175</v>
      </c>
      <c r="B2628">
        <v>42</v>
      </c>
      <c r="C2628">
        <v>85.98</v>
      </c>
      <c r="D2628">
        <v>11</v>
      </c>
      <c r="E2628">
        <v>3611.16</v>
      </c>
      <c r="F2628" s="4">
        <v>37783</v>
      </c>
      <c r="G2628" t="s">
        <v>93</v>
      </c>
      <c r="H2628">
        <v>4</v>
      </c>
      <c r="I2628">
        <v>11</v>
      </c>
      <c r="J2628">
        <v>2003</v>
      </c>
      <c r="K2628" t="s">
        <v>265</v>
      </c>
      <c r="L2628">
        <v>101</v>
      </c>
      <c r="M2628" t="s">
        <v>861</v>
      </c>
      <c r="N2628" t="s">
        <v>433</v>
      </c>
      <c r="O2628" t="s">
        <v>434</v>
      </c>
      <c r="P2628" t="s">
        <v>435</v>
      </c>
      <c r="R2628" t="s">
        <v>436</v>
      </c>
      <c r="T2628" t="s">
        <v>437</v>
      </c>
      <c r="U2628" t="s">
        <v>252</v>
      </c>
      <c r="V2628" t="s">
        <v>110</v>
      </c>
      <c r="W2628" t="s">
        <v>130</v>
      </c>
      <c r="X2628" t="s">
        <v>438</v>
      </c>
      <c r="Y2628" t="s">
        <v>119</v>
      </c>
    </row>
    <row r="2629" spans="1:25">
      <c r="A2629">
        <v>10183</v>
      </c>
      <c r="B2629">
        <v>23</v>
      </c>
      <c r="C2629">
        <v>86.99</v>
      </c>
      <c r="D2629">
        <v>3</v>
      </c>
      <c r="E2629">
        <v>2000.77</v>
      </c>
      <c r="F2629" t="s">
        <v>303</v>
      </c>
      <c r="G2629" t="s">
        <v>93</v>
      </c>
      <c r="H2629">
        <v>4</v>
      </c>
      <c r="I2629">
        <v>11</v>
      </c>
      <c r="J2629">
        <v>2003</v>
      </c>
      <c r="K2629" t="s">
        <v>265</v>
      </c>
      <c r="L2629">
        <v>101</v>
      </c>
      <c r="M2629" t="s">
        <v>861</v>
      </c>
      <c r="N2629" t="s">
        <v>304</v>
      </c>
      <c r="O2629">
        <v>2155554695</v>
      </c>
      <c r="P2629" t="s">
        <v>305</v>
      </c>
      <c r="R2629" t="s">
        <v>306</v>
      </c>
      <c r="S2629" t="s">
        <v>221</v>
      </c>
      <c r="T2629">
        <v>71270</v>
      </c>
      <c r="U2629" t="s">
        <v>100</v>
      </c>
      <c r="V2629" t="s">
        <v>101</v>
      </c>
      <c r="W2629" t="s">
        <v>307</v>
      </c>
      <c r="X2629" t="s">
        <v>308</v>
      </c>
      <c r="Y2629" t="s">
        <v>104</v>
      </c>
    </row>
    <row r="2630" spans="1:25">
      <c r="A2630">
        <v>10194</v>
      </c>
      <c r="B2630">
        <v>26</v>
      </c>
      <c r="C2630">
        <v>89.01</v>
      </c>
      <c r="D2630">
        <v>6</v>
      </c>
      <c r="E2630">
        <v>2314.2600000000002</v>
      </c>
      <c r="F2630" t="s">
        <v>309</v>
      </c>
      <c r="G2630" t="s">
        <v>93</v>
      </c>
      <c r="H2630">
        <v>4</v>
      </c>
      <c r="I2630">
        <v>11</v>
      </c>
      <c r="J2630">
        <v>2003</v>
      </c>
      <c r="K2630" t="s">
        <v>265</v>
      </c>
      <c r="L2630">
        <v>101</v>
      </c>
      <c r="M2630" t="s">
        <v>861</v>
      </c>
      <c r="N2630" t="s">
        <v>310</v>
      </c>
      <c r="O2630" t="s">
        <v>311</v>
      </c>
      <c r="P2630" t="s">
        <v>312</v>
      </c>
      <c r="R2630" t="s">
        <v>313</v>
      </c>
      <c r="T2630">
        <v>69004</v>
      </c>
      <c r="U2630" t="s">
        <v>109</v>
      </c>
      <c r="V2630" t="s">
        <v>110</v>
      </c>
      <c r="W2630" t="s">
        <v>314</v>
      </c>
      <c r="X2630" t="s">
        <v>315</v>
      </c>
      <c r="Y2630" t="s">
        <v>104</v>
      </c>
    </row>
    <row r="2631" spans="1:25">
      <c r="A2631">
        <v>10206</v>
      </c>
      <c r="B2631">
        <v>33</v>
      </c>
      <c r="C2631">
        <v>100</v>
      </c>
      <c r="D2631">
        <v>1</v>
      </c>
      <c r="E2631">
        <v>3871.89</v>
      </c>
      <c r="F2631" s="4">
        <v>37753</v>
      </c>
      <c r="G2631" t="s">
        <v>93</v>
      </c>
      <c r="H2631">
        <v>4</v>
      </c>
      <c r="I2631">
        <v>12</v>
      </c>
      <c r="J2631">
        <v>2003</v>
      </c>
      <c r="K2631" t="s">
        <v>265</v>
      </c>
      <c r="L2631">
        <v>101</v>
      </c>
      <c r="M2631" t="s">
        <v>861</v>
      </c>
      <c r="N2631" t="s">
        <v>316</v>
      </c>
      <c r="O2631" t="s">
        <v>317</v>
      </c>
      <c r="P2631" t="s">
        <v>318</v>
      </c>
      <c r="R2631" t="s">
        <v>319</v>
      </c>
      <c r="S2631" t="s">
        <v>320</v>
      </c>
      <c r="T2631" t="s">
        <v>321</v>
      </c>
      <c r="U2631" t="s">
        <v>322</v>
      </c>
      <c r="V2631" t="s">
        <v>101</v>
      </c>
      <c r="W2631" t="s">
        <v>323</v>
      </c>
      <c r="X2631" t="s">
        <v>324</v>
      </c>
      <c r="Y2631" t="s">
        <v>119</v>
      </c>
    </row>
    <row r="2632" spans="1:25">
      <c r="A2632">
        <v>10217</v>
      </c>
      <c r="B2632">
        <v>31</v>
      </c>
      <c r="C2632">
        <v>88</v>
      </c>
      <c r="D2632">
        <v>6</v>
      </c>
      <c r="E2632">
        <v>2728</v>
      </c>
      <c r="F2632" s="4">
        <v>38079</v>
      </c>
      <c r="G2632" t="s">
        <v>93</v>
      </c>
      <c r="H2632">
        <v>1</v>
      </c>
      <c r="I2632">
        <v>2</v>
      </c>
      <c r="J2632">
        <v>2004</v>
      </c>
      <c r="K2632" t="s">
        <v>265</v>
      </c>
      <c r="L2632">
        <v>101</v>
      </c>
      <c r="M2632" t="s">
        <v>861</v>
      </c>
      <c r="N2632" t="s">
        <v>536</v>
      </c>
      <c r="O2632" t="s">
        <v>537</v>
      </c>
      <c r="P2632" t="s">
        <v>538</v>
      </c>
      <c r="Q2632" t="s">
        <v>539</v>
      </c>
      <c r="R2632" t="s">
        <v>287</v>
      </c>
      <c r="T2632">
        <v>69045</v>
      </c>
      <c r="U2632" t="s">
        <v>287</v>
      </c>
      <c r="V2632" t="s">
        <v>169</v>
      </c>
      <c r="W2632" t="s">
        <v>540</v>
      </c>
      <c r="X2632" t="s">
        <v>541</v>
      </c>
      <c r="Y2632" t="s">
        <v>104</v>
      </c>
    </row>
    <row r="2633" spans="1:25">
      <c r="A2633">
        <v>10229</v>
      </c>
      <c r="B2633">
        <v>50</v>
      </c>
      <c r="C2633">
        <v>100</v>
      </c>
      <c r="D2633">
        <v>11</v>
      </c>
      <c r="E2633">
        <v>5614</v>
      </c>
      <c r="F2633" s="4">
        <v>38294</v>
      </c>
      <c r="G2633" t="s">
        <v>93</v>
      </c>
      <c r="H2633">
        <v>1</v>
      </c>
      <c r="I2633">
        <v>3</v>
      </c>
      <c r="J2633">
        <v>2004</v>
      </c>
      <c r="K2633" t="s">
        <v>265</v>
      </c>
      <c r="L2633">
        <v>101</v>
      </c>
      <c r="M2633" t="s">
        <v>861</v>
      </c>
      <c r="N2633" t="s">
        <v>367</v>
      </c>
      <c r="O2633">
        <v>4155551450</v>
      </c>
      <c r="P2633" t="s">
        <v>368</v>
      </c>
      <c r="R2633" t="s">
        <v>369</v>
      </c>
      <c r="S2633" t="s">
        <v>124</v>
      </c>
      <c r="T2633">
        <v>97562</v>
      </c>
      <c r="U2633" t="s">
        <v>100</v>
      </c>
      <c r="V2633" t="s">
        <v>101</v>
      </c>
      <c r="W2633" t="s">
        <v>370</v>
      </c>
      <c r="X2633" t="s">
        <v>371</v>
      </c>
      <c r="Y2633" t="s">
        <v>119</v>
      </c>
    </row>
    <row r="2634" spans="1:25">
      <c r="A2634">
        <v>10245</v>
      </c>
      <c r="B2634">
        <v>44</v>
      </c>
      <c r="C2634">
        <v>100</v>
      </c>
      <c r="D2634">
        <v>4</v>
      </c>
      <c r="E2634">
        <v>4628.8</v>
      </c>
      <c r="F2634" s="4">
        <v>38082</v>
      </c>
      <c r="G2634" t="s">
        <v>93</v>
      </c>
      <c r="H2634">
        <v>2</v>
      </c>
      <c r="I2634">
        <v>5</v>
      </c>
      <c r="J2634">
        <v>2004</v>
      </c>
      <c r="K2634" t="s">
        <v>265</v>
      </c>
      <c r="L2634">
        <v>101</v>
      </c>
      <c r="M2634" t="s">
        <v>861</v>
      </c>
      <c r="N2634" t="s">
        <v>333</v>
      </c>
      <c r="O2634">
        <v>2035559545</v>
      </c>
      <c r="P2634" t="s">
        <v>334</v>
      </c>
      <c r="R2634" t="s">
        <v>335</v>
      </c>
      <c r="S2634" t="s">
        <v>187</v>
      </c>
      <c r="T2634">
        <v>97823</v>
      </c>
      <c r="U2634" t="s">
        <v>100</v>
      </c>
      <c r="V2634" t="s">
        <v>101</v>
      </c>
      <c r="W2634" t="s">
        <v>154</v>
      </c>
      <c r="X2634" t="s">
        <v>336</v>
      </c>
      <c r="Y2634" t="s">
        <v>119</v>
      </c>
    </row>
    <row r="2635" spans="1:25">
      <c r="A2635">
        <v>10258</v>
      </c>
      <c r="B2635">
        <v>45</v>
      </c>
      <c r="C2635">
        <v>80.92</v>
      </c>
      <c r="D2635">
        <v>1</v>
      </c>
      <c r="E2635">
        <v>3641.4</v>
      </c>
      <c r="F2635" t="s">
        <v>337</v>
      </c>
      <c r="G2635" t="s">
        <v>93</v>
      </c>
      <c r="H2635">
        <v>2</v>
      </c>
      <c r="I2635">
        <v>6</v>
      </c>
      <c r="J2635">
        <v>2004</v>
      </c>
      <c r="K2635" t="s">
        <v>265</v>
      </c>
      <c r="L2635">
        <v>101</v>
      </c>
      <c r="M2635" t="s">
        <v>861</v>
      </c>
      <c r="N2635" t="s">
        <v>338</v>
      </c>
      <c r="O2635" t="s">
        <v>339</v>
      </c>
      <c r="P2635" t="s">
        <v>340</v>
      </c>
      <c r="R2635" t="s">
        <v>341</v>
      </c>
      <c r="S2635" t="s">
        <v>342</v>
      </c>
      <c r="T2635" t="s">
        <v>343</v>
      </c>
      <c r="U2635" t="s">
        <v>288</v>
      </c>
      <c r="V2635" t="s">
        <v>288</v>
      </c>
      <c r="W2635" t="s">
        <v>344</v>
      </c>
      <c r="X2635" t="s">
        <v>345</v>
      </c>
      <c r="Y2635" t="s">
        <v>119</v>
      </c>
    </row>
    <row r="2636" spans="1:25">
      <c r="A2636">
        <v>10270</v>
      </c>
      <c r="B2636">
        <v>46</v>
      </c>
      <c r="C2636">
        <v>88</v>
      </c>
      <c r="D2636">
        <v>4</v>
      </c>
      <c r="E2636">
        <v>4048</v>
      </c>
      <c r="F2636" t="s">
        <v>346</v>
      </c>
      <c r="G2636" t="s">
        <v>93</v>
      </c>
      <c r="H2636">
        <v>3</v>
      </c>
      <c r="I2636">
        <v>7</v>
      </c>
      <c r="J2636">
        <v>2004</v>
      </c>
      <c r="K2636" t="s">
        <v>265</v>
      </c>
      <c r="L2636">
        <v>101</v>
      </c>
      <c r="M2636" t="s">
        <v>861</v>
      </c>
      <c r="N2636" t="s">
        <v>234</v>
      </c>
      <c r="O2636" t="s">
        <v>235</v>
      </c>
      <c r="P2636" t="s">
        <v>236</v>
      </c>
      <c r="Q2636" t="s">
        <v>237</v>
      </c>
      <c r="R2636" t="s">
        <v>238</v>
      </c>
      <c r="S2636" t="s">
        <v>239</v>
      </c>
      <c r="T2636">
        <v>2067</v>
      </c>
      <c r="U2636" t="s">
        <v>168</v>
      </c>
      <c r="V2636" t="s">
        <v>169</v>
      </c>
      <c r="W2636" t="s">
        <v>240</v>
      </c>
      <c r="X2636" t="s">
        <v>241</v>
      </c>
      <c r="Y2636" t="s">
        <v>119</v>
      </c>
    </row>
    <row r="2637" spans="1:25">
      <c r="A2637">
        <v>10281</v>
      </c>
      <c r="B2637">
        <v>27</v>
      </c>
      <c r="C2637">
        <v>85.98</v>
      </c>
      <c r="D2637">
        <v>11</v>
      </c>
      <c r="E2637">
        <v>2321.46</v>
      </c>
      <c r="F2637" t="s">
        <v>542</v>
      </c>
      <c r="G2637" t="s">
        <v>93</v>
      </c>
      <c r="H2637">
        <v>3</v>
      </c>
      <c r="I2637">
        <v>8</v>
      </c>
      <c r="J2637">
        <v>2004</v>
      </c>
      <c r="K2637" t="s">
        <v>265</v>
      </c>
      <c r="L2637">
        <v>101</v>
      </c>
      <c r="M2637" t="s">
        <v>861</v>
      </c>
      <c r="N2637" t="s">
        <v>218</v>
      </c>
      <c r="O2637">
        <v>2155551555</v>
      </c>
      <c r="P2637" t="s">
        <v>219</v>
      </c>
      <c r="R2637" t="s">
        <v>220</v>
      </c>
      <c r="S2637" t="s">
        <v>221</v>
      </c>
      <c r="T2637">
        <v>70267</v>
      </c>
      <c r="U2637" t="s">
        <v>100</v>
      </c>
      <c r="V2637" t="s">
        <v>101</v>
      </c>
      <c r="W2637" t="s">
        <v>102</v>
      </c>
      <c r="X2637" t="s">
        <v>222</v>
      </c>
      <c r="Y2637" t="s">
        <v>104</v>
      </c>
    </row>
    <row r="2638" spans="1:25">
      <c r="A2638">
        <v>10291</v>
      </c>
      <c r="B2638">
        <v>28</v>
      </c>
      <c r="C2638">
        <v>100</v>
      </c>
      <c r="D2638">
        <v>6</v>
      </c>
      <c r="E2638">
        <v>3256.96</v>
      </c>
      <c r="F2638" s="4">
        <v>38208</v>
      </c>
      <c r="G2638" t="s">
        <v>93</v>
      </c>
      <c r="H2638">
        <v>3</v>
      </c>
      <c r="I2638">
        <v>9</v>
      </c>
      <c r="J2638">
        <v>2004</v>
      </c>
      <c r="K2638" t="s">
        <v>265</v>
      </c>
      <c r="L2638">
        <v>101</v>
      </c>
      <c r="M2638" t="s">
        <v>861</v>
      </c>
      <c r="N2638" t="s">
        <v>355</v>
      </c>
      <c r="O2638" t="s">
        <v>356</v>
      </c>
      <c r="P2638" t="s">
        <v>357</v>
      </c>
      <c r="R2638" t="s">
        <v>358</v>
      </c>
      <c r="T2638" t="s">
        <v>359</v>
      </c>
      <c r="U2638" t="s">
        <v>273</v>
      </c>
      <c r="V2638" t="s">
        <v>110</v>
      </c>
      <c r="W2638" t="s">
        <v>360</v>
      </c>
      <c r="X2638" t="s">
        <v>295</v>
      </c>
      <c r="Y2638" t="s">
        <v>119</v>
      </c>
    </row>
    <row r="2639" spans="1:25">
      <c r="A2639">
        <v>10304</v>
      </c>
      <c r="B2639">
        <v>40</v>
      </c>
      <c r="C2639">
        <v>100</v>
      </c>
      <c r="D2639">
        <v>1</v>
      </c>
      <c r="E2639">
        <v>4208</v>
      </c>
      <c r="F2639" s="4">
        <v>38301</v>
      </c>
      <c r="G2639" t="s">
        <v>93</v>
      </c>
      <c r="H2639">
        <v>4</v>
      </c>
      <c r="I2639">
        <v>10</v>
      </c>
      <c r="J2639">
        <v>2004</v>
      </c>
      <c r="K2639" t="s">
        <v>265</v>
      </c>
      <c r="L2639">
        <v>101</v>
      </c>
      <c r="M2639" t="s">
        <v>861</v>
      </c>
      <c r="N2639" t="s">
        <v>361</v>
      </c>
      <c r="O2639" t="s">
        <v>362</v>
      </c>
      <c r="P2639" t="s">
        <v>363</v>
      </c>
      <c r="R2639" t="s">
        <v>364</v>
      </c>
      <c r="T2639">
        <v>78000</v>
      </c>
      <c r="U2639" t="s">
        <v>109</v>
      </c>
      <c r="V2639" t="s">
        <v>110</v>
      </c>
      <c r="W2639" t="s">
        <v>365</v>
      </c>
      <c r="X2639" t="s">
        <v>118</v>
      </c>
      <c r="Y2639" t="s">
        <v>119</v>
      </c>
    </row>
    <row r="2640" spans="1:25">
      <c r="A2640">
        <v>10313</v>
      </c>
      <c r="B2640">
        <v>30</v>
      </c>
      <c r="C2640">
        <v>99.13</v>
      </c>
      <c r="D2640">
        <v>9</v>
      </c>
      <c r="E2640">
        <v>2973.9</v>
      </c>
      <c r="F2640" t="s">
        <v>544</v>
      </c>
      <c r="G2640" t="s">
        <v>93</v>
      </c>
      <c r="H2640">
        <v>4</v>
      </c>
      <c r="I2640">
        <v>10</v>
      </c>
      <c r="J2640">
        <v>2004</v>
      </c>
      <c r="K2640" t="s">
        <v>265</v>
      </c>
      <c r="L2640">
        <v>101</v>
      </c>
      <c r="M2640" t="s">
        <v>861</v>
      </c>
      <c r="N2640" t="s">
        <v>316</v>
      </c>
      <c r="O2640" t="s">
        <v>317</v>
      </c>
      <c r="P2640" t="s">
        <v>318</v>
      </c>
      <c r="R2640" t="s">
        <v>319</v>
      </c>
      <c r="S2640" t="s">
        <v>320</v>
      </c>
      <c r="T2640" t="s">
        <v>321</v>
      </c>
      <c r="U2640" t="s">
        <v>322</v>
      </c>
      <c r="V2640" t="s">
        <v>101</v>
      </c>
      <c r="W2640" t="s">
        <v>323</v>
      </c>
      <c r="X2640" t="s">
        <v>324</v>
      </c>
      <c r="Y2640" t="s">
        <v>104</v>
      </c>
    </row>
    <row r="2641" spans="1:25">
      <c r="A2641">
        <v>10324</v>
      </c>
      <c r="B2641">
        <v>34</v>
      </c>
      <c r="C2641">
        <v>100</v>
      </c>
      <c r="D2641">
        <v>5</v>
      </c>
      <c r="E2641">
        <v>4248.3</v>
      </c>
      <c r="F2641" s="4">
        <v>38118</v>
      </c>
      <c r="G2641" t="s">
        <v>93</v>
      </c>
      <c r="H2641">
        <v>4</v>
      </c>
      <c r="I2641">
        <v>11</v>
      </c>
      <c r="J2641">
        <v>2004</v>
      </c>
      <c r="K2641" t="s">
        <v>265</v>
      </c>
      <c r="L2641">
        <v>101</v>
      </c>
      <c r="M2641" t="s">
        <v>861</v>
      </c>
      <c r="N2641" t="s">
        <v>172</v>
      </c>
      <c r="O2641">
        <v>2125551500</v>
      </c>
      <c r="P2641" t="s">
        <v>173</v>
      </c>
      <c r="Q2641" t="s">
        <v>174</v>
      </c>
      <c r="R2641" t="s">
        <v>98</v>
      </c>
      <c r="S2641" t="s">
        <v>99</v>
      </c>
      <c r="T2641">
        <v>10022</v>
      </c>
      <c r="U2641" t="s">
        <v>100</v>
      </c>
      <c r="V2641" t="s">
        <v>101</v>
      </c>
      <c r="W2641" t="s">
        <v>175</v>
      </c>
      <c r="X2641" t="s">
        <v>176</v>
      </c>
      <c r="Y2641" t="s">
        <v>119</v>
      </c>
    </row>
    <row r="2642" spans="1:25">
      <c r="A2642">
        <v>10336</v>
      </c>
      <c r="B2642">
        <v>46</v>
      </c>
      <c r="C2642">
        <v>100</v>
      </c>
      <c r="D2642">
        <v>2</v>
      </c>
      <c r="E2642">
        <v>9558.7999999999993</v>
      </c>
      <c r="F2642" t="s">
        <v>636</v>
      </c>
      <c r="G2642" t="s">
        <v>93</v>
      </c>
      <c r="H2642">
        <v>4</v>
      </c>
      <c r="I2642">
        <v>11</v>
      </c>
      <c r="J2642">
        <v>2004</v>
      </c>
      <c r="K2642" t="s">
        <v>265</v>
      </c>
      <c r="L2642">
        <v>101</v>
      </c>
      <c r="M2642" t="s">
        <v>861</v>
      </c>
      <c r="N2642" t="s">
        <v>520</v>
      </c>
      <c r="O2642" t="s">
        <v>521</v>
      </c>
      <c r="P2642" t="s">
        <v>522</v>
      </c>
      <c r="R2642" t="s">
        <v>116</v>
      </c>
      <c r="T2642">
        <v>75012</v>
      </c>
      <c r="U2642" t="s">
        <v>109</v>
      </c>
      <c r="V2642" t="s">
        <v>110</v>
      </c>
      <c r="W2642" t="s">
        <v>523</v>
      </c>
      <c r="X2642" t="s">
        <v>524</v>
      </c>
      <c r="Y2642" t="s">
        <v>232</v>
      </c>
    </row>
    <row r="2643" spans="1:25">
      <c r="A2643">
        <v>10348</v>
      </c>
      <c r="B2643">
        <v>32</v>
      </c>
      <c r="C2643">
        <v>82.83</v>
      </c>
      <c r="D2643">
        <v>7</v>
      </c>
      <c r="E2643">
        <v>2650.56</v>
      </c>
      <c r="F2643" s="4">
        <v>37997</v>
      </c>
      <c r="G2643" t="s">
        <v>93</v>
      </c>
      <c r="H2643">
        <v>4</v>
      </c>
      <c r="I2643">
        <v>11</v>
      </c>
      <c r="J2643">
        <v>2004</v>
      </c>
      <c r="K2643" t="s">
        <v>265</v>
      </c>
      <c r="L2643">
        <v>101</v>
      </c>
      <c r="M2643" t="s">
        <v>861</v>
      </c>
      <c r="N2643" t="s">
        <v>277</v>
      </c>
      <c r="O2643" t="s">
        <v>278</v>
      </c>
      <c r="P2643" t="s">
        <v>279</v>
      </c>
      <c r="R2643" t="s">
        <v>260</v>
      </c>
      <c r="T2643">
        <v>28023</v>
      </c>
      <c r="U2643" t="s">
        <v>261</v>
      </c>
      <c r="V2643" t="s">
        <v>110</v>
      </c>
      <c r="W2643" t="s">
        <v>280</v>
      </c>
      <c r="X2643" t="s">
        <v>281</v>
      </c>
      <c r="Y2643" t="s">
        <v>104</v>
      </c>
    </row>
    <row r="2644" spans="1:25">
      <c r="A2644">
        <v>10358</v>
      </c>
      <c r="B2644">
        <v>27</v>
      </c>
      <c r="C2644">
        <v>100</v>
      </c>
      <c r="D2644">
        <v>3</v>
      </c>
      <c r="E2644">
        <v>3761.37</v>
      </c>
      <c r="F2644" s="4">
        <v>38272</v>
      </c>
      <c r="G2644" t="s">
        <v>93</v>
      </c>
      <c r="H2644">
        <v>4</v>
      </c>
      <c r="I2644">
        <v>12</v>
      </c>
      <c r="J2644">
        <v>2004</v>
      </c>
      <c r="K2644" t="s">
        <v>265</v>
      </c>
      <c r="L2644">
        <v>101</v>
      </c>
      <c r="M2644" t="s">
        <v>861</v>
      </c>
      <c r="N2644" t="s">
        <v>257</v>
      </c>
      <c r="O2644" t="s">
        <v>258</v>
      </c>
      <c r="P2644" t="s">
        <v>259</v>
      </c>
      <c r="R2644" t="s">
        <v>260</v>
      </c>
      <c r="T2644">
        <v>28034</v>
      </c>
      <c r="U2644" t="s">
        <v>261</v>
      </c>
      <c r="V2644" t="s">
        <v>110</v>
      </c>
      <c r="W2644" t="s">
        <v>262</v>
      </c>
      <c r="X2644" t="s">
        <v>263</v>
      </c>
      <c r="Y2644" t="s">
        <v>119</v>
      </c>
    </row>
    <row r="2645" spans="1:25">
      <c r="A2645">
        <v>10371</v>
      </c>
      <c r="B2645">
        <v>34</v>
      </c>
      <c r="C2645">
        <v>100</v>
      </c>
      <c r="D2645">
        <v>3</v>
      </c>
      <c r="E2645">
        <v>4301.34</v>
      </c>
      <c r="F2645" t="s">
        <v>637</v>
      </c>
      <c r="G2645" t="s">
        <v>93</v>
      </c>
      <c r="H2645">
        <v>1</v>
      </c>
      <c r="I2645">
        <v>1</v>
      </c>
      <c r="J2645">
        <v>2005</v>
      </c>
      <c r="K2645" t="s">
        <v>265</v>
      </c>
      <c r="L2645">
        <v>101</v>
      </c>
      <c r="M2645" t="s">
        <v>861</v>
      </c>
      <c r="N2645" t="s">
        <v>367</v>
      </c>
      <c r="O2645">
        <v>4155551450</v>
      </c>
      <c r="P2645" t="s">
        <v>368</v>
      </c>
      <c r="R2645" t="s">
        <v>369</v>
      </c>
      <c r="S2645" t="s">
        <v>124</v>
      </c>
      <c r="T2645">
        <v>97562</v>
      </c>
      <c r="U2645" t="s">
        <v>100</v>
      </c>
      <c r="V2645" t="s">
        <v>101</v>
      </c>
      <c r="W2645" t="s">
        <v>370</v>
      </c>
      <c r="X2645" t="s">
        <v>371</v>
      </c>
      <c r="Y2645" t="s">
        <v>119</v>
      </c>
    </row>
    <row r="2646" spans="1:25">
      <c r="A2646">
        <v>10382</v>
      </c>
      <c r="B2646">
        <v>34</v>
      </c>
      <c r="C2646">
        <v>54.84</v>
      </c>
      <c r="D2646">
        <v>9</v>
      </c>
      <c r="E2646">
        <v>1864.56</v>
      </c>
      <c r="F2646" t="s">
        <v>383</v>
      </c>
      <c r="G2646" t="s">
        <v>93</v>
      </c>
      <c r="H2646">
        <v>1</v>
      </c>
      <c r="I2646">
        <v>2</v>
      </c>
      <c r="J2646">
        <v>2005</v>
      </c>
      <c r="K2646" t="s">
        <v>265</v>
      </c>
      <c r="L2646">
        <v>101</v>
      </c>
      <c r="M2646" t="s">
        <v>861</v>
      </c>
      <c r="N2646" t="s">
        <v>367</v>
      </c>
      <c r="O2646">
        <v>4155551450</v>
      </c>
      <c r="P2646" t="s">
        <v>368</v>
      </c>
      <c r="R2646" t="s">
        <v>369</v>
      </c>
      <c r="S2646" t="s">
        <v>124</v>
      </c>
      <c r="T2646">
        <v>97562</v>
      </c>
      <c r="U2646" t="s">
        <v>100</v>
      </c>
      <c r="V2646" t="s">
        <v>101</v>
      </c>
      <c r="W2646" t="s">
        <v>370</v>
      </c>
      <c r="X2646" t="s">
        <v>371</v>
      </c>
      <c r="Y2646" t="s">
        <v>104</v>
      </c>
    </row>
    <row r="2647" spans="1:25">
      <c r="A2647">
        <v>10411</v>
      </c>
      <c r="B2647">
        <v>34</v>
      </c>
      <c r="C2647">
        <v>100</v>
      </c>
      <c r="D2647">
        <v>4</v>
      </c>
      <c r="E2647">
        <v>3576.8</v>
      </c>
      <c r="F2647" s="4">
        <v>38357</v>
      </c>
      <c r="G2647" t="s">
        <v>93</v>
      </c>
      <c r="H2647">
        <v>2</v>
      </c>
      <c r="I2647">
        <v>5</v>
      </c>
      <c r="J2647">
        <v>2005</v>
      </c>
      <c r="K2647" t="s">
        <v>265</v>
      </c>
      <c r="L2647">
        <v>101</v>
      </c>
      <c r="M2647" t="s">
        <v>861</v>
      </c>
      <c r="N2647" t="s">
        <v>391</v>
      </c>
      <c r="O2647" t="s">
        <v>392</v>
      </c>
      <c r="P2647" t="s">
        <v>393</v>
      </c>
      <c r="R2647" t="s">
        <v>394</v>
      </c>
      <c r="S2647" t="s">
        <v>395</v>
      </c>
      <c r="T2647" t="s">
        <v>396</v>
      </c>
      <c r="U2647" t="s">
        <v>322</v>
      </c>
      <c r="V2647" t="s">
        <v>101</v>
      </c>
      <c r="W2647" t="s">
        <v>397</v>
      </c>
      <c r="X2647" t="s">
        <v>398</v>
      </c>
      <c r="Y2647" t="s">
        <v>119</v>
      </c>
    </row>
    <row r="2648" spans="1:25">
      <c r="A2648">
        <v>10424</v>
      </c>
      <c r="B2648">
        <v>46</v>
      </c>
      <c r="C2648">
        <v>80.92</v>
      </c>
      <c r="D2648">
        <v>1</v>
      </c>
      <c r="E2648">
        <v>3722.32</v>
      </c>
      <c r="F2648" t="s">
        <v>399</v>
      </c>
      <c r="G2648" t="s">
        <v>400</v>
      </c>
      <c r="H2648">
        <v>2</v>
      </c>
      <c r="I2648">
        <v>5</v>
      </c>
      <c r="J2648">
        <v>2005</v>
      </c>
      <c r="K2648" t="s">
        <v>265</v>
      </c>
      <c r="L2648">
        <v>101</v>
      </c>
      <c r="M2648" t="s">
        <v>861</v>
      </c>
      <c r="N2648" t="s">
        <v>257</v>
      </c>
      <c r="O2648" t="s">
        <v>258</v>
      </c>
      <c r="P2648" t="s">
        <v>259</v>
      </c>
      <c r="R2648" t="s">
        <v>260</v>
      </c>
      <c r="T2648">
        <v>28034</v>
      </c>
      <c r="U2648" t="s">
        <v>261</v>
      </c>
      <c r="V2648" t="s">
        <v>110</v>
      </c>
      <c r="W2648" t="s">
        <v>262</v>
      </c>
      <c r="X2648" t="s">
        <v>263</v>
      </c>
      <c r="Y2648" t="s">
        <v>119</v>
      </c>
    </row>
    <row r="2649" spans="1:25">
      <c r="A2649">
        <v>10106</v>
      </c>
      <c r="B2649">
        <v>32</v>
      </c>
      <c r="C2649">
        <v>100</v>
      </c>
      <c r="D2649">
        <v>1</v>
      </c>
      <c r="E2649">
        <v>3986.56</v>
      </c>
      <c r="F2649" t="s">
        <v>725</v>
      </c>
      <c r="G2649" t="s">
        <v>93</v>
      </c>
      <c r="H2649">
        <v>1</v>
      </c>
      <c r="I2649">
        <v>2</v>
      </c>
      <c r="J2649">
        <v>2003</v>
      </c>
      <c r="K2649" t="s">
        <v>726</v>
      </c>
      <c r="L2649">
        <v>118</v>
      </c>
      <c r="M2649" t="s">
        <v>862</v>
      </c>
      <c r="N2649" t="s">
        <v>703</v>
      </c>
      <c r="O2649" t="s">
        <v>704</v>
      </c>
      <c r="P2649" t="s">
        <v>705</v>
      </c>
      <c r="R2649" t="s">
        <v>706</v>
      </c>
      <c r="T2649">
        <v>24100</v>
      </c>
      <c r="U2649" t="s">
        <v>352</v>
      </c>
      <c r="V2649" t="s">
        <v>110</v>
      </c>
      <c r="W2649" t="s">
        <v>707</v>
      </c>
      <c r="X2649" t="s">
        <v>708</v>
      </c>
      <c r="Y2649" t="s">
        <v>119</v>
      </c>
    </row>
    <row r="2650" spans="1:25">
      <c r="A2650">
        <v>10120</v>
      </c>
      <c r="B2650">
        <v>24</v>
      </c>
      <c r="C2650">
        <v>100</v>
      </c>
      <c r="D2650">
        <v>7</v>
      </c>
      <c r="E2650">
        <v>3417.12</v>
      </c>
      <c r="F2650" t="s">
        <v>402</v>
      </c>
      <c r="G2650" t="s">
        <v>93</v>
      </c>
      <c r="H2650">
        <v>2</v>
      </c>
      <c r="I2650">
        <v>4</v>
      </c>
      <c r="J2650">
        <v>2003</v>
      </c>
      <c r="K2650" t="s">
        <v>726</v>
      </c>
      <c r="L2650">
        <v>118</v>
      </c>
      <c r="M2650" t="s">
        <v>862</v>
      </c>
      <c r="N2650" t="s">
        <v>162</v>
      </c>
      <c r="O2650" t="s">
        <v>163</v>
      </c>
      <c r="P2650" t="s">
        <v>164</v>
      </c>
      <c r="Q2650" t="s">
        <v>165</v>
      </c>
      <c r="R2650" t="s">
        <v>166</v>
      </c>
      <c r="S2650" t="s">
        <v>167</v>
      </c>
      <c r="T2650">
        <v>3004</v>
      </c>
      <c r="U2650" t="s">
        <v>168</v>
      </c>
      <c r="V2650" t="s">
        <v>169</v>
      </c>
      <c r="W2650" t="s">
        <v>170</v>
      </c>
      <c r="X2650" t="s">
        <v>171</v>
      </c>
      <c r="Y2650" t="s">
        <v>119</v>
      </c>
    </row>
    <row r="2651" spans="1:25">
      <c r="A2651">
        <v>10133</v>
      </c>
      <c r="B2651">
        <v>27</v>
      </c>
      <c r="C2651">
        <v>99.67</v>
      </c>
      <c r="D2651">
        <v>2</v>
      </c>
      <c r="E2651">
        <v>2691.09</v>
      </c>
      <c r="F2651" t="s">
        <v>766</v>
      </c>
      <c r="G2651" t="s">
        <v>93</v>
      </c>
      <c r="H2651">
        <v>2</v>
      </c>
      <c r="I2651">
        <v>6</v>
      </c>
      <c r="J2651">
        <v>2003</v>
      </c>
      <c r="K2651" t="s">
        <v>726</v>
      </c>
      <c r="L2651">
        <v>118</v>
      </c>
      <c r="M2651" t="s">
        <v>862</v>
      </c>
      <c r="N2651" t="s">
        <v>257</v>
      </c>
      <c r="O2651" t="s">
        <v>258</v>
      </c>
      <c r="P2651" t="s">
        <v>259</v>
      </c>
      <c r="R2651" t="s">
        <v>260</v>
      </c>
      <c r="T2651">
        <v>28034</v>
      </c>
      <c r="U2651" t="s">
        <v>261</v>
      </c>
      <c r="V2651" t="s">
        <v>110</v>
      </c>
      <c r="W2651" t="s">
        <v>262</v>
      </c>
      <c r="X2651" t="s">
        <v>263</v>
      </c>
      <c r="Y2651" t="s">
        <v>104</v>
      </c>
    </row>
    <row r="2652" spans="1:25">
      <c r="A2652">
        <v>10145</v>
      </c>
      <c r="B2652">
        <v>20</v>
      </c>
      <c r="C2652">
        <v>100</v>
      </c>
      <c r="D2652">
        <v>13</v>
      </c>
      <c r="E2652">
        <v>2752.6</v>
      </c>
      <c r="F2652" t="s">
        <v>120</v>
      </c>
      <c r="G2652" t="s">
        <v>93</v>
      </c>
      <c r="H2652">
        <v>3</v>
      </c>
      <c r="I2652">
        <v>8</v>
      </c>
      <c r="J2652">
        <v>2003</v>
      </c>
      <c r="K2652" t="s">
        <v>726</v>
      </c>
      <c r="L2652">
        <v>118</v>
      </c>
      <c r="M2652" t="s">
        <v>862</v>
      </c>
      <c r="N2652" t="s">
        <v>121</v>
      </c>
      <c r="O2652">
        <v>6265557265</v>
      </c>
      <c r="P2652" t="s">
        <v>122</v>
      </c>
      <c r="R2652" t="s">
        <v>123</v>
      </c>
      <c r="S2652" t="s">
        <v>124</v>
      </c>
      <c r="T2652">
        <v>90003</v>
      </c>
      <c r="U2652" t="s">
        <v>100</v>
      </c>
      <c r="V2652" t="s">
        <v>101</v>
      </c>
      <c r="W2652" t="s">
        <v>125</v>
      </c>
      <c r="X2652" t="s">
        <v>126</v>
      </c>
      <c r="Y2652" t="s">
        <v>104</v>
      </c>
    </row>
    <row r="2653" spans="1:25">
      <c r="A2653">
        <v>10168</v>
      </c>
      <c r="B2653">
        <v>36</v>
      </c>
      <c r="C2653">
        <v>100</v>
      </c>
      <c r="D2653">
        <v>8</v>
      </c>
      <c r="E2653">
        <v>4527.72</v>
      </c>
      <c r="F2653" t="s">
        <v>131</v>
      </c>
      <c r="G2653" t="s">
        <v>93</v>
      </c>
      <c r="H2653">
        <v>4</v>
      </c>
      <c r="I2653">
        <v>10</v>
      </c>
      <c r="J2653">
        <v>2003</v>
      </c>
      <c r="K2653" t="s">
        <v>726</v>
      </c>
      <c r="L2653">
        <v>118</v>
      </c>
      <c r="M2653" t="s">
        <v>862</v>
      </c>
      <c r="N2653" t="s">
        <v>132</v>
      </c>
      <c r="O2653">
        <v>6505556809</v>
      </c>
      <c r="P2653" t="s">
        <v>133</v>
      </c>
      <c r="R2653" t="s">
        <v>134</v>
      </c>
      <c r="S2653" t="s">
        <v>124</v>
      </c>
      <c r="T2653">
        <v>94217</v>
      </c>
      <c r="U2653" t="s">
        <v>100</v>
      </c>
      <c r="V2653" t="s">
        <v>101</v>
      </c>
      <c r="W2653" t="s">
        <v>135</v>
      </c>
      <c r="X2653" t="s">
        <v>136</v>
      </c>
      <c r="Y2653" t="s">
        <v>119</v>
      </c>
    </row>
    <row r="2654" spans="1:25">
      <c r="A2654">
        <v>10188</v>
      </c>
      <c r="B2654">
        <v>29</v>
      </c>
      <c r="C2654">
        <v>100</v>
      </c>
      <c r="D2654">
        <v>8</v>
      </c>
      <c r="E2654">
        <v>3957.05</v>
      </c>
      <c r="F2654" t="s">
        <v>143</v>
      </c>
      <c r="G2654" t="s">
        <v>93</v>
      </c>
      <c r="H2654">
        <v>4</v>
      </c>
      <c r="I2654">
        <v>11</v>
      </c>
      <c r="J2654">
        <v>2003</v>
      </c>
      <c r="K2654" t="s">
        <v>726</v>
      </c>
      <c r="L2654">
        <v>118</v>
      </c>
      <c r="M2654" t="s">
        <v>862</v>
      </c>
      <c r="N2654" t="s">
        <v>144</v>
      </c>
      <c r="O2654" t="s">
        <v>145</v>
      </c>
      <c r="P2654" t="s">
        <v>146</v>
      </c>
      <c r="R2654" t="s">
        <v>147</v>
      </c>
      <c r="T2654" t="s">
        <v>148</v>
      </c>
      <c r="U2654" t="s">
        <v>149</v>
      </c>
      <c r="V2654" t="s">
        <v>110</v>
      </c>
      <c r="W2654" t="s">
        <v>150</v>
      </c>
      <c r="X2654" t="s">
        <v>151</v>
      </c>
      <c r="Y2654" t="s">
        <v>119</v>
      </c>
    </row>
    <row r="2655" spans="1:25">
      <c r="A2655">
        <v>10210</v>
      </c>
      <c r="B2655">
        <v>25</v>
      </c>
      <c r="C2655">
        <v>100</v>
      </c>
      <c r="D2655">
        <v>6</v>
      </c>
      <c r="E2655">
        <v>2818</v>
      </c>
      <c r="F2655" s="4">
        <v>38322</v>
      </c>
      <c r="G2655" t="s">
        <v>93</v>
      </c>
      <c r="H2655">
        <v>1</v>
      </c>
      <c r="I2655">
        <v>1</v>
      </c>
      <c r="J2655">
        <v>2004</v>
      </c>
      <c r="K2655" t="s">
        <v>726</v>
      </c>
      <c r="L2655">
        <v>118</v>
      </c>
      <c r="M2655" t="s">
        <v>862</v>
      </c>
      <c r="N2655" t="s">
        <v>403</v>
      </c>
      <c r="O2655" t="s">
        <v>404</v>
      </c>
      <c r="P2655" t="s">
        <v>405</v>
      </c>
      <c r="R2655" t="s">
        <v>406</v>
      </c>
      <c r="S2655" t="s">
        <v>406</v>
      </c>
      <c r="T2655" t="s">
        <v>407</v>
      </c>
      <c r="U2655" t="s">
        <v>288</v>
      </c>
      <c r="V2655" t="s">
        <v>288</v>
      </c>
      <c r="W2655" t="s">
        <v>408</v>
      </c>
      <c r="X2655" t="s">
        <v>409</v>
      </c>
      <c r="Y2655" t="s">
        <v>104</v>
      </c>
    </row>
    <row r="2656" spans="1:25">
      <c r="A2656">
        <v>10223</v>
      </c>
      <c r="B2656">
        <v>29</v>
      </c>
      <c r="C2656">
        <v>100</v>
      </c>
      <c r="D2656">
        <v>8</v>
      </c>
      <c r="E2656">
        <v>3199.86</v>
      </c>
      <c r="F2656" t="s">
        <v>161</v>
      </c>
      <c r="G2656" t="s">
        <v>93</v>
      </c>
      <c r="H2656">
        <v>1</v>
      </c>
      <c r="I2656">
        <v>2</v>
      </c>
      <c r="J2656">
        <v>2004</v>
      </c>
      <c r="K2656" t="s">
        <v>726</v>
      </c>
      <c r="L2656">
        <v>118</v>
      </c>
      <c r="M2656" t="s">
        <v>862</v>
      </c>
      <c r="N2656" t="s">
        <v>162</v>
      </c>
      <c r="O2656" t="s">
        <v>163</v>
      </c>
      <c r="P2656" t="s">
        <v>164</v>
      </c>
      <c r="Q2656" t="s">
        <v>165</v>
      </c>
      <c r="R2656" t="s">
        <v>166</v>
      </c>
      <c r="S2656" t="s">
        <v>167</v>
      </c>
      <c r="T2656">
        <v>3004</v>
      </c>
      <c r="U2656" t="s">
        <v>168</v>
      </c>
      <c r="V2656" t="s">
        <v>169</v>
      </c>
      <c r="W2656" t="s">
        <v>170</v>
      </c>
      <c r="X2656" t="s">
        <v>171</v>
      </c>
      <c r="Y2656" t="s">
        <v>119</v>
      </c>
    </row>
    <row r="2657" spans="1:25">
      <c r="A2657">
        <v>10235</v>
      </c>
      <c r="B2657">
        <v>25</v>
      </c>
      <c r="C2657">
        <v>96.11</v>
      </c>
      <c r="D2657">
        <v>2</v>
      </c>
      <c r="E2657">
        <v>2402.75</v>
      </c>
      <c r="F2657" s="4">
        <v>38021</v>
      </c>
      <c r="G2657" t="s">
        <v>93</v>
      </c>
      <c r="H2657">
        <v>2</v>
      </c>
      <c r="I2657">
        <v>4</v>
      </c>
      <c r="J2657">
        <v>2004</v>
      </c>
      <c r="K2657" t="s">
        <v>726</v>
      </c>
      <c r="L2657">
        <v>118</v>
      </c>
      <c r="M2657" t="s">
        <v>862</v>
      </c>
      <c r="N2657" t="s">
        <v>484</v>
      </c>
      <c r="O2657" t="s">
        <v>485</v>
      </c>
      <c r="P2657" t="s">
        <v>486</v>
      </c>
      <c r="R2657" t="s">
        <v>487</v>
      </c>
      <c r="S2657" t="s">
        <v>320</v>
      </c>
      <c r="T2657" t="s">
        <v>488</v>
      </c>
      <c r="U2657" t="s">
        <v>322</v>
      </c>
      <c r="V2657" t="s">
        <v>101</v>
      </c>
      <c r="W2657" t="s">
        <v>489</v>
      </c>
      <c r="X2657" t="s">
        <v>254</v>
      </c>
      <c r="Y2657" t="s">
        <v>104</v>
      </c>
    </row>
    <row r="2658" spans="1:25">
      <c r="A2658">
        <v>10250</v>
      </c>
      <c r="B2658">
        <v>44</v>
      </c>
      <c r="C2658">
        <v>100</v>
      </c>
      <c r="D2658">
        <v>3</v>
      </c>
      <c r="E2658">
        <v>6055.72</v>
      </c>
      <c r="F2658" s="4">
        <v>38296</v>
      </c>
      <c r="G2658" t="s">
        <v>93</v>
      </c>
      <c r="H2658">
        <v>2</v>
      </c>
      <c r="I2658">
        <v>5</v>
      </c>
      <c r="J2658">
        <v>2004</v>
      </c>
      <c r="K2658" t="s">
        <v>726</v>
      </c>
      <c r="L2658">
        <v>118</v>
      </c>
      <c r="M2658" t="s">
        <v>862</v>
      </c>
      <c r="N2658" t="s">
        <v>514</v>
      </c>
      <c r="O2658">
        <v>4085553659</v>
      </c>
      <c r="P2658" t="s">
        <v>515</v>
      </c>
      <c r="R2658" t="s">
        <v>516</v>
      </c>
      <c r="S2658" t="s">
        <v>124</v>
      </c>
      <c r="T2658">
        <v>94217</v>
      </c>
      <c r="U2658" t="s">
        <v>100</v>
      </c>
      <c r="V2658" t="s">
        <v>101</v>
      </c>
      <c r="W2658" t="s">
        <v>175</v>
      </c>
      <c r="X2658" t="s">
        <v>517</v>
      </c>
      <c r="Y2658" t="s">
        <v>119</v>
      </c>
    </row>
    <row r="2659" spans="1:25">
      <c r="A2659">
        <v>10263</v>
      </c>
      <c r="B2659">
        <v>47</v>
      </c>
      <c r="C2659">
        <v>100</v>
      </c>
      <c r="D2659">
        <v>9</v>
      </c>
      <c r="E2659">
        <v>5465.16</v>
      </c>
      <c r="F2659" t="s">
        <v>183</v>
      </c>
      <c r="G2659" t="s">
        <v>93</v>
      </c>
      <c r="H2659">
        <v>2</v>
      </c>
      <c r="I2659">
        <v>6</v>
      </c>
      <c r="J2659">
        <v>2004</v>
      </c>
      <c r="K2659" t="s">
        <v>726</v>
      </c>
      <c r="L2659">
        <v>118</v>
      </c>
      <c r="M2659" t="s">
        <v>862</v>
      </c>
      <c r="N2659" t="s">
        <v>184</v>
      </c>
      <c r="O2659">
        <v>2035552570</v>
      </c>
      <c r="P2659" t="s">
        <v>185</v>
      </c>
      <c r="R2659" t="s">
        <v>186</v>
      </c>
      <c r="S2659" t="s">
        <v>187</v>
      </c>
      <c r="T2659">
        <v>97562</v>
      </c>
      <c r="U2659" t="s">
        <v>100</v>
      </c>
      <c r="V2659" t="s">
        <v>101</v>
      </c>
      <c r="W2659" t="s">
        <v>188</v>
      </c>
      <c r="X2659" t="s">
        <v>126</v>
      </c>
      <c r="Y2659" t="s">
        <v>119</v>
      </c>
    </row>
    <row r="2660" spans="1:25">
      <c r="A2660">
        <v>10275</v>
      </c>
      <c r="B2660">
        <v>48</v>
      </c>
      <c r="C2660">
        <v>100</v>
      </c>
      <c r="D2660">
        <v>8</v>
      </c>
      <c r="E2660">
        <v>6378.72</v>
      </c>
      <c r="F2660" t="s">
        <v>189</v>
      </c>
      <c r="G2660" t="s">
        <v>93</v>
      </c>
      <c r="H2660">
        <v>3</v>
      </c>
      <c r="I2660">
        <v>7</v>
      </c>
      <c r="J2660">
        <v>2004</v>
      </c>
      <c r="K2660" t="s">
        <v>726</v>
      </c>
      <c r="L2660">
        <v>118</v>
      </c>
      <c r="M2660" t="s">
        <v>862</v>
      </c>
      <c r="N2660" t="s">
        <v>190</v>
      </c>
      <c r="O2660" t="s">
        <v>191</v>
      </c>
      <c r="P2660" t="s">
        <v>192</v>
      </c>
      <c r="R2660" t="s">
        <v>193</v>
      </c>
      <c r="T2660">
        <v>44000</v>
      </c>
      <c r="U2660" t="s">
        <v>109</v>
      </c>
      <c r="V2660" t="s">
        <v>110</v>
      </c>
      <c r="W2660" t="s">
        <v>194</v>
      </c>
      <c r="X2660" t="s">
        <v>195</v>
      </c>
      <c r="Y2660" t="s">
        <v>119</v>
      </c>
    </row>
    <row r="2661" spans="1:25">
      <c r="A2661">
        <v>10285</v>
      </c>
      <c r="B2661">
        <v>45</v>
      </c>
      <c r="C2661">
        <v>100</v>
      </c>
      <c r="D2661">
        <v>13</v>
      </c>
      <c r="E2661">
        <v>5392.8</v>
      </c>
      <c r="F2661" t="s">
        <v>196</v>
      </c>
      <c r="G2661" t="s">
        <v>93</v>
      </c>
      <c r="H2661">
        <v>3</v>
      </c>
      <c r="I2661">
        <v>8</v>
      </c>
      <c r="J2661">
        <v>2004</v>
      </c>
      <c r="K2661" t="s">
        <v>726</v>
      </c>
      <c r="L2661">
        <v>118</v>
      </c>
      <c r="M2661" t="s">
        <v>862</v>
      </c>
      <c r="N2661" t="s">
        <v>197</v>
      </c>
      <c r="O2661">
        <v>6175558555</v>
      </c>
      <c r="P2661" t="s">
        <v>198</v>
      </c>
      <c r="R2661" t="s">
        <v>199</v>
      </c>
      <c r="S2661" t="s">
        <v>200</v>
      </c>
      <c r="T2661">
        <v>51247</v>
      </c>
      <c r="U2661" t="s">
        <v>100</v>
      </c>
      <c r="V2661" t="s">
        <v>101</v>
      </c>
      <c r="W2661" t="s">
        <v>201</v>
      </c>
      <c r="X2661" t="s">
        <v>202</v>
      </c>
      <c r="Y2661" t="s">
        <v>119</v>
      </c>
    </row>
    <row r="2662" spans="1:25">
      <c r="A2662">
        <v>10297</v>
      </c>
      <c r="B2662">
        <v>35</v>
      </c>
      <c r="C2662">
        <v>100</v>
      </c>
      <c r="D2662">
        <v>3</v>
      </c>
      <c r="E2662">
        <v>3986.5</v>
      </c>
      <c r="F2662" t="s">
        <v>767</v>
      </c>
      <c r="G2662" t="s">
        <v>93</v>
      </c>
      <c r="H2662">
        <v>3</v>
      </c>
      <c r="I2662">
        <v>9</v>
      </c>
      <c r="J2662">
        <v>2004</v>
      </c>
      <c r="K2662" t="s">
        <v>726</v>
      </c>
      <c r="L2662">
        <v>118</v>
      </c>
      <c r="M2662" t="s">
        <v>862</v>
      </c>
      <c r="N2662" t="s">
        <v>609</v>
      </c>
      <c r="O2662" t="s">
        <v>610</v>
      </c>
      <c r="P2662" t="s">
        <v>611</v>
      </c>
      <c r="Q2662" t="s">
        <v>612</v>
      </c>
      <c r="R2662" t="s">
        <v>613</v>
      </c>
      <c r="T2662">
        <v>2</v>
      </c>
      <c r="U2662" t="s">
        <v>614</v>
      </c>
      <c r="V2662" t="s">
        <v>110</v>
      </c>
      <c r="W2662" t="s">
        <v>615</v>
      </c>
      <c r="X2662" t="s">
        <v>616</v>
      </c>
      <c r="Y2662" t="s">
        <v>119</v>
      </c>
    </row>
    <row r="2663" spans="1:25">
      <c r="A2663">
        <v>10308</v>
      </c>
      <c r="B2663">
        <v>31</v>
      </c>
      <c r="C2663">
        <v>100</v>
      </c>
      <c r="D2663">
        <v>6</v>
      </c>
      <c r="E2663">
        <v>4009.23</v>
      </c>
      <c r="F2663" t="s">
        <v>211</v>
      </c>
      <c r="G2663" t="s">
        <v>93</v>
      </c>
      <c r="H2663">
        <v>4</v>
      </c>
      <c r="I2663">
        <v>10</v>
      </c>
      <c r="J2663">
        <v>2004</v>
      </c>
      <c r="K2663" t="s">
        <v>726</v>
      </c>
      <c r="L2663">
        <v>118</v>
      </c>
      <c r="M2663" t="s">
        <v>862</v>
      </c>
      <c r="N2663" t="s">
        <v>419</v>
      </c>
      <c r="O2663">
        <v>9145554562</v>
      </c>
      <c r="P2663" t="s">
        <v>420</v>
      </c>
      <c r="R2663" t="s">
        <v>421</v>
      </c>
      <c r="S2663" t="s">
        <v>99</v>
      </c>
      <c r="T2663">
        <v>24067</v>
      </c>
      <c r="U2663" t="s">
        <v>100</v>
      </c>
      <c r="V2663" t="s">
        <v>101</v>
      </c>
      <c r="W2663" t="s">
        <v>175</v>
      </c>
      <c r="X2663" t="s">
        <v>329</v>
      </c>
      <c r="Y2663" t="s">
        <v>119</v>
      </c>
    </row>
    <row r="2664" spans="1:25">
      <c r="A2664">
        <v>10318</v>
      </c>
      <c r="B2664">
        <v>50</v>
      </c>
      <c r="C2664">
        <v>100</v>
      </c>
      <c r="D2664">
        <v>8</v>
      </c>
      <c r="E2664">
        <v>7119</v>
      </c>
      <c r="F2664" s="4">
        <v>38028</v>
      </c>
      <c r="G2664" t="s">
        <v>93</v>
      </c>
      <c r="H2664">
        <v>4</v>
      </c>
      <c r="I2664">
        <v>11</v>
      </c>
      <c r="J2664">
        <v>2004</v>
      </c>
      <c r="K2664" t="s">
        <v>726</v>
      </c>
      <c r="L2664">
        <v>118</v>
      </c>
      <c r="M2664" t="s">
        <v>862</v>
      </c>
      <c r="N2664" t="s">
        <v>218</v>
      </c>
      <c r="O2664">
        <v>2155551555</v>
      </c>
      <c r="P2664" t="s">
        <v>219</v>
      </c>
      <c r="R2664" t="s">
        <v>220</v>
      </c>
      <c r="S2664" t="s">
        <v>221</v>
      </c>
      <c r="T2664">
        <v>70267</v>
      </c>
      <c r="U2664" t="s">
        <v>100</v>
      </c>
      <c r="V2664" t="s">
        <v>101</v>
      </c>
      <c r="W2664" t="s">
        <v>102</v>
      </c>
      <c r="X2664" t="s">
        <v>222</v>
      </c>
      <c r="Y2664" t="s">
        <v>232</v>
      </c>
    </row>
    <row r="2665" spans="1:25">
      <c r="A2665">
        <v>10328</v>
      </c>
      <c r="B2665">
        <v>33</v>
      </c>
      <c r="C2665">
        <v>100</v>
      </c>
      <c r="D2665">
        <v>11</v>
      </c>
      <c r="E2665">
        <v>4072.2</v>
      </c>
      <c r="F2665" s="4">
        <v>38332</v>
      </c>
      <c r="G2665" t="s">
        <v>93</v>
      </c>
      <c r="H2665">
        <v>4</v>
      </c>
      <c r="I2665">
        <v>11</v>
      </c>
      <c r="J2665">
        <v>2004</v>
      </c>
      <c r="K2665" t="s">
        <v>726</v>
      </c>
      <c r="L2665">
        <v>118</v>
      </c>
      <c r="M2665" t="s">
        <v>862</v>
      </c>
      <c r="N2665" t="s">
        <v>703</v>
      </c>
      <c r="O2665" t="s">
        <v>704</v>
      </c>
      <c r="P2665" t="s">
        <v>705</v>
      </c>
      <c r="R2665" t="s">
        <v>706</v>
      </c>
      <c r="T2665">
        <v>24100</v>
      </c>
      <c r="U2665" t="s">
        <v>352</v>
      </c>
      <c r="V2665" t="s">
        <v>110</v>
      </c>
      <c r="W2665" t="s">
        <v>707</v>
      </c>
      <c r="X2665" t="s">
        <v>708</v>
      </c>
      <c r="Y2665" t="s">
        <v>119</v>
      </c>
    </row>
    <row r="2666" spans="1:25">
      <c r="A2666">
        <v>10340</v>
      </c>
      <c r="B2666">
        <v>29</v>
      </c>
      <c r="C2666">
        <v>100</v>
      </c>
      <c r="D2666">
        <v>6</v>
      </c>
      <c r="E2666">
        <v>4094.51</v>
      </c>
      <c r="F2666" t="s">
        <v>224</v>
      </c>
      <c r="G2666" t="s">
        <v>93</v>
      </c>
      <c r="H2666">
        <v>4</v>
      </c>
      <c r="I2666">
        <v>11</v>
      </c>
      <c r="J2666">
        <v>2004</v>
      </c>
      <c r="K2666" t="s">
        <v>726</v>
      </c>
      <c r="L2666">
        <v>118</v>
      </c>
      <c r="M2666" t="s">
        <v>862</v>
      </c>
      <c r="N2666" t="s">
        <v>459</v>
      </c>
      <c r="O2666" t="s">
        <v>460</v>
      </c>
      <c r="P2666" t="s">
        <v>461</v>
      </c>
      <c r="R2666" t="s">
        <v>462</v>
      </c>
      <c r="T2666">
        <v>8022</v>
      </c>
      <c r="U2666" t="s">
        <v>261</v>
      </c>
      <c r="V2666" t="s">
        <v>110</v>
      </c>
      <c r="W2666" t="s">
        <v>463</v>
      </c>
      <c r="X2666" t="s">
        <v>464</v>
      </c>
      <c r="Y2666" t="s">
        <v>119</v>
      </c>
    </row>
    <row r="2667" spans="1:25">
      <c r="A2667">
        <v>10353</v>
      </c>
      <c r="B2667">
        <v>48</v>
      </c>
      <c r="C2667">
        <v>68.8</v>
      </c>
      <c r="D2667">
        <v>4</v>
      </c>
      <c r="E2667">
        <v>3302.4</v>
      </c>
      <c r="F2667" s="4">
        <v>38089</v>
      </c>
      <c r="G2667" t="s">
        <v>93</v>
      </c>
      <c r="H2667">
        <v>4</v>
      </c>
      <c r="I2667">
        <v>12</v>
      </c>
      <c r="J2667">
        <v>2004</v>
      </c>
      <c r="K2667" t="s">
        <v>726</v>
      </c>
      <c r="L2667">
        <v>118</v>
      </c>
      <c r="M2667" t="s">
        <v>862</v>
      </c>
      <c r="N2667" t="s">
        <v>729</v>
      </c>
      <c r="O2667">
        <v>2035554407</v>
      </c>
      <c r="P2667" t="s">
        <v>730</v>
      </c>
      <c r="R2667" t="s">
        <v>656</v>
      </c>
      <c r="S2667" t="s">
        <v>187</v>
      </c>
      <c r="T2667">
        <v>97561</v>
      </c>
      <c r="U2667" t="s">
        <v>100</v>
      </c>
      <c r="V2667" t="s">
        <v>101</v>
      </c>
      <c r="W2667" t="s">
        <v>731</v>
      </c>
      <c r="X2667" t="s">
        <v>732</v>
      </c>
      <c r="Y2667" t="s">
        <v>119</v>
      </c>
    </row>
    <row r="2668" spans="1:25">
      <c r="A2668">
        <v>10361</v>
      </c>
      <c r="B2668">
        <v>44</v>
      </c>
      <c r="C2668">
        <v>72.42</v>
      </c>
      <c r="D2668">
        <v>5</v>
      </c>
      <c r="E2668">
        <v>3186.48</v>
      </c>
      <c r="F2668" t="s">
        <v>233</v>
      </c>
      <c r="G2668" t="s">
        <v>93</v>
      </c>
      <c r="H2668">
        <v>4</v>
      </c>
      <c r="I2668">
        <v>12</v>
      </c>
      <c r="J2668">
        <v>2004</v>
      </c>
      <c r="K2668" t="s">
        <v>726</v>
      </c>
      <c r="L2668">
        <v>118</v>
      </c>
      <c r="M2668" t="s">
        <v>862</v>
      </c>
      <c r="N2668" t="s">
        <v>234</v>
      </c>
      <c r="O2668" t="s">
        <v>235</v>
      </c>
      <c r="P2668" t="s">
        <v>236</v>
      </c>
      <c r="Q2668" t="s">
        <v>237</v>
      </c>
      <c r="R2668" t="s">
        <v>238</v>
      </c>
      <c r="S2668" t="s">
        <v>239</v>
      </c>
      <c r="T2668">
        <v>2067</v>
      </c>
      <c r="U2668" t="s">
        <v>168</v>
      </c>
      <c r="V2668" t="s">
        <v>169</v>
      </c>
      <c r="W2668" t="s">
        <v>240</v>
      </c>
      <c r="X2668" t="s">
        <v>241</v>
      </c>
      <c r="Y2668" t="s">
        <v>119</v>
      </c>
    </row>
    <row r="2669" spans="1:25">
      <c r="A2669">
        <v>10375</v>
      </c>
      <c r="B2669">
        <v>25</v>
      </c>
      <c r="C2669">
        <v>66.73</v>
      </c>
      <c r="D2669">
        <v>10</v>
      </c>
      <c r="E2669">
        <v>1668.25</v>
      </c>
      <c r="F2669" s="4">
        <v>38413</v>
      </c>
      <c r="G2669" t="s">
        <v>93</v>
      </c>
      <c r="H2669">
        <v>1</v>
      </c>
      <c r="I2669">
        <v>2</v>
      </c>
      <c r="J2669">
        <v>2005</v>
      </c>
      <c r="K2669" t="s">
        <v>726</v>
      </c>
      <c r="L2669">
        <v>118</v>
      </c>
      <c r="M2669" t="s">
        <v>862</v>
      </c>
      <c r="N2669" t="s">
        <v>190</v>
      </c>
      <c r="O2669" t="s">
        <v>191</v>
      </c>
      <c r="P2669" t="s">
        <v>192</v>
      </c>
      <c r="R2669" t="s">
        <v>193</v>
      </c>
      <c r="T2669">
        <v>44000</v>
      </c>
      <c r="U2669" t="s">
        <v>109</v>
      </c>
      <c r="V2669" t="s">
        <v>110</v>
      </c>
      <c r="W2669" t="s">
        <v>194</v>
      </c>
      <c r="X2669" t="s">
        <v>195</v>
      </c>
      <c r="Y2669" t="s">
        <v>104</v>
      </c>
    </row>
    <row r="2670" spans="1:25">
      <c r="A2670">
        <v>10388</v>
      </c>
      <c r="B2670">
        <v>50</v>
      </c>
      <c r="C2670">
        <v>100</v>
      </c>
      <c r="D2670">
        <v>3</v>
      </c>
      <c r="E2670">
        <v>7154.5</v>
      </c>
      <c r="F2670" s="4">
        <v>38414</v>
      </c>
      <c r="G2670" t="s">
        <v>93</v>
      </c>
      <c r="H2670">
        <v>1</v>
      </c>
      <c r="I2670">
        <v>3</v>
      </c>
      <c r="J2670">
        <v>2005</v>
      </c>
      <c r="K2670" t="s">
        <v>726</v>
      </c>
      <c r="L2670">
        <v>118</v>
      </c>
      <c r="M2670" t="s">
        <v>862</v>
      </c>
      <c r="N2670" t="s">
        <v>242</v>
      </c>
      <c r="O2670">
        <v>5085552555</v>
      </c>
      <c r="P2670" t="s">
        <v>243</v>
      </c>
      <c r="R2670" t="s">
        <v>244</v>
      </c>
      <c r="S2670" t="s">
        <v>200</v>
      </c>
      <c r="T2670">
        <v>50553</v>
      </c>
      <c r="U2670" t="s">
        <v>100</v>
      </c>
      <c r="V2670" t="s">
        <v>101</v>
      </c>
      <c r="W2670" t="s">
        <v>245</v>
      </c>
      <c r="X2670" t="s">
        <v>246</v>
      </c>
      <c r="Y2670" t="s">
        <v>232</v>
      </c>
    </row>
    <row r="2671" spans="1:25">
      <c r="A2671">
        <v>10398</v>
      </c>
      <c r="B2671">
        <v>23</v>
      </c>
      <c r="C2671">
        <v>100</v>
      </c>
      <c r="D2671">
        <v>9</v>
      </c>
      <c r="E2671">
        <v>2810.83</v>
      </c>
      <c r="F2671" t="s">
        <v>750</v>
      </c>
      <c r="G2671" t="s">
        <v>93</v>
      </c>
      <c r="H2671">
        <v>1</v>
      </c>
      <c r="I2671">
        <v>3</v>
      </c>
      <c r="J2671">
        <v>2005</v>
      </c>
      <c r="K2671" t="s">
        <v>726</v>
      </c>
      <c r="L2671">
        <v>118</v>
      </c>
      <c r="M2671" t="s">
        <v>862</v>
      </c>
      <c r="N2671" t="s">
        <v>105</v>
      </c>
      <c r="O2671" t="s">
        <v>106</v>
      </c>
      <c r="P2671" t="s">
        <v>107</v>
      </c>
      <c r="R2671" t="s">
        <v>108</v>
      </c>
      <c r="T2671">
        <v>51100</v>
      </c>
      <c r="U2671" t="s">
        <v>109</v>
      </c>
      <c r="V2671" t="s">
        <v>110</v>
      </c>
      <c r="W2671" t="s">
        <v>111</v>
      </c>
      <c r="X2671" t="s">
        <v>112</v>
      </c>
      <c r="Y2671" t="s">
        <v>104</v>
      </c>
    </row>
    <row r="2672" spans="1:25">
      <c r="A2672">
        <v>10401</v>
      </c>
      <c r="B2672">
        <v>21</v>
      </c>
      <c r="C2672">
        <v>96.11</v>
      </c>
      <c r="D2672">
        <v>2</v>
      </c>
      <c r="E2672">
        <v>2018.31</v>
      </c>
      <c r="F2672" s="4">
        <v>38415</v>
      </c>
      <c r="G2672" t="s">
        <v>518</v>
      </c>
      <c r="H2672">
        <v>2</v>
      </c>
      <c r="I2672">
        <v>4</v>
      </c>
      <c r="J2672">
        <v>2005</v>
      </c>
      <c r="K2672" t="s">
        <v>726</v>
      </c>
      <c r="L2672">
        <v>118</v>
      </c>
      <c r="M2672" t="s">
        <v>862</v>
      </c>
      <c r="N2672" t="s">
        <v>178</v>
      </c>
      <c r="O2672">
        <v>2015559350</v>
      </c>
      <c r="P2672" t="s">
        <v>179</v>
      </c>
      <c r="R2672" t="s">
        <v>180</v>
      </c>
      <c r="S2672" t="s">
        <v>181</v>
      </c>
      <c r="T2672">
        <v>94019</v>
      </c>
      <c r="U2672" t="s">
        <v>100</v>
      </c>
      <c r="V2672" t="s">
        <v>101</v>
      </c>
      <c r="W2672" t="s">
        <v>130</v>
      </c>
      <c r="X2672" t="s">
        <v>182</v>
      </c>
      <c r="Y2672" t="s">
        <v>104</v>
      </c>
    </row>
    <row r="2673" spans="1:25">
      <c r="A2673">
        <v>10416</v>
      </c>
      <c r="B2673">
        <v>41</v>
      </c>
      <c r="C2673">
        <v>100</v>
      </c>
      <c r="D2673">
        <v>3</v>
      </c>
      <c r="E2673">
        <v>5642.83</v>
      </c>
      <c r="F2673" s="4">
        <v>38630</v>
      </c>
      <c r="G2673" t="s">
        <v>93</v>
      </c>
      <c r="H2673">
        <v>2</v>
      </c>
      <c r="I2673">
        <v>5</v>
      </c>
      <c r="J2673">
        <v>2005</v>
      </c>
      <c r="K2673" t="s">
        <v>726</v>
      </c>
      <c r="L2673">
        <v>118</v>
      </c>
      <c r="M2673" t="s">
        <v>862</v>
      </c>
      <c r="N2673" t="s">
        <v>576</v>
      </c>
      <c r="O2673" t="s">
        <v>577</v>
      </c>
      <c r="P2673" t="s">
        <v>578</v>
      </c>
      <c r="R2673" t="s">
        <v>579</v>
      </c>
      <c r="T2673">
        <v>42100</v>
      </c>
      <c r="U2673" t="s">
        <v>352</v>
      </c>
      <c r="V2673" t="s">
        <v>110</v>
      </c>
      <c r="W2673" t="s">
        <v>580</v>
      </c>
      <c r="X2673" t="s">
        <v>581</v>
      </c>
      <c r="Y2673" t="s">
        <v>119</v>
      </c>
    </row>
    <row r="2674" spans="1:25">
      <c r="A2674">
        <v>10106</v>
      </c>
      <c r="B2674">
        <v>44</v>
      </c>
      <c r="C2674">
        <v>74.400000000000006</v>
      </c>
      <c r="D2674">
        <v>8</v>
      </c>
      <c r="E2674">
        <v>3273.6</v>
      </c>
      <c r="F2674" t="s">
        <v>725</v>
      </c>
      <c r="G2674" t="s">
        <v>93</v>
      </c>
      <c r="H2674">
        <v>1</v>
      </c>
      <c r="I2674">
        <v>2</v>
      </c>
      <c r="J2674">
        <v>2003</v>
      </c>
      <c r="K2674" t="s">
        <v>726</v>
      </c>
      <c r="L2674">
        <v>80</v>
      </c>
      <c r="M2674" t="s">
        <v>863</v>
      </c>
      <c r="N2674" t="s">
        <v>703</v>
      </c>
      <c r="O2674" t="s">
        <v>704</v>
      </c>
      <c r="P2674" t="s">
        <v>705</v>
      </c>
      <c r="R2674" t="s">
        <v>706</v>
      </c>
      <c r="T2674">
        <v>24100</v>
      </c>
      <c r="U2674" t="s">
        <v>352</v>
      </c>
      <c r="V2674" t="s">
        <v>110</v>
      </c>
      <c r="W2674" t="s">
        <v>707</v>
      </c>
      <c r="X2674" t="s">
        <v>708</v>
      </c>
      <c r="Y2674" t="s">
        <v>119</v>
      </c>
    </row>
    <row r="2675" spans="1:25">
      <c r="A2675">
        <v>10120</v>
      </c>
      <c r="B2675">
        <v>43</v>
      </c>
      <c r="C2675">
        <v>76</v>
      </c>
      <c r="D2675">
        <v>14</v>
      </c>
      <c r="E2675">
        <v>3268</v>
      </c>
      <c r="F2675" t="s">
        <v>402</v>
      </c>
      <c r="G2675" t="s">
        <v>93</v>
      </c>
      <c r="H2675">
        <v>2</v>
      </c>
      <c r="I2675">
        <v>4</v>
      </c>
      <c r="J2675">
        <v>2003</v>
      </c>
      <c r="K2675" t="s">
        <v>726</v>
      </c>
      <c r="L2675">
        <v>80</v>
      </c>
      <c r="M2675" t="s">
        <v>863</v>
      </c>
      <c r="N2675" t="s">
        <v>162</v>
      </c>
      <c r="O2675" t="s">
        <v>163</v>
      </c>
      <c r="P2675" t="s">
        <v>164</v>
      </c>
      <c r="Q2675" t="s">
        <v>165</v>
      </c>
      <c r="R2675" t="s">
        <v>166</v>
      </c>
      <c r="S2675" t="s">
        <v>167</v>
      </c>
      <c r="T2675">
        <v>3004</v>
      </c>
      <c r="U2675" t="s">
        <v>168</v>
      </c>
      <c r="V2675" t="s">
        <v>169</v>
      </c>
      <c r="W2675" t="s">
        <v>170</v>
      </c>
      <c r="X2675" t="s">
        <v>171</v>
      </c>
      <c r="Y2675" t="s">
        <v>119</v>
      </c>
    </row>
    <row r="2676" spans="1:25">
      <c r="A2676">
        <v>10143</v>
      </c>
      <c r="B2676">
        <v>28</v>
      </c>
      <c r="C2676">
        <v>96</v>
      </c>
      <c r="D2676">
        <v>3</v>
      </c>
      <c r="E2676">
        <v>2688</v>
      </c>
      <c r="F2676" s="4">
        <v>37902</v>
      </c>
      <c r="G2676" t="s">
        <v>93</v>
      </c>
      <c r="H2676">
        <v>3</v>
      </c>
      <c r="I2676">
        <v>8</v>
      </c>
      <c r="J2676">
        <v>2003</v>
      </c>
      <c r="K2676" t="s">
        <v>726</v>
      </c>
      <c r="L2676">
        <v>80</v>
      </c>
      <c r="M2676" t="s">
        <v>863</v>
      </c>
      <c r="N2676" t="s">
        <v>439</v>
      </c>
      <c r="O2676">
        <v>5085559555</v>
      </c>
      <c r="P2676" t="s">
        <v>440</v>
      </c>
      <c r="R2676" t="s">
        <v>244</v>
      </c>
      <c r="S2676" t="s">
        <v>200</v>
      </c>
      <c r="T2676">
        <v>50553</v>
      </c>
      <c r="U2676" t="s">
        <v>100</v>
      </c>
      <c r="V2676" t="s">
        <v>101</v>
      </c>
      <c r="W2676" t="s">
        <v>441</v>
      </c>
      <c r="X2676" t="s">
        <v>442</v>
      </c>
      <c r="Y2676" t="s">
        <v>104</v>
      </c>
    </row>
    <row r="2677" spans="1:25">
      <c r="A2677">
        <v>10155</v>
      </c>
      <c r="B2677">
        <v>43</v>
      </c>
      <c r="C2677">
        <v>86.4</v>
      </c>
      <c r="D2677">
        <v>1</v>
      </c>
      <c r="E2677">
        <v>3715.2</v>
      </c>
      <c r="F2677" s="4">
        <v>37782</v>
      </c>
      <c r="G2677" t="s">
        <v>93</v>
      </c>
      <c r="H2677">
        <v>4</v>
      </c>
      <c r="I2677">
        <v>10</v>
      </c>
      <c r="J2677">
        <v>2003</v>
      </c>
      <c r="K2677" t="s">
        <v>726</v>
      </c>
      <c r="L2677">
        <v>80</v>
      </c>
      <c r="M2677" t="s">
        <v>863</v>
      </c>
      <c r="N2677" t="s">
        <v>204</v>
      </c>
      <c r="O2677" t="s">
        <v>205</v>
      </c>
      <c r="P2677" t="s">
        <v>206</v>
      </c>
      <c r="R2677" t="s">
        <v>207</v>
      </c>
      <c r="T2677">
        <v>21240</v>
      </c>
      <c r="U2677" t="s">
        <v>208</v>
      </c>
      <c r="V2677" t="s">
        <v>110</v>
      </c>
      <c r="W2677" t="s">
        <v>209</v>
      </c>
      <c r="X2677" t="s">
        <v>210</v>
      </c>
      <c r="Y2677" t="s">
        <v>119</v>
      </c>
    </row>
    <row r="2678" spans="1:25">
      <c r="A2678">
        <v>10168</v>
      </c>
      <c r="B2678">
        <v>48</v>
      </c>
      <c r="C2678">
        <v>96</v>
      </c>
      <c r="D2678">
        <v>15</v>
      </c>
      <c r="E2678">
        <v>4608</v>
      </c>
      <c r="F2678" t="s">
        <v>131</v>
      </c>
      <c r="G2678" t="s">
        <v>93</v>
      </c>
      <c r="H2678">
        <v>4</v>
      </c>
      <c r="I2678">
        <v>10</v>
      </c>
      <c r="J2678">
        <v>2003</v>
      </c>
      <c r="K2678" t="s">
        <v>726</v>
      </c>
      <c r="L2678">
        <v>80</v>
      </c>
      <c r="M2678" t="s">
        <v>863</v>
      </c>
      <c r="N2678" t="s">
        <v>132</v>
      </c>
      <c r="O2678">
        <v>6505556809</v>
      </c>
      <c r="P2678" t="s">
        <v>133</v>
      </c>
      <c r="R2678" t="s">
        <v>134</v>
      </c>
      <c r="S2678" t="s">
        <v>124</v>
      </c>
      <c r="T2678">
        <v>94217</v>
      </c>
      <c r="U2678" t="s">
        <v>100</v>
      </c>
      <c r="V2678" t="s">
        <v>101</v>
      </c>
      <c r="W2678" t="s">
        <v>135</v>
      </c>
      <c r="X2678" t="s">
        <v>136</v>
      </c>
      <c r="Y2678" t="s">
        <v>119</v>
      </c>
    </row>
    <row r="2679" spans="1:25">
      <c r="A2679">
        <v>10199</v>
      </c>
      <c r="B2679">
        <v>38</v>
      </c>
      <c r="C2679">
        <v>82.4</v>
      </c>
      <c r="D2679">
        <v>3</v>
      </c>
      <c r="E2679">
        <v>3131.2</v>
      </c>
      <c r="F2679" s="4">
        <v>37633</v>
      </c>
      <c r="G2679" t="s">
        <v>93</v>
      </c>
      <c r="H2679">
        <v>4</v>
      </c>
      <c r="I2679">
        <v>12</v>
      </c>
      <c r="J2679">
        <v>2003</v>
      </c>
      <c r="K2679" t="s">
        <v>726</v>
      </c>
      <c r="L2679">
        <v>80</v>
      </c>
      <c r="M2679" t="s">
        <v>863</v>
      </c>
      <c r="N2679" t="s">
        <v>326</v>
      </c>
      <c r="O2679">
        <v>3105553722</v>
      </c>
      <c r="P2679" t="s">
        <v>327</v>
      </c>
      <c r="R2679" t="s">
        <v>328</v>
      </c>
      <c r="S2679" t="s">
        <v>124</v>
      </c>
      <c r="T2679">
        <v>94019</v>
      </c>
      <c r="U2679" t="s">
        <v>100</v>
      </c>
      <c r="V2679" t="s">
        <v>101</v>
      </c>
      <c r="W2679" t="s">
        <v>6</v>
      </c>
      <c r="X2679" t="s">
        <v>329</v>
      </c>
      <c r="Y2679" t="s">
        <v>119</v>
      </c>
    </row>
    <row r="2680" spans="1:25">
      <c r="A2680">
        <v>10210</v>
      </c>
      <c r="B2680">
        <v>31</v>
      </c>
      <c r="C2680">
        <v>86.4</v>
      </c>
      <c r="D2680">
        <v>13</v>
      </c>
      <c r="E2680">
        <v>2678.4</v>
      </c>
      <c r="F2680" s="4">
        <v>38322</v>
      </c>
      <c r="G2680" t="s">
        <v>93</v>
      </c>
      <c r="H2680">
        <v>1</v>
      </c>
      <c r="I2680">
        <v>1</v>
      </c>
      <c r="J2680">
        <v>2004</v>
      </c>
      <c r="K2680" t="s">
        <v>726</v>
      </c>
      <c r="L2680">
        <v>80</v>
      </c>
      <c r="M2680" t="s">
        <v>863</v>
      </c>
      <c r="N2680" t="s">
        <v>403</v>
      </c>
      <c r="O2680" t="s">
        <v>404</v>
      </c>
      <c r="P2680" t="s">
        <v>405</v>
      </c>
      <c r="R2680" t="s">
        <v>406</v>
      </c>
      <c r="S2680" t="s">
        <v>406</v>
      </c>
      <c r="T2680" t="s">
        <v>407</v>
      </c>
      <c r="U2680" t="s">
        <v>288</v>
      </c>
      <c r="V2680" t="s">
        <v>288</v>
      </c>
      <c r="W2680" t="s">
        <v>408</v>
      </c>
      <c r="X2680" t="s">
        <v>409</v>
      </c>
      <c r="Y2680" t="s">
        <v>104</v>
      </c>
    </row>
    <row r="2681" spans="1:25">
      <c r="A2681">
        <v>10223</v>
      </c>
      <c r="B2681">
        <v>26</v>
      </c>
      <c r="C2681">
        <v>67.2</v>
      </c>
      <c r="D2681">
        <v>15</v>
      </c>
      <c r="E2681">
        <v>1747.2</v>
      </c>
      <c r="F2681" t="s">
        <v>161</v>
      </c>
      <c r="G2681" t="s">
        <v>93</v>
      </c>
      <c r="H2681">
        <v>1</v>
      </c>
      <c r="I2681">
        <v>2</v>
      </c>
      <c r="J2681">
        <v>2004</v>
      </c>
      <c r="K2681" t="s">
        <v>726</v>
      </c>
      <c r="L2681">
        <v>80</v>
      </c>
      <c r="M2681" t="s">
        <v>863</v>
      </c>
      <c r="N2681" t="s">
        <v>162</v>
      </c>
      <c r="O2681" t="s">
        <v>163</v>
      </c>
      <c r="P2681" t="s">
        <v>164</v>
      </c>
      <c r="Q2681" t="s">
        <v>165</v>
      </c>
      <c r="R2681" t="s">
        <v>166</v>
      </c>
      <c r="S2681" t="s">
        <v>167</v>
      </c>
      <c r="T2681">
        <v>3004</v>
      </c>
      <c r="U2681" t="s">
        <v>168</v>
      </c>
      <c r="V2681" t="s">
        <v>169</v>
      </c>
      <c r="W2681" t="s">
        <v>170</v>
      </c>
      <c r="X2681" t="s">
        <v>171</v>
      </c>
      <c r="Y2681" t="s">
        <v>104</v>
      </c>
    </row>
    <row r="2682" spans="1:25">
      <c r="A2682">
        <v>10235</v>
      </c>
      <c r="B2682">
        <v>32</v>
      </c>
      <c r="C2682">
        <v>92</v>
      </c>
      <c r="D2682">
        <v>9</v>
      </c>
      <c r="E2682">
        <v>2944</v>
      </c>
      <c r="F2682" s="4">
        <v>38021</v>
      </c>
      <c r="G2682" t="s">
        <v>93</v>
      </c>
      <c r="H2682">
        <v>2</v>
      </c>
      <c r="I2682">
        <v>4</v>
      </c>
      <c r="J2682">
        <v>2004</v>
      </c>
      <c r="K2682" t="s">
        <v>726</v>
      </c>
      <c r="L2682">
        <v>80</v>
      </c>
      <c r="M2682" t="s">
        <v>863</v>
      </c>
      <c r="N2682" t="s">
        <v>484</v>
      </c>
      <c r="O2682" t="s">
        <v>485</v>
      </c>
      <c r="P2682" t="s">
        <v>486</v>
      </c>
      <c r="R2682" t="s">
        <v>487</v>
      </c>
      <c r="S2682" t="s">
        <v>320</v>
      </c>
      <c r="T2682" t="s">
        <v>488</v>
      </c>
      <c r="U2682" t="s">
        <v>322</v>
      </c>
      <c r="V2682" t="s">
        <v>101</v>
      </c>
      <c r="W2682" t="s">
        <v>489</v>
      </c>
      <c r="X2682" t="s">
        <v>254</v>
      </c>
      <c r="Y2682" t="s">
        <v>104</v>
      </c>
    </row>
    <row r="2683" spans="1:25">
      <c r="A2683">
        <v>10250</v>
      </c>
      <c r="B2683">
        <v>44</v>
      </c>
      <c r="C2683">
        <v>67.2</v>
      </c>
      <c r="D2683">
        <v>10</v>
      </c>
      <c r="E2683">
        <v>2956.8</v>
      </c>
      <c r="F2683" s="4">
        <v>38296</v>
      </c>
      <c r="G2683" t="s">
        <v>93</v>
      </c>
      <c r="H2683">
        <v>2</v>
      </c>
      <c r="I2683">
        <v>5</v>
      </c>
      <c r="J2683">
        <v>2004</v>
      </c>
      <c r="K2683" t="s">
        <v>726</v>
      </c>
      <c r="L2683">
        <v>80</v>
      </c>
      <c r="M2683" t="s">
        <v>863</v>
      </c>
      <c r="N2683" t="s">
        <v>514</v>
      </c>
      <c r="O2683">
        <v>4085553659</v>
      </c>
      <c r="P2683" t="s">
        <v>515</v>
      </c>
      <c r="R2683" t="s">
        <v>516</v>
      </c>
      <c r="S2683" t="s">
        <v>124</v>
      </c>
      <c r="T2683">
        <v>94217</v>
      </c>
      <c r="U2683" t="s">
        <v>100</v>
      </c>
      <c r="V2683" t="s">
        <v>101</v>
      </c>
      <c r="W2683" t="s">
        <v>175</v>
      </c>
      <c r="X2683" t="s">
        <v>517</v>
      </c>
      <c r="Y2683" t="s">
        <v>104</v>
      </c>
    </row>
    <row r="2684" spans="1:25">
      <c r="A2684">
        <v>10262</v>
      </c>
      <c r="B2684">
        <v>27</v>
      </c>
      <c r="C2684">
        <v>76</v>
      </c>
      <c r="D2684">
        <v>5</v>
      </c>
      <c r="E2684">
        <v>2052</v>
      </c>
      <c r="F2684" t="s">
        <v>734</v>
      </c>
      <c r="G2684" t="s">
        <v>444</v>
      </c>
      <c r="H2684">
        <v>2</v>
      </c>
      <c r="I2684">
        <v>6</v>
      </c>
      <c r="J2684">
        <v>2004</v>
      </c>
      <c r="K2684" t="s">
        <v>726</v>
      </c>
      <c r="L2684">
        <v>80</v>
      </c>
      <c r="M2684" t="s">
        <v>863</v>
      </c>
      <c r="N2684" t="s">
        <v>257</v>
      </c>
      <c r="O2684" t="s">
        <v>258</v>
      </c>
      <c r="P2684" t="s">
        <v>259</v>
      </c>
      <c r="R2684" t="s">
        <v>260</v>
      </c>
      <c r="T2684">
        <v>28034</v>
      </c>
      <c r="U2684" t="s">
        <v>261</v>
      </c>
      <c r="V2684" t="s">
        <v>110</v>
      </c>
      <c r="W2684" t="s">
        <v>262</v>
      </c>
      <c r="X2684" t="s">
        <v>263</v>
      </c>
      <c r="Y2684" t="s">
        <v>104</v>
      </c>
    </row>
    <row r="2685" spans="1:25">
      <c r="A2685">
        <v>10275</v>
      </c>
      <c r="B2685">
        <v>43</v>
      </c>
      <c r="C2685">
        <v>73.599999999999994</v>
      </c>
      <c r="D2685">
        <v>15</v>
      </c>
      <c r="E2685">
        <v>3164.8</v>
      </c>
      <c r="F2685" t="s">
        <v>189</v>
      </c>
      <c r="G2685" t="s">
        <v>93</v>
      </c>
      <c r="H2685">
        <v>3</v>
      </c>
      <c r="I2685">
        <v>7</v>
      </c>
      <c r="J2685">
        <v>2004</v>
      </c>
      <c r="K2685" t="s">
        <v>726</v>
      </c>
      <c r="L2685">
        <v>80</v>
      </c>
      <c r="M2685" t="s">
        <v>863</v>
      </c>
      <c r="N2685" t="s">
        <v>190</v>
      </c>
      <c r="O2685" t="s">
        <v>191</v>
      </c>
      <c r="P2685" t="s">
        <v>192</v>
      </c>
      <c r="R2685" t="s">
        <v>193</v>
      </c>
      <c r="T2685">
        <v>44000</v>
      </c>
      <c r="U2685" t="s">
        <v>109</v>
      </c>
      <c r="V2685" t="s">
        <v>110</v>
      </c>
      <c r="W2685" t="s">
        <v>194</v>
      </c>
      <c r="X2685" t="s">
        <v>195</v>
      </c>
      <c r="Y2685" t="s">
        <v>119</v>
      </c>
    </row>
    <row r="2686" spans="1:25">
      <c r="A2686">
        <v>10284</v>
      </c>
      <c r="B2686">
        <v>25</v>
      </c>
      <c r="C2686">
        <v>69.599999999999994</v>
      </c>
      <c r="D2686">
        <v>7</v>
      </c>
      <c r="E2686">
        <v>1740</v>
      </c>
      <c r="F2686" t="s">
        <v>735</v>
      </c>
      <c r="G2686" t="s">
        <v>93</v>
      </c>
      <c r="H2686">
        <v>3</v>
      </c>
      <c r="I2686">
        <v>8</v>
      </c>
      <c r="J2686">
        <v>2004</v>
      </c>
      <c r="K2686" t="s">
        <v>726</v>
      </c>
      <c r="L2686">
        <v>80</v>
      </c>
      <c r="M2686" t="s">
        <v>863</v>
      </c>
      <c r="N2686" t="s">
        <v>688</v>
      </c>
      <c r="O2686" t="s">
        <v>689</v>
      </c>
      <c r="P2686" t="s">
        <v>690</v>
      </c>
      <c r="R2686" t="s">
        <v>691</v>
      </c>
      <c r="T2686" t="s">
        <v>692</v>
      </c>
      <c r="U2686" t="s">
        <v>149</v>
      </c>
      <c r="V2686" t="s">
        <v>110</v>
      </c>
      <c r="W2686" t="s">
        <v>693</v>
      </c>
      <c r="X2686" t="s">
        <v>694</v>
      </c>
      <c r="Y2686" t="s">
        <v>104</v>
      </c>
    </row>
    <row r="2687" spans="1:25">
      <c r="A2687">
        <v>10296</v>
      </c>
      <c r="B2687">
        <v>22</v>
      </c>
      <c r="C2687">
        <v>80.8</v>
      </c>
      <c r="D2687">
        <v>3</v>
      </c>
      <c r="E2687">
        <v>1777.6</v>
      </c>
      <c r="F2687" t="s">
        <v>736</v>
      </c>
      <c r="G2687" t="s">
        <v>93</v>
      </c>
      <c r="H2687">
        <v>3</v>
      </c>
      <c r="I2687">
        <v>9</v>
      </c>
      <c r="J2687">
        <v>2004</v>
      </c>
      <c r="K2687" t="s">
        <v>726</v>
      </c>
      <c r="L2687">
        <v>80</v>
      </c>
      <c r="M2687" t="s">
        <v>863</v>
      </c>
      <c r="N2687" t="s">
        <v>737</v>
      </c>
      <c r="O2687" t="s">
        <v>738</v>
      </c>
      <c r="P2687" t="s">
        <v>739</v>
      </c>
      <c r="R2687" t="s">
        <v>740</v>
      </c>
      <c r="T2687">
        <v>80686</v>
      </c>
      <c r="U2687" t="s">
        <v>566</v>
      </c>
      <c r="V2687" t="s">
        <v>110</v>
      </c>
      <c r="W2687" t="s">
        <v>741</v>
      </c>
      <c r="X2687" t="s">
        <v>176</v>
      </c>
      <c r="Y2687" t="s">
        <v>104</v>
      </c>
    </row>
    <row r="2688" spans="1:25">
      <c r="A2688">
        <v>10308</v>
      </c>
      <c r="B2688">
        <v>21</v>
      </c>
      <c r="C2688">
        <v>87.2</v>
      </c>
      <c r="D2688">
        <v>13</v>
      </c>
      <c r="E2688">
        <v>1831.2</v>
      </c>
      <c r="F2688" t="s">
        <v>211</v>
      </c>
      <c r="G2688" t="s">
        <v>93</v>
      </c>
      <c r="H2688">
        <v>4</v>
      </c>
      <c r="I2688">
        <v>10</v>
      </c>
      <c r="J2688">
        <v>2004</v>
      </c>
      <c r="K2688" t="s">
        <v>726</v>
      </c>
      <c r="L2688">
        <v>80</v>
      </c>
      <c r="M2688" t="s">
        <v>863</v>
      </c>
      <c r="N2688" t="s">
        <v>419</v>
      </c>
      <c r="O2688">
        <v>9145554562</v>
      </c>
      <c r="P2688" t="s">
        <v>420</v>
      </c>
      <c r="R2688" t="s">
        <v>421</v>
      </c>
      <c r="S2688" t="s">
        <v>99</v>
      </c>
      <c r="T2688">
        <v>24067</v>
      </c>
      <c r="U2688" t="s">
        <v>100</v>
      </c>
      <c r="V2688" t="s">
        <v>101</v>
      </c>
      <c r="W2688" t="s">
        <v>175</v>
      </c>
      <c r="X2688" t="s">
        <v>329</v>
      </c>
      <c r="Y2688" t="s">
        <v>104</v>
      </c>
    </row>
    <row r="2689" spans="1:25">
      <c r="A2689">
        <v>10316</v>
      </c>
      <c r="B2689">
        <v>48</v>
      </c>
      <c r="C2689">
        <v>75.2</v>
      </c>
      <c r="D2689">
        <v>5</v>
      </c>
      <c r="E2689">
        <v>3609.6</v>
      </c>
      <c r="F2689" s="4">
        <v>37997</v>
      </c>
      <c r="G2689" t="s">
        <v>93</v>
      </c>
      <c r="H2689">
        <v>4</v>
      </c>
      <c r="I2689">
        <v>11</v>
      </c>
      <c r="J2689">
        <v>2004</v>
      </c>
      <c r="K2689" t="s">
        <v>726</v>
      </c>
      <c r="L2689">
        <v>80</v>
      </c>
      <c r="M2689" t="s">
        <v>863</v>
      </c>
      <c r="N2689" t="s">
        <v>495</v>
      </c>
      <c r="O2689" t="s">
        <v>496</v>
      </c>
      <c r="P2689" t="s">
        <v>497</v>
      </c>
      <c r="R2689" t="s">
        <v>498</v>
      </c>
      <c r="S2689" t="s">
        <v>499</v>
      </c>
      <c r="T2689" t="s">
        <v>500</v>
      </c>
      <c r="U2689" t="s">
        <v>252</v>
      </c>
      <c r="V2689" t="s">
        <v>110</v>
      </c>
      <c r="W2689" t="s">
        <v>501</v>
      </c>
      <c r="X2689" t="s">
        <v>502</v>
      </c>
      <c r="Y2689" t="s">
        <v>119</v>
      </c>
    </row>
    <row r="2690" spans="1:25">
      <c r="A2690">
        <v>10328</v>
      </c>
      <c r="B2690">
        <v>33</v>
      </c>
      <c r="C2690">
        <v>64</v>
      </c>
      <c r="D2690">
        <v>13</v>
      </c>
      <c r="E2690">
        <v>2112</v>
      </c>
      <c r="F2690" s="4">
        <v>38332</v>
      </c>
      <c r="G2690" t="s">
        <v>93</v>
      </c>
      <c r="H2690">
        <v>4</v>
      </c>
      <c r="I2690">
        <v>11</v>
      </c>
      <c r="J2690">
        <v>2004</v>
      </c>
      <c r="K2690" t="s">
        <v>726</v>
      </c>
      <c r="L2690">
        <v>80</v>
      </c>
      <c r="M2690" t="s">
        <v>863</v>
      </c>
      <c r="N2690" t="s">
        <v>703</v>
      </c>
      <c r="O2690" t="s">
        <v>704</v>
      </c>
      <c r="P2690" t="s">
        <v>705</v>
      </c>
      <c r="R2690" t="s">
        <v>706</v>
      </c>
      <c r="T2690">
        <v>24100</v>
      </c>
      <c r="U2690" t="s">
        <v>352</v>
      </c>
      <c r="V2690" t="s">
        <v>110</v>
      </c>
      <c r="W2690" t="s">
        <v>707</v>
      </c>
      <c r="X2690" t="s">
        <v>708</v>
      </c>
      <c r="Y2690" t="s">
        <v>104</v>
      </c>
    </row>
    <row r="2691" spans="1:25">
      <c r="A2691">
        <v>10341</v>
      </c>
      <c r="B2691">
        <v>34</v>
      </c>
      <c r="C2691">
        <v>100</v>
      </c>
      <c r="D2691">
        <v>5</v>
      </c>
      <c r="E2691">
        <v>3644.12</v>
      </c>
      <c r="F2691" t="s">
        <v>224</v>
      </c>
      <c r="G2691" t="s">
        <v>93</v>
      </c>
      <c r="H2691">
        <v>4</v>
      </c>
      <c r="I2691">
        <v>11</v>
      </c>
      <c r="J2691">
        <v>2004</v>
      </c>
      <c r="K2691" t="s">
        <v>726</v>
      </c>
      <c r="L2691">
        <v>80</v>
      </c>
      <c r="M2691" t="s">
        <v>863</v>
      </c>
      <c r="N2691" t="s">
        <v>225</v>
      </c>
      <c r="O2691" t="s">
        <v>226</v>
      </c>
      <c r="P2691" t="s">
        <v>227</v>
      </c>
      <c r="R2691" t="s">
        <v>228</v>
      </c>
      <c r="T2691">
        <v>5020</v>
      </c>
      <c r="U2691" t="s">
        <v>229</v>
      </c>
      <c r="V2691" t="s">
        <v>110</v>
      </c>
      <c r="W2691" t="s">
        <v>230</v>
      </c>
      <c r="X2691" t="s">
        <v>231</v>
      </c>
      <c r="Y2691" t="s">
        <v>119</v>
      </c>
    </row>
    <row r="2692" spans="1:25">
      <c r="A2692">
        <v>10353</v>
      </c>
      <c r="B2692">
        <v>43</v>
      </c>
      <c r="C2692">
        <v>81.95</v>
      </c>
      <c r="D2692">
        <v>6</v>
      </c>
      <c r="E2692">
        <v>3523.85</v>
      </c>
      <c r="F2692" s="4">
        <v>38089</v>
      </c>
      <c r="G2692" t="s">
        <v>93</v>
      </c>
      <c r="H2692">
        <v>4</v>
      </c>
      <c r="I2692">
        <v>12</v>
      </c>
      <c r="J2692">
        <v>2004</v>
      </c>
      <c r="K2692" t="s">
        <v>726</v>
      </c>
      <c r="L2692">
        <v>80</v>
      </c>
      <c r="M2692" t="s">
        <v>863</v>
      </c>
      <c r="N2692" t="s">
        <v>729</v>
      </c>
      <c r="O2692">
        <v>2035554407</v>
      </c>
      <c r="P2692" t="s">
        <v>730</v>
      </c>
      <c r="R2692" t="s">
        <v>656</v>
      </c>
      <c r="S2692" t="s">
        <v>187</v>
      </c>
      <c r="T2692">
        <v>97561</v>
      </c>
      <c r="U2692" t="s">
        <v>100</v>
      </c>
      <c r="V2692" t="s">
        <v>101</v>
      </c>
      <c r="W2692" t="s">
        <v>731</v>
      </c>
      <c r="X2692" t="s">
        <v>732</v>
      </c>
      <c r="Y2692" t="s">
        <v>119</v>
      </c>
    </row>
    <row r="2693" spans="1:25">
      <c r="A2693">
        <v>10361</v>
      </c>
      <c r="B2693">
        <v>44</v>
      </c>
      <c r="C2693">
        <v>100</v>
      </c>
      <c r="D2693">
        <v>10</v>
      </c>
      <c r="E2693">
        <v>5001.92</v>
      </c>
      <c r="F2693" t="s">
        <v>233</v>
      </c>
      <c r="G2693" t="s">
        <v>93</v>
      </c>
      <c r="H2693">
        <v>4</v>
      </c>
      <c r="I2693">
        <v>12</v>
      </c>
      <c r="J2693">
        <v>2004</v>
      </c>
      <c r="K2693" t="s">
        <v>726</v>
      </c>
      <c r="L2693">
        <v>80</v>
      </c>
      <c r="M2693" t="s">
        <v>863</v>
      </c>
      <c r="N2693" t="s">
        <v>234</v>
      </c>
      <c r="O2693" t="s">
        <v>235</v>
      </c>
      <c r="P2693" t="s">
        <v>236</v>
      </c>
      <c r="Q2693" t="s">
        <v>237</v>
      </c>
      <c r="R2693" t="s">
        <v>238</v>
      </c>
      <c r="S2693" t="s">
        <v>239</v>
      </c>
      <c r="T2693">
        <v>2067</v>
      </c>
      <c r="U2693" t="s">
        <v>168</v>
      </c>
      <c r="V2693" t="s">
        <v>169</v>
      </c>
      <c r="W2693" t="s">
        <v>240</v>
      </c>
      <c r="X2693" t="s">
        <v>241</v>
      </c>
      <c r="Y2693" t="s">
        <v>119</v>
      </c>
    </row>
    <row r="2694" spans="1:25">
      <c r="A2694">
        <v>10375</v>
      </c>
      <c r="B2694">
        <v>44</v>
      </c>
      <c r="C2694">
        <v>100</v>
      </c>
      <c r="D2694">
        <v>11</v>
      </c>
      <c r="E2694">
        <v>5208.72</v>
      </c>
      <c r="F2694" s="4">
        <v>38413</v>
      </c>
      <c r="G2694" t="s">
        <v>93</v>
      </c>
      <c r="H2694">
        <v>1</v>
      </c>
      <c r="I2694">
        <v>2</v>
      </c>
      <c r="J2694">
        <v>2005</v>
      </c>
      <c r="K2694" t="s">
        <v>726</v>
      </c>
      <c r="L2694">
        <v>80</v>
      </c>
      <c r="M2694" t="s">
        <v>863</v>
      </c>
      <c r="N2694" t="s">
        <v>190</v>
      </c>
      <c r="O2694" t="s">
        <v>191</v>
      </c>
      <c r="P2694" t="s">
        <v>192</v>
      </c>
      <c r="R2694" t="s">
        <v>193</v>
      </c>
      <c r="T2694">
        <v>44000</v>
      </c>
      <c r="U2694" t="s">
        <v>109</v>
      </c>
      <c r="V2694" t="s">
        <v>110</v>
      </c>
      <c r="W2694" t="s">
        <v>194</v>
      </c>
      <c r="X2694" t="s">
        <v>195</v>
      </c>
      <c r="Y2694" t="s">
        <v>119</v>
      </c>
    </row>
    <row r="2695" spans="1:25">
      <c r="A2695">
        <v>10386</v>
      </c>
      <c r="B2695">
        <v>32</v>
      </c>
      <c r="C2695">
        <v>94.34</v>
      </c>
      <c r="D2695">
        <v>17</v>
      </c>
      <c r="E2695">
        <v>3018.88</v>
      </c>
      <c r="F2695" s="4">
        <v>38355</v>
      </c>
      <c r="G2695" t="s">
        <v>526</v>
      </c>
      <c r="H2695">
        <v>1</v>
      </c>
      <c r="I2695">
        <v>3</v>
      </c>
      <c r="J2695">
        <v>2005</v>
      </c>
      <c r="K2695" t="s">
        <v>726</v>
      </c>
      <c r="L2695">
        <v>80</v>
      </c>
      <c r="M2695" t="s">
        <v>863</v>
      </c>
      <c r="N2695" t="s">
        <v>257</v>
      </c>
      <c r="O2695" t="s">
        <v>258</v>
      </c>
      <c r="P2695" t="s">
        <v>259</v>
      </c>
      <c r="R2695" t="s">
        <v>260</v>
      </c>
      <c r="T2695">
        <v>28034</v>
      </c>
      <c r="U2695" t="s">
        <v>261</v>
      </c>
      <c r="V2695" t="s">
        <v>110</v>
      </c>
      <c r="W2695" t="s">
        <v>262</v>
      </c>
      <c r="X2695" t="s">
        <v>263</v>
      </c>
      <c r="Y2695" t="s">
        <v>119</v>
      </c>
    </row>
    <row r="2696" spans="1:25">
      <c r="A2696">
        <v>10398</v>
      </c>
      <c r="B2696">
        <v>29</v>
      </c>
      <c r="C2696">
        <v>65.599999999999994</v>
      </c>
      <c r="D2696">
        <v>10</v>
      </c>
      <c r="E2696">
        <v>1902.4</v>
      </c>
      <c r="F2696" t="s">
        <v>750</v>
      </c>
      <c r="G2696" t="s">
        <v>93</v>
      </c>
      <c r="H2696">
        <v>1</v>
      </c>
      <c r="I2696">
        <v>3</v>
      </c>
      <c r="J2696">
        <v>2005</v>
      </c>
      <c r="K2696" t="s">
        <v>726</v>
      </c>
      <c r="L2696">
        <v>80</v>
      </c>
      <c r="M2696" t="s">
        <v>863</v>
      </c>
      <c r="N2696" t="s">
        <v>105</v>
      </c>
      <c r="O2696" t="s">
        <v>106</v>
      </c>
      <c r="P2696" t="s">
        <v>107</v>
      </c>
      <c r="R2696" t="s">
        <v>108</v>
      </c>
      <c r="T2696">
        <v>51100</v>
      </c>
      <c r="U2696" t="s">
        <v>109</v>
      </c>
      <c r="V2696" t="s">
        <v>110</v>
      </c>
      <c r="W2696" t="s">
        <v>111</v>
      </c>
      <c r="X2696" t="s">
        <v>112</v>
      </c>
      <c r="Y2696" t="s">
        <v>104</v>
      </c>
    </row>
    <row r="2697" spans="1:25">
      <c r="A2697">
        <v>10401</v>
      </c>
      <c r="B2697">
        <v>77</v>
      </c>
      <c r="C2697">
        <v>92</v>
      </c>
      <c r="D2697">
        <v>9</v>
      </c>
      <c r="E2697">
        <v>7084</v>
      </c>
      <c r="F2697" s="4">
        <v>38415</v>
      </c>
      <c r="G2697" t="s">
        <v>518</v>
      </c>
      <c r="H2697">
        <v>2</v>
      </c>
      <c r="I2697">
        <v>4</v>
      </c>
      <c r="J2697">
        <v>2005</v>
      </c>
      <c r="K2697" t="s">
        <v>726</v>
      </c>
      <c r="L2697">
        <v>80</v>
      </c>
      <c r="M2697" t="s">
        <v>863</v>
      </c>
      <c r="N2697" t="s">
        <v>178</v>
      </c>
      <c r="O2697">
        <v>2015559350</v>
      </c>
      <c r="P2697" t="s">
        <v>179</v>
      </c>
      <c r="R2697" t="s">
        <v>180</v>
      </c>
      <c r="S2697" t="s">
        <v>181</v>
      </c>
      <c r="T2697">
        <v>94019</v>
      </c>
      <c r="U2697" t="s">
        <v>100</v>
      </c>
      <c r="V2697" t="s">
        <v>101</v>
      </c>
      <c r="W2697" t="s">
        <v>130</v>
      </c>
      <c r="X2697" t="s">
        <v>182</v>
      </c>
      <c r="Y2697" t="s">
        <v>232</v>
      </c>
    </row>
    <row r="2698" spans="1:25">
      <c r="A2698">
        <v>10416</v>
      </c>
      <c r="B2698">
        <v>39</v>
      </c>
      <c r="C2698">
        <v>67.2</v>
      </c>
      <c r="D2698">
        <v>10</v>
      </c>
      <c r="E2698">
        <v>2620.8000000000002</v>
      </c>
      <c r="F2698" s="4">
        <v>38630</v>
      </c>
      <c r="G2698" t="s">
        <v>93</v>
      </c>
      <c r="H2698">
        <v>2</v>
      </c>
      <c r="I2698">
        <v>5</v>
      </c>
      <c r="J2698">
        <v>2005</v>
      </c>
      <c r="K2698" t="s">
        <v>726</v>
      </c>
      <c r="L2698">
        <v>80</v>
      </c>
      <c r="M2698" t="s">
        <v>863</v>
      </c>
      <c r="N2698" t="s">
        <v>576</v>
      </c>
      <c r="O2698" t="s">
        <v>577</v>
      </c>
      <c r="P2698" t="s">
        <v>578</v>
      </c>
      <c r="R2698" t="s">
        <v>579</v>
      </c>
      <c r="T2698">
        <v>42100</v>
      </c>
      <c r="U2698" t="s">
        <v>352</v>
      </c>
      <c r="V2698" t="s">
        <v>110</v>
      </c>
      <c r="W2698" t="s">
        <v>580</v>
      </c>
      <c r="X2698" t="s">
        <v>581</v>
      </c>
      <c r="Y2698" t="s">
        <v>104</v>
      </c>
    </row>
    <row r="2699" spans="1:25">
      <c r="A2699">
        <v>10105</v>
      </c>
      <c r="B2699">
        <v>39</v>
      </c>
      <c r="C2699">
        <v>81.14</v>
      </c>
      <c r="D2699">
        <v>6</v>
      </c>
      <c r="E2699">
        <v>3164.46</v>
      </c>
      <c r="F2699" s="4">
        <v>37927</v>
      </c>
      <c r="G2699" t="s">
        <v>93</v>
      </c>
      <c r="H2699">
        <v>1</v>
      </c>
      <c r="I2699">
        <v>2</v>
      </c>
      <c r="J2699">
        <v>2003</v>
      </c>
      <c r="K2699" t="s">
        <v>775</v>
      </c>
      <c r="L2699">
        <v>100</v>
      </c>
      <c r="M2699" t="s">
        <v>864</v>
      </c>
      <c r="N2699" t="s">
        <v>425</v>
      </c>
      <c r="O2699" t="s">
        <v>426</v>
      </c>
      <c r="P2699" t="s">
        <v>427</v>
      </c>
      <c r="R2699" t="s">
        <v>428</v>
      </c>
      <c r="T2699">
        <v>1734</v>
      </c>
      <c r="U2699" t="s">
        <v>429</v>
      </c>
      <c r="V2699" t="s">
        <v>110</v>
      </c>
      <c r="W2699" t="s">
        <v>430</v>
      </c>
      <c r="X2699" t="s">
        <v>431</v>
      </c>
      <c r="Y2699" t="s">
        <v>119</v>
      </c>
    </row>
    <row r="2700" spans="1:25">
      <c r="A2700">
        <v>10118</v>
      </c>
      <c r="B2700">
        <v>36</v>
      </c>
      <c r="C2700">
        <v>100</v>
      </c>
      <c r="D2700">
        <v>1</v>
      </c>
      <c r="E2700">
        <v>4219.2</v>
      </c>
      <c r="F2700" t="s">
        <v>865</v>
      </c>
      <c r="G2700" t="s">
        <v>93</v>
      </c>
      <c r="H2700">
        <v>2</v>
      </c>
      <c r="I2700">
        <v>4</v>
      </c>
      <c r="J2700">
        <v>2003</v>
      </c>
      <c r="K2700" t="s">
        <v>775</v>
      </c>
      <c r="L2700">
        <v>100</v>
      </c>
      <c r="M2700" t="s">
        <v>864</v>
      </c>
      <c r="N2700" t="s">
        <v>459</v>
      </c>
      <c r="O2700" t="s">
        <v>460</v>
      </c>
      <c r="P2700" t="s">
        <v>461</v>
      </c>
      <c r="R2700" t="s">
        <v>462</v>
      </c>
      <c r="T2700">
        <v>8022</v>
      </c>
      <c r="U2700" t="s">
        <v>261</v>
      </c>
      <c r="V2700" t="s">
        <v>110</v>
      </c>
      <c r="W2700" t="s">
        <v>463</v>
      </c>
      <c r="X2700" t="s">
        <v>464</v>
      </c>
      <c r="Y2700" t="s">
        <v>119</v>
      </c>
    </row>
    <row r="2701" spans="1:25">
      <c r="A2701">
        <v>10129</v>
      </c>
      <c r="B2701">
        <v>42</v>
      </c>
      <c r="C2701">
        <v>91.15</v>
      </c>
      <c r="D2701">
        <v>6</v>
      </c>
      <c r="E2701">
        <v>3828.3</v>
      </c>
      <c r="F2701" s="4">
        <v>37961</v>
      </c>
      <c r="G2701" t="s">
        <v>93</v>
      </c>
      <c r="H2701">
        <v>2</v>
      </c>
      <c r="I2701">
        <v>6</v>
      </c>
      <c r="J2701">
        <v>2003</v>
      </c>
      <c r="K2701" t="s">
        <v>775</v>
      </c>
      <c r="L2701">
        <v>100</v>
      </c>
      <c r="M2701" t="s">
        <v>864</v>
      </c>
      <c r="N2701" t="s">
        <v>433</v>
      </c>
      <c r="O2701" t="s">
        <v>434</v>
      </c>
      <c r="P2701" t="s">
        <v>435</v>
      </c>
      <c r="R2701" t="s">
        <v>436</v>
      </c>
      <c r="T2701" t="s">
        <v>437</v>
      </c>
      <c r="U2701" t="s">
        <v>252</v>
      </c>
      <c r="V2701" t="s">
        <v>110</v>
      </c>
      <c r="W2701" t="s">
        <v>130</v>
      </c>
      <c r="X2701" t="s">
        <v>438</v>
      </c>
      <c r="Y2701" t="s">
        <v>119</v>
      </c>
    </row>
    <row r="2702" spans="1:25">
      <c r="A2702">
        <v>10142</v>
      </c>
      <c r="B2702">
        <v>21</v>
      </c>
      <c r="C2702">
        <v>100</v>
      </c>
      <c r="D2702">
        <v>3</v>
      </c>
      <c r="E2702">
        <v>2334.9899999999998</v>
      </c>
      <c r="F2702" s="4">
        <v>37841</v>
      </c>
      <c r="G2702" t="s">
        <v>93</v>
      </c>
      <c r="H2702">
        <v>3</v>
      </c>
      <c r="I2702">
        <v>8</v>
      </c>
      <c r="J2702">
        <v>2003</v>
      </c>
      <c r="K2702" t="s">
        <v>775</v>
      </c>
      <c r="L2702">
        <v>100</v>
      </c>
      <c r="M2702" t="s">
        <v>864</v>
      </c>
      <c r="N2702" t="s">
        <v>367</v>
      </c>
      <c r="O2702">
        <v>4155551450</v>
      </c>
      <c r="P2702" t="s">
        <v>368</v>
      </c>
      <c r="R2702" t="s">
        <v>369</v>
      </c>
      <c r="S2702" t="s">
        <v>124</v>
      </c>
      <c r="T2702">
        <v>97562</v>
      </c>
      <c r="U2702" t="s">
        <v>100</v>
      </c>
      <c r="V2702" t="s">
        <v>101</v>
      </c>
      <c r="W2702" t="s">
        <v>370</v>
      </c>
      <c r="X2702" t="s">
        <v>371</v>
      </c>
      <c r="Y2702" t="s">
        <v>104</v>
      </c>
    </row>
    <row r="2703" spans="1:25">
      <c r="A2703">
        <v>10153</v>
      </c>
      <c r="B2703">
        <v>50</v>
      </c>
      <c r="C2703">
        <v>88.15</v>
      </c>
      <c r="D2703">
        <v>2</v>
      </c>
      <c r="E2703">
        <v>4407.5</v>
      </c>
      <c r="F2703" t="s">
        <v>607</v>
      </c>
      <c r="G2703" t="s">
        <v>93</v>
      </c>
      <c r="H2703">
        <v>3</v>
      </c>
      <c r="I2703">
        <v>9</v>
      </c>
      <c r="J2703">
        <v>2003</v>
      </c>
      <c r="K2703" t="s">
        <v>775</v>
      </c>
      <c r="L2703">
        <v>100</v>
      </c>
      <c r="M2703" t="s">
        <v>864</v>
      </c>
      <c r="N2703" t="s">
        <v>257</v>
      </c>
      <c r="O2703" t="s">
        <v>258</v>
      </c>
      <c r="P2703" t="s">
        <v>259</v>
      </c>
      <c r="R2703" t="s">
        <v>260</v>
      </c>
      <c r="T2703">
        <v>28034</v>
      </c>
      <c r="U2703" t="s">
        <v>261</v>
      </c>
      <c r="V2703" t="s">
        <v>110</v>
      </c>
      <c r="W2703" t="s">
        <v>262</v>
      </c>
      <c r="X2703" t="s">
        <v>263</v>
      </c>
      <c r="Y2703" t="s">
        <v>119</v>
      </c>
    </row>
    <row r="2704" spans="1:25">
      <c r="A2704">
        <v>10167</v>
      </c>
      <c r="B2704">
        <v>24</v>
      </c>
      <c r="C2704">
        <v>100</v>
      </c>
      <c r="D2704">
        <v>13</v>
      </c>
      <c r="E2704">
        <v>2812.8</v>
      </c>
      <c r="F2704" t="s">
        <v>443</v>
      </c>
      <c r="G2704" t="s">
        <v>444</v>
      </c>
      <c r="H2704">
        <v>4</v>
      </c>
      <c r="I2704">
        <v>10</v>
      </c>
      <c r="J2704">
        <v>2003</v>
      </c>
      <c r="K2704" t="s">
        <v>775</v>
      </c>
      <c r="L2704">
        <v>100</v>
      </c>
      <c r="M2704" t="s">
        <v>864</v>
      </c>
      <c r="N2704" t="s">
        <v>355</v>
      </c>
      <c r="O2704" t="s">
        <v>356</v>
      </c>
      <c r="P2704" t="s">
        <v>357</v>
      </c>
      <c r="R2704" t="s">
        <v>358</v>
      </c>
      <c r="T2704" t="s">
        <v>359</v>
      </c>
      <c r="U2704" t="s">
        <v>273</v>
      </c>
      <c r="V2704" t="s">
        <v>110</v>
      </c>
      <c r="W2704" t="s">
        <v>360</v>
      </c>
      <c r="X2704" t="s">
        <v>295</v>
      </c>
      <c r="Y2704" t="s">
        <v>104</v>
      </c>
    </row>
    <row r="2705" spans="1:25">
      <c r="A2705">
        <v>10177</v>
      </c>
      <c r="B2705">
        <v>44</v>
      </c>
      <c r="C2705">
        <v>92.16</v>
      </c>
      <c r="D2705">
        <v>4</v>
      </c>
      <c r="E2705">
        <v>4055.04</v>
      </c>
      <c r="F2705" s="4">
        <v>37813</v>
      </c>
      <c r="G2705" t="s">
        <v>93</v>
      </c>
      <c r="H2705">
        <v>4</v>
      </c>
      <c r="I2705">
        <v>11</v>
      </c>
      <c r="J2705">
        <v>2003</v>
      </c>
      <c r="K2705" t="s">
        <v>775</v>
      </c>
      <c r="L2705">
        <v>100</v>
      </c>
      <c r="M2705" t="s">
        <v>864</v>
      </c>
      <c r="N2705" t="s">
        <v>618</v>
      </c>
      <c r="O2705" t="s">
        <v>619</v>
      </c>
      <c r="P2705" t="s">
        <v>620</v>
      </c>
      <c r="R2705" t="s">
        <v>260</v>
      </c>
      <c r="T2705">
        <v>28023</v>
      </c>
      <c r="U2705" t="s">
        <v>261</v>
      </c>
      <c r="V2705" t="s">
        <v>110</v>
      </c>
      <c r="W2705" t="s">
        <v>621</v>
      </c>
      <c r="X2705" t="s">
        <v>622</v>
      </c>
      <c r="Y2705" t="s">
        <v>119</v>
      </c>
    </row>
    <row r="2706" spans="1:25">
      <c r="A2706">
        <v>10185</v>
      </c>
      <c r="B2706">
        <v>37</v>
      </c>
      <c r="C2706">
        <v>100</v>
      </c>
      <c r="D2706">
        <v>4</v>
      </c>
      <c r="E2706">
        <v>3891.66</v>
      </c>
      <c r="F2706" t="s">
        <v>451</v>
      </c>
      <c r="G2706" t="s">
        <v>93</v>
      </c>
      <c r="H2706">
        <v>4</v>
      </c>
      <c r="I2706">
        <v>11</v>
      </c>
      <c r="J2706">
        <v>2003</v>
      </c>
      <c r="K2706" t="s">
        <v>775</v>
      </c>
      <c r="L2706">
        <v>100</v>
      </c>
      <c r="M2706" t="s">
        <v>864</v>
      </c>
      <c r="N2706" t="s">
        <v>439</v>
      </c>
      <c r="O2706">
        <v>5085559555</v>
      </c>
      <c r="P2706" t="s">
        <v>440</v>
      </c>
      <c r="R2706" t="s">
        <v>244</v>
      </c>
      <c r="S2706" t="s">
        <v>200</v>
      </c>
      <c r="T2706">
        <v>50553</v>
      </c>
      <c r="U2706" t="s">
        <v>100</v>
      </c>
      <c r="V2706" t="s">
        <v>101</v>
      </c>
      <c r="W2706" t="s">
        <v>441</v>
      </c>
      <c r="X2706" t="s">
        <v>442</v>
      </c>
      <c r="Y2706" t="s">
        <v>119</v>
      </c>
    </row>
    <row r="2707" spans="1:25">
      <c r="A2707">
        <v>10197</v>
      </c>
      <c r="B2707">
        <v>27</v>
      </c>
      <c r="C2707">
        <v>92.16</v>
      </c>
      <c r="D2707">
        <v>10</v>
      </c>
      <c r="E2707">
        <v>2488.3200000000002</v>
      </c>
      <c r="F2707" t="s">
        <v>458</v>
      </c>
      <c r="G2707" t="s">
        <v>93</v>
      </c>
      <c r="H2707">
        <v>4</v>
      </c>
      <c r="I2707">
        <v>11</v>
      </c>
      <c r="J2707">
        <v>2003</v>
      </c>
      <c r="K2707" t="s">
        <v>775</v>
      </c>
      <c r="L2707">
        <v>100</v>
      </c>
      <c r="M2707" t="s">
        <v>864</v>
      </c>
      <c r="N2707" t="s">
        <v>459</v>
      </c>
      <c r="O2707" t="s">
        <v>460</v>
      </c>
      <c r="P2707" t="s">
        <v>461</v>
      </c>
      <c r="R2707" t="s">
        <v>462</v>
      </c>
      <c r="T2707">
        <v>8022</v>
      </c>
      <c r="U2707" t="s">
        <v>261</v>
      </c>
      <c r="V2707" t="s">
        <v>110</v>
      </c>
      <c r="W2707" t="s">
        <v>463</v>
      </c>
      <c r="X2707" t="s">
        <v>464</v>
      </c>
      <c r="Y2707" t="s">
        <v>104</v>
      </c>
    </row>
    <row r="2708" spans="1:25">
      <c r="A2708">
        <v>10208</v>
      </c>
      <c r="B2708">
        <v>37</v>
      </c>
      <c r="C2708">
        <v>100</v>
      </c>
      <c r="D2708">
        <v>4</v>
      </c>
      <c r="E2708">
        <v>4447.3999999999996</v>
      </c>
      <c r="F2708" s="4">
        <v>38018</v>
      </c>
      <c r="G2708" t="s">
        <v>93</v>
      </c>
      <c r="H2708">
        <v>1</v>
      </c>
      <c r="I2708">
        <v>1</v>
      </c>
      <c r="J2708">
        <v>2004</v>
      </c>
      <c r="K2708" t="s">
        <v>775</v>
      </c>
      <c r="L2708">
        <v>100</v>
      </c>
      <c r="M2708" t="s">
        <v>864</v>
      </c>
      <c r="N2708" t="s">
        <v>310</v>
      </c>
      <c r="O2708" t="s">
        <v>311</v>
      </c>
      <c r="P2708" t="s">
        <v>312</v>
      </c>
      <c r="R2708" t="s">
        <v>313</v>
      </c>
      <c r="T2708">
        <v>69004</v>
      </c>
      <c r="U2708" t="s">
        <v>109</v>
      </c>
      <c r="V2708" t="s">
        <v>110</v>
      </c>
      <c r="W2708" t="s">
        <v>314</v>
      </c>
      <c r="X2708" t="s">
        <v>315</v>
      </c>
      <c r="Y2708" t="s">
        <v>119</v>
      </c>
    </row>
    <row r="2709" spans="1:25">
      <c r="A2709">
        <v>10222</v>
      </c>
      <c r="B2709">
        <v>38</v>
      </c>
      <c r="C2709">
        <v>100</v>
      </c>
      <c r="D2709">
        <v>16</v>
      </c>
      <c r="E2709">
        <v>4187.22</v>
      </c>
      <c r="F2709" t="s">
        <v>469</v>
      </c>
      <c r="G2709" t="s">
        <v>93</v>
      </c>
      <c r="H2709">
        <v>1</v>
      </c>
      <c r="I2709">
        <v>2</v>
      </c>
      <c r="J2709">
        <v>2004</v>
      </c>
      <c r="K2709" t="s">
        <v>775</v>
      </c>
      <c r="L2709">
        <v>100</v>
      </c>
      <c r="M2709" t="s">
        <v>864</v>
      </c>
      <c r="N2709" t="s">
        <v>470</v>
      </c>
      <c r="O2709">
        <v>7605558146</v>
      </c>
      <c r="P2709" t="s">
        <v>471</v>
      </c>
      <c r="R2709" t="s">
        <v>472</v>
      </c>
      <c r="S2709" t="s">
        <v>124</v>
      </c>
      <c r="T2709">
        <v>91217</v>
      </c>
      <c r="U2709" t="s">
        <v>100</v>
      </c>
      <c r="V2709" t="s">
        <v>101</v>
      </c>
      <c r="W2709" t="s">
        <v>6</v>
      </c>
      <c r="X2709" t="s">
        <v>371</v>
      </c>
      <c r="Y2709" t="s">
        <v>119</v>
      </c>
    </row>
    <row r="2710" spans="1:25">
      <c r="A2710">
        <v>10232</v>
      </c>
      <c r="B2710">
        <v>48</v>
      </c>
      <c r="C2710">
        <v>96.16</v>
      </c>
      <c r="D2710">
        <v>1</v>
      </c>
      <c r="E2710">
        <v>4615.68</v>
      </c>
      <c r="F2710" t="s">
        <v>782</v>
      </c>
      <c r="G2710" t="s">
        <v>93</v>
      </c>
      <c r="H2710">
        <v>1</v>
      </c>
      <c r="I2710">
        <v>3</v>
      </c>
      <c r="J2710">
        <v>2004</v>
      </c>
      <c r="K2710" t="s">
        <v>775</v>
      </c>
      <c r="L2710">
        <v>100</v>
      </c>
      <c r="M2710" t="s">
        <v>864</v>
      </c>
      <c r="N2710" t="s">
        <v>495</v>
      </c>
      <c r="O2710" t="s">
        <v>496</v>
      </c>
      <c r="P2710" t="s">
        <v>497</v>
      </c>
      <c r="R2710" t="s">
        <v>498</v>
      </c>
      <c r="S2710" t="s">
        <v>499</v>
      </c>
      <c r="T2710" t="s">
        <v>500</v>
      </c>
      <c r="U2710" t="s">
        <v>252</v>
      </c>
      <c r="V2710" t="s">
        <v>110</v>
      </c>
      <c r="W2710" t="s">
        <v>501</v>
      </c>
      <c r="X2710" t="s">
        <v>502</v>
      </c>
      <c r="Y2710" t="s">
        <v>119</v>
      </c>
    </row>
    <row r="2711" spans="1:25">
      <c r="A2711">
        <v>10248</v>
      </c>
      <c r="B2711">
        <v>30</v>
      </c>
      <c r="C2711">
        <v>100</v>
      </c>
      <c r="D2711">
        <v>7</v>
      </c>
      <c r="E2711">
        <v>3245.4</v>
      </c>
      <c r="F2711" s="4">
        <v>38173</v>
      </c>
      <c r="G2711" t="s">
        <v>444</v>
      </c>
      <c r="H2711">
        <v>2</v>
      </c>
      <c r="I2711">
        <v>5</v>
      </c>
      <c r="J2711">
        <v>2004</v>
      </c>
      <c r="K2711" t="s">
        <v>775</v>
      </c>
      <c r="L2711">
        <v>100</v>
      </c>
      <c r="M2711" t="s">
        <v>864</v>
      </c>
      <c r="N2711" t="s">
        <v>96</v>
      </c>
      <c r="O2711">
        <v>2125557818</v>
      </c>
      <c r="P2711" t="s">
        <v>97</v>
      </c>
      <c r="R2711" t="s">
        <v>98</v>
      </c>
      <c r="S2711" t="s">
        <v>99</v>
      </c>
      <c r="T2711">
        <v>10022</v>
      </c>
      <c r="U2711" t="s">
        <v>100</v>
      </c>
      <c r="V2711" t="s">
        <v>101</v>
      </c>
      <c r="W2711" t="s">
        <v>102</v>
      </c>
      <c r="X2711" t="s">
        <v>103</v>
      </c>
      <c r="Y2711" t="s">
        <v>119</v>
      </c>
    </row>
    <row r="2712" spans="1:25">
      <c r="A2712">
        <v>10261</v>
      </c>
      <c r="B2712">
        <v>25</v>
      </c>
      <c r="C2712">
        <v>88.15</v>
      </c>
      <c r="D2712">
        <v>5</v>
      </c>
      <c r="E2712">
        <v>2203.75</v>
      </c>
      <c r="F2712" t="s">
        <v>473</v>
      </c>
      <c r="G2712" t="s">
        <v>93</v>
      </c>
      <c r="H2712">
        <v>2</v>
      </c>
      <c r="I2712">
        <v>6</v>
      </c>
      <c r="J2712">
        <v>2004</v>
      </c>
      <c r="K2712" t="s">
        <v>775</v>
      </c>
      <c r="L2712">
        <v>100</v>
      </c>
      <c r="M2712" t="s">
        <v>864</v>
      </c>
      <c r="N2712" t="s">
        <v>391</v>
      </c>
      <c r="O2712" t="s">
        <v>392</v>
      </c>
      <c r="P2712" t="s">
        <v>393</v>
      </c>
      <c r="R2712" t="s">
        <v>394</v>
      </c>
      <c r="S2712" t="s">
        <v>395</v>
      </c>
      <c r="T2712" t="s">
        <v>396</v>
      </c>
      <c r="U2712" t="s">
        <v>322</v>
      </c>
      <c r="V2712" t="s">
        <v>101</v>
      </c>
      <c r="W2712" t="s">
        <v>397</v>
      </c>
      <c r="X2712" t="s">
        <v>398</v>
      </c>
      <c r="Y2712" t="s">
        <v>104</v>
      </c>
    </row>
    <row r="2713" spans="1:25">
      <c r="A2713">
        <v>10273</v>
      </c>
      <c r="B2713">
        <v>40</v>
      </c>
      <c r="C2713">
        <v>86.15</v>
      </c>
      <c r="D2713">
        <v>8</v>
      </c>
      <c r="E2713">
        <v>3446</v>
      </c>
      <c r="F2713" t="s">
        <v>474</v>
      </c>
      <c r="G2713" t="s">
        <v>93</v>
      </c>
      <c r="H2713">
        <v>3</v>
      </c>
      <c r="I2713">
        <v>7</v>
      </c>
      <c r="J2713">
        <v>2004</v>
      </c>
      <c r="K2713" t="s">
        <v>775</v>
      </c>
      <c r="L2713">
        <v>100</v>
      </c>
      <c r="M2713" t="s">
        <v>864</v>
      </c>
      <c r="N2713" t="s">
        <v>475</v>
      </c>
      <c r="O2713" t="s">
        <v>476</v>
      </c>
      <c r="P2713" t="s">
        <v>477</v>
      </c>
      <c r="R2713" t="s">
        <v>478</v>
      </c>
      <c r="T2713" t="s">
        <v>479</v>
      </c>
      <c r="U2713" t="s">
        <v>480</v>
      </c>
      <c r="V2713" t="s">
        <v>110</v>
      </c>
      <c r="W2713" t="s">
        <v>481</v>
      </c>
      <c r="X2713" t="s">
        <v>482</v>
      </c>
      <c r="Y2713" t="s">
        <v>119</v>
      </c>
    </row>
    <row r="2714" spans="1:25">
      <c r="A2714">
        <v>10283</v>
      </c>
      <c r="B2714">
        <v>22</v>
      </c>
      <c r="C2714">
        <v>88.15</v>
      </c>
      <c r="D2714">
        <v>10</v>
      </c>
      <c r="E2714">
        <v>1939.3</v>
      </c>
      <c r="F2714" t="s">
        <v>483</v>
      </c>
      <c r="G2714" t="s">
        <v>93</v>
      </c>
      <c r="H2714">
        <v>3</v>
      </c>
      <c r="I2714">
        <v>8</v>
      </c>
      <c r="J2714">
        <v>2004</v>
      </c>
      <c r="K2714" t="s">
        <v>775</v>
      </c>
      <c r="L2714">
        <v>100</v>
      </c>
      <c r="M2714" t="s">
        <v>864</v>
      </c>
      <c r="N2714" t="s">
        <v>484</v>
      </c>
      <c r="O2714" t="s">
        <v>485</v>
      </c>
      <c r="P2714" t="s">
        <v>486</v>
      </c>
      <c r="R2714" t="s">
        <v>487</v>
      </c>
      <c r="S2714" t="s">
        <v>320</v>
      </c>
      <c r="T2714" t="s">
        <v>488</v>
      </c>
      <c r="U2714" t="s">
        <v>322</v>
      </c>
      <c r="V2714" t="s">
        <v>101</v>
      </c>
      <c r="W2714" t="s">
        <v>489</v>
      </c>
      <c r="X2714" t="s">
        <v>254</v>
      </c>
      <c r="Y2714" t="s">
        <v>104</v>
      </c>
    </row>
    <row r="2715" spans="1:25">
      <c r="A2715">
        <v>10295</v>
      </c>
      <c r="B2715">
        <v>34</v>
      </c>
      <c r="C2715">
        <v>100</v>
      </c>
      <c r="D2715">
        <v>5</v>
      </c>
      <c r="E2715">
        <v>3473.78</v>
      </c>
      <c r="F2715" s="4">
        <v>38269</v>
      </c>
      <c r="G2715" t="s">
        <v>93</v>
      </c>
      <c r="H2715">
        <v>3</v>
      </c>
      <c r="I2715">
        <v>9</v>
      </c>
      <c r="J2715">
        <v>2004</v>
      </c>
      <c r="K2715" t="s">
        <v>775</v>
      </c>
      <c r="L2715">
        <v>100</v>
      </c>
      <c r="M2715" t="s">
        <v>864</v>
      </c>
      <c r="N2715" t="s">
        <v>490</v>
      </c>
      <c r="O2715">
        <v>6175559555</v>
      </c>
      <c r="P2715" t="s">
        <v>491</v>
      </c>
      <c r="R2715" t="s">
        <v>492</v>
      </c>
      <c r="S2715" t="s">
        <v>200</v>
      </c>
      <c r="T2715">
        <v>51003</v>
      </c>
      <c r="U2715" t="s">
        <v>100</v>
      </c>
      <c r="V2715" t="s">
        <v>101</v>
      </c>
      <c r="W2715" t="s">
        <v>493</v>
      </c>
      <c r="X2715" t="s">
        <v>136</v>
      </c>
      <c r="Y2715" t="s">
        <v>119</v>
      </c>
    </row>
    <row r="2716" spans="1:25">
      <c r="A2716">
        <v>10306</v>
      </c>
      <c r="B2716">
        <v>32</v>
      </c>
      <c r="C2716">
        <v>90.15</v>
      </c>
      <c r="D2716">
        <v>4</v>
      </c>
      <c r="E2716">
        <v>2884.8</v>
      </c>
      <c r="F2716" t="s">
        <v>494</v>
      </c>
      <c r="G2716" t="s">
        <v>93</v>
      </c>
      <c r="H2716">
        <v>4</v>
      </c>
      <c r="I2716">
        <v>10</v>
      </c>
      <c r="J2716">
        <v>2004</v>
      </c>
      <c r="K2716" t="s">
        <v>775</v>
      </c>
      <c r="L2716">
        <v>100</v>
      </c>
      <c r="M2716" t="s">
        <v>864</v>
      </c>
      <c r="N2716" t="s">
        <v>624</v>
      </c>
      <c r="O2716" t="s">
        <v>625</v>
      </c>
      <c r="P2716" t="s">
        <v>626</v>
      </c>
      <c r="R2716" t="s">
        <v>627</v>
      </c>
      <c r="T2716" t="s">
        <v>628</v>
      </c>
      <c r="U2716" t="s">
        <v>252</v>
      </c>
      <c r="V2716" t="s">
        <v>110</v>
      </c>
      <c r="W2716" t="s">
        <v>629</v>
      </c>
      <c r="X2716" t="s">
        <v>167</v>
      </c>
      <c r="Y2716" t="s">
        <v>104</v>
      </c>
    </row>
    <row r="2717" spans="1:25">
      <c r="A2717">
        <v>10315</v>
      </c>
      <c r="B2717">
        <v>31</v>
      </c>
      <c r="C2717">
        <v>86.15</v>
      </c>
      <c r="D2717">
        <v>3</v>
      </c>
      <c r="E2717">
        <v>2670.65</v>
      </c>
      <c r="F2717" t="s">
        <v>802</v>
      </c>
      <c r="G2717" t="s">
        <v>93</v>
      </c>
      <c r="H2717">
        <v>4</v>
      </c>
      <c r="I2717">
        <v>10</v>
      </c>
      <c r="J2717">
        <v>2004</v>
      </c>
      <c r="K2717" t="s">
        <v>775</v>
      </c>
      <c r="L2717">
        <v>100</v>
      </c>
      <c r="M2717" t="s">
        <v>864</v>
      </c>
      <c r="N2717" t="s">
        <v>190</v>
      </c>
      <c r="O2717" t="s">
        <v>191</v>
      </c>
      <c r="P2717" t="s">
        <v>192</v>
      </c>
      <c r="R2717" t="s">
        <v>193</v>
      </c>
      <c r="T2717">
        <v>44000</v>
      </c>
      <c r="U2717" t="s">
        <v>109</v>
      </c>
      <c r="V2717" t="s">
        <v>110</v>
      </c>
      <c r="W2717" t="s">
        <v>194</v>
      </c>
      <c r="X2717" t="s">
        <v>195</v>
      </c>
      <c r="Y2717" t="s">
        <v>104</v>
      </c>
    </row>
    <row r="2718" spans="1:25">
      <c r="A2718">
        <v>10327</v>
      </c>
      <c r="B2718">
        <v>43</v>
      </c>
      <c r="C2718">
        <v>80</v>
      </c>
      <c r="D2718">
        <v>2</v>
      </c>
      <c r="E2718">
        <v>3440</v>
      </c>
      <c r="F2718" s="4">
        <v>38271</v>
      </c>
      <c r="G2718" t="s">
        <v>526</v>
      </c>
      <c r="H2718">
        <v>4</v>
      </c>
      <c r="I2718">
        <v>11</v>
      </c>
      <c r="J2718">
        <v>2004</v>
      </c>
      <c r="K2718" t="s">
        <v>775</v>
      </c>
      <c r="L2718">
        <v>100</v>
      </c>
      <c r="M2718" t="s">
        <v>864</v>
      </c>
      <c r="N2718" t="s">
        <v>425</v>
      </c>
      <c r="O2718" t="s">
        <v>426</v>
      </c>
      <c r="P2718" t="s">
        <v>427</v>
      </c>
      <c r="R2718" t="s">
        <v>428</v>
      </c>
      <c r="T2718">
        <v>1734</v>
      </c>
      <c r="U2718" t="s">
        <v>429</v>
      </c>
      <c r="V2718" t="s">
        <v>110</v>
      </c>
      <c r="W2718" t="s">
        <v>430</v>
      </c>
      <c r="X2718" t="s">
        <v>431</v>
      </c>
      <c r="Y2718" t="s">
        <v>119</v>
      </c>
    </row>
    <row r="2719" spans="1:25">
      <c r="A2719">
        <v>10337</v>
      </c>
      <c r="B2719">
        <v>31</v>
      </c>
      <c r="C2719">
        <v>89.38</v>
      </c>
      <c r="D2719">
        <v>1</v>
      </c>
      <c r="E2719">
        <v>2770.78</v>
      </c>
      <c r="F2719" t="s">
        <v>503</v>
      </c>
      <c r="G2719" t="s">
        <v>93</v>
      </c>
      <c r="H2719">
        <v>4</v>
      </c>
      <c r="I2719">
        <v>11</v>
      </c>
      <c r="J2719">
        <v>2004</v>
      </c>
      <c r="K2719" t="s">
        <v>775</v>
      </c>
      <c r="L2719">
        <v>100</v>
      </c>
      <c r="M2719" t="s">
        <v>864</v>
      </c>
      <c r="N2719" t="s">
        <v>292</v>
      </c>
      <c r="O2719">
        <v>2125558493</v>
      </c>
      <c r="P2719" t="s">
        <v>293</v>
      </c>
      <c r="Q2719" t="s">
        <v>294</v>
      </c>
      <c r="R2719" t="s">
        <v>98</v>
      </c>
      <c r="S2719" t="s">
        <v>99</v>
      </c>
      <c r="T2719">
        <v>10022</v>
      </c>
      <c r="U2719" t="s">
        <v>100</v>
      </c>
      <c r="V2719" t="s">
        <v>101</v>
      </c>
      <c r="W2719" t="s">
        <v>201</v>
      </c>
      <c r="X2719" t="s">
        <v>295</v>
      </c>
      <c r="Y2719" t="s">
        <v>104</v>
      </c>
    </row>
    <row r="2720" spans="1:25">
      <c r="A2720">
        <v>10350</v>
      </c>
      <c r="B2720">
        <v>31</v>
      </c>
      <c r="C2720">
        <v>77.34</v>
      </c>
      <c r="D2720">
        <v>13</v>
      </c>
      <c r="E2720">
        <v>2397.54</v>
      </c>
      <c r="F2720" s="4">
        <v>38029</v>
      </c>
      <c r="G2720" t="s">
        <v>93</v>
      </c>
      <c r="H2720">
        <v>4</v>
      </c>
      <c r="I2720">
        <v>12</v>
      </c>
      <c r="J2720">
        <v>2004</v>
      </c>
      <c r="K2720" t="s">
        <v>775</v>
      </c>
      <c r="L2720">
        <v>100</v>
      </c>
      <c r="M2720" t="s">
        <v>864</v>
      </c>
      <c r="N2720" t="s">
        <v>257</v>
      </c>
      <c r="O2720" t="s">
        <v>258</v>
      </c>
      <c r="P2720" t="s">
        <v>259</v>
      </c>
      <c r="R2720" t="s">
        <v>260</v>
      </c>
      <c r="T2720">
        <v>28034</v>
      </c>
      <c r="U2720" t="s">
        <v>261</v>
      </c>
      <c r="V2720" t="s">
        <v>110</v>
      </c>
      <c r="W2720" t="s">
        <v>262</v>
      </c>
      <c r="X2720" t="s">
        <v>263</v>
      </c>
      <c r="Y2720" t="s">
        <v>104</v>
      </c>
    </row>
    <row r="2721" spans="1:25">
      <c r="A2721">
        <v>10373</v>
      </c>
      <c r="B2721">
        <v>34</v>
      </c>
      <c r="C2721">
        <v>96.34</v>
      </c>
      <c r="D2721">
        <v>2</v>
      </c>
      <c r="E2721">
        <v>3275.56</v>
      </c>
      <c r="F2721" t="s">
        <v>505</v>
      </c>
      <c r="G2721" t="s">
        <v>93</v>
      </c>
      <c r="H2721">
        <v>1</v>
      </c>
      <c r="I2721">
        <v>1</v>
      </c>
      <c r="J2721">
        <v>2005</v>
      </c>
      <c r="K2721" t="s">
        <v>775</v>
      </c>
      <c r="L2721">
        <v>100</v>
      </c>
      <c r="M2721" t="s">
        <v>864</v>
      </c>
      <c r="N2721" t="s">
        <v>506</v>
      </c>
      <c r="O2721" t="s">
        <v>507</v>
      </c>
      <c r="P2721" t="s">
        <v>508</v>
      </c>
      <c r="R2721" t="s">
        <v>509</v>
      </c>
      <c r="T2721">
        <v>90110</v>
      </c>
      <c r="U2721" t="s">
        <v>208</v>
      </c>
      <c r="V2721" t="s">
        <v>110</v>
      </c>
      <c r="W2721" t="s">
        <v>510</v>
      </c>
      <c r="X2721" t="s">
        <v>511</v>
      </c>
      <c r="Y2721" t="s">
        <v>119</v>
      </c>
    </row>
    <row r="2722" spans="1:25">
      <c r="A2722">
        <v>10386</v>
      </c>
      <c r="B2722">
        <v>45</v>
      </c>
      <c r="C2722">
        <v>92.08</v>
      </c>
      <c r="D2722">
        <v>2</v>
      </c>
      <c r="E2722">
        <v>4143.6000000000004</v>
      </c>
      <c r="F2722" s="4">
        <v>38355</v>
      </c>
      <c r="G2722" t="s">
        <v>526</v>
      </c>
      <c r="H2722">
        <v>1</v>
      </c>
      <c r="I2722">
        <v>3</v>
      </c>
      <c r="J2722">
        <v>2005</v>
      </c>
      <c r="K2722" t="s">
        <v>775</v>
      </c>
      <c r="L2722">
        <v>100</v>
      </c>
      <c r="M2722" t="s">
        <v>864</v>
      </c>
      <c r="N2722" t="s">
        <v>257</v>
      </c>
      <c r="O2722" t="s">
        <v>258</v>
      </c>
      <c r="P2722" t="s">
        <v>259</v>
      </c>
      <c r="R2722" t="s">
        <v>260</v>
      </c>
      <c r="T2722">
        <v>28034</v>
      </c>
      <c r="U2722" t="s">
        <v>261</v>
      </c>
      <c r="V2722" t="s">
        <v>110</v>
      </c>
      <c r="W2722" t="s">
        <v>262</v>
      </c>
      <c r="X2722" t="s">
        <v>263</v>
      </c>
      <c r="Y2722" t="s">
        <v>119</v>
      </c>
    </row>
    <row r="2723" spans="1:25">
      <c r="A2723">
        <v>10397</v>
      </c>
      <c r="B2723">
        <v>48</v>
      </c>
      <c r="C2723">
        <v>100</v>
      </c>
      <c r="D2723">
        <v>3</v>
      </c>
      <c r="E2723">
        <v>5192.6400000000003</v>
      </c>
      <c r="F2723" t="s">
        <v>857</v>
      </c>
      <c r="G2723" t="s">
        <v>93</v>
      </c>
      <c r="H2723">
        <v>1</v>
      </c>
      <c r="I2723">
        <v>3</v>
      </c>
      <c r="J2723">
        <v>2005</v>
      </c>
      <c r="K2723" t="s">
        <v>775</v>
      </c>
      <c r="L2723">
        <v>100</v>
      </c>
      <c r="M2723" t="s">
        <v>864</v>
      </c>
      <c r="N2723" t="s">
        <v>445</v>
      </c>
      <c r="O2723" t="s">
        <v>446</v>
      </c>
      <c r="P2723" t="s">
        <v>447</v>
      </c>
      <c r="R2723" t="s">
        <v>448</v>
      </c>
      <c r="T2723">
        <v>31000</v>
      </c>
      <c r="U2723" t="s">
        <v>109</v>
      </c>
      <c r="V2723" t="s">
        <v>110</v>
      </c>
      <c r="W2723" t="s">
        <v>449</v>
      </c>
      <c r="X2723" t="s">
        <v>450</v>
      </c>
      <c r="Y2723" t="s">
        <v>119</v>
      </c>
    </row>
    <row r="2724" spans="1:25">
      <c r="A2724">
        <v>10414</v>
      </c>
      <c r="B2724">
        <v>28</v>
      </c>
      <c r="C2724">
        <v>100</v>
      </c>
      <c r="D2724">
        <v>7</v>
      </c>
      <c r="E2724">
        <v>3029.04</v>
      </c>
      <c r="F2724" s="4">
        <v>38508</v>
      </c>
      <c r="G2724" t="s">
        <v>518</v>
      </c>
      <c r="H2724">
        <v>2</v>
      </c>
      <c r="I2724">
        <v>5</v>
      </c>
      <c r="J2724">
        <v>2005</v>
      </c>
      <c r="K2724" t="s">
        <v>775</v>
      </c>
      <c r="L2724">
        <v>100</v>
      </c>
      <c r="M2724" t="s">
        <v>864</v>
      </c>
      <c r="N2724" t="s">
        <v>490</v>
      </c>
      <c r="O2724">
        <v>6175559555</v>
      </c>
      <c r="P2724" t="s">
        <v>491</v>
      </c>
      <c r="R2724" t="s">
        <v>492</v>
      </c>
      <c r="S2724" t="s">
        <v>200</v>
      </c>
      <c r="T2724">
        <v>51003</v>
      </c>
      <c r="U2724" t="s">
        <v>100</v>
      </c>
      <c r="V2724" t="s">
        <v>101</v>
      </c>
      <c r="W2724" t="s">
        <v>493</v>
      </c>
      <c r="X2724" t="s">
        <v>136</v>
      </c>
      <c r="Y2724" t="s">
        <v>119</v>
      </c>
    </row>
    <row r="2725" spans="1:25">
      <c r="A2725">
        <v>10105</v>
      </c>
      <c r="B2725">
        <v>22</v>
      </c>
      <c r="C2725">
        <v>100</v>
      </c>
      <c r="D2725">
        <v>7</v>
      </c>
      <c r="E2725">
        <v>2556.1799999999998</v>
      </c>
      <c r="F2725" s="4">
        <v>37927</v>
      </c>
      <c r="G2725" t="s">
        <v>93</v>
      </c>
      <c r="H2725">
        <v>1</v>
      </c>
      <c r="I2725">
        <v>2</v>
      </c>
      <c r="J2725">
        <v>2003</v>
      </c>
      <c r="K2725" t="s">
        <v>775</v>
      </c>
      <c r="L2725">
        <v>99</v>
      </c>
      <c r="M2725" t="s">
        <v>866</v>
      </c>
      <c r="N2725" t="s">
        <v>425</v>
      </c>
      <c r="O2725" t="s">
        <v>426</v>
      </c>
      <c r="P2725" t="s">
        <v>427</v>
      </c>
      <c r="R2725" t="s">
        <v>428</v>
      </c>
      <c r="T2725">
        <v>1734</v>
      </c>
      <c r="U2725" t="s">
        <v>429</v>
      </c>
      <c r="V2725" t="s">
        <v>110</v>
      </c>
      <c r="W2725" t="s">
        <v>430</v>
      </c>
      <c r="X2725" t="s">
        <v>431</v>
      </c>
      <c r="Y2725" t="s">
        <v>104</v>
      </c>
    </row>
    <row r="2726" spans="1:25">
      <c r="A2726">
        <v>10117</v>
      </c>
      <c r="B2726">
        <v>45</v>
      </c>
      <c r="C2726">
        <v>83.42</v>
      </c>
      <c r="D2726">
        <v>1</v>
      </c>
      <c r="E2726">
        <v>3753.9</v>
      </c>
      <c r="F2726" t="s">
        <v>602</v>
      </c>
      <c r="G2726" t="s">
        <v>93</v>
      </c>
      <c r="H2726">
        <v>2</v>
      </c>
      <c r="I2726">
        <v>4</v>
      </c>
      <c r="J2726">
        <v>2003</v>
      </c>
      <c r="K2726" t="s">
        <v>775</v>
      </c>
      <c r="L2726">
        <v>99</v>
      </c>
      <c r="M2726" t="s">
        <v>866</v>
      </c>
      <c r="N2726" t="s">
        <v>284</v>
      </c>
      <c r="O2726" t="s">
        <v>285</v>
      </c>
      <c r="P2726" t="s">
        <v>286</v>
      </c>
      <c r="R2726" t="s">
        <v>287</v>
      </c>
      <c r="T2726">
        <v>79903</v>
      </c>
      <c r="U2726" t="s">
        <v>287</v>
      </c>
      <c r="V2726" t="s">
        <v>288</v>
      </c>
      <c r="W2726" t="s">
        <v>289</v>
      </c>
      <c r="X2726" t="s">
        <v>290</v>
      </c>
      <c r="Y2726" t="s">
        <v>119</v>
      </c>
    </row>
    <row r="2727" spans="1:25">
      <c r="A2727">
        <v>10129</v>
      </c>
      <c r="B2727">
        <v>30</v>
      </c>
      <c r="C2727">
        <v>85.41</v>
      </c>
      <c r="D2727">
        <v>7</v>
      </c>
      <c r="E2727">
        <v>2562.3000000000002</v>
      </c>
      <c r="F2727" s="4">
        <v>37961</v>
      </c>
      <c r="G2727" t="s">
        <v>93</v>
      </c>
      <c r="H2727">
        <v>2</v>
      </c>
      <c r="I2727">
        <v>6</v>
      </c>
      <c r="J2727">
        <v>2003</v>
      </c>
      <c r="K2727" t="s">
        <v>775</v>
      </c>
      <c r="L2727">
        <v>99</v>
      </c>
      <c r="M2727" t="s">
        <v>866</v>
      </c>
      <c r="N2727" t="s">
        <v>433</v>
      </c>
      <c r="O2727" t="s">
        <v>434</v>
      </c>
      <c r="P2727" t="s">
        <v>435</v>
      </c>
      <c r="R2727" t="s">
        <v>436</v>
      </c>
      <c r="T2727" t="s">
        <v>437</v>
      </c>
      <c r="U2727" t="s">
        <v>252</v>
      </c>
      <c r="V2727" t="s">
        <v>110</v>
      </c>
      <c r="W2727" t="s">
        <v>130</v>
      </c>
      <c r="X2727" t="s">
        <v>438</v>
      </c>
      <c r="Y2727" t="s">
        <v>104</v>
      </c>
    </row>
    <row r="2728" spans="1:25">
      <c r="A2728">
        <v>10142</v>
      </c>
      <c r="B2728">
        <v>38</v>
      </c>
      <c r="C2728">
        <v>85.41</v>
      </c>
      <c r="D2728">
        <v>4</v>
      </c>
      <c r="E2728">
        <v>3245.58</v>
      </c>
      <c r="F2728" s="4">
        <v>37841</v>
      </c>
      <c r="G2728" t="s">
        <v>93</v>
      </c>
      <c r="H2728">
        <v>3</v>
      </c>
      <c r="I2728">
        <v>8</v>
      </c>
      <c r="J2728">
        <v>2003</v>
      </c>
      <c r="K2728" t="s">
        <v>775</v>
      </c>
      <c r="L2728">
        <v>99</v>
      </c>
      <c r="M2728" t="s">
        <v>866</v>
      </c>
      <c r="N2728" t="s">
        <v>367</v>
      </c>
      <c r="O2728">
        <v>4155551450</v>
      </c>
      <c r="P2728" t="s">
        <v>368</v>
      </c>
      <c r="R2728" t="s">
        <v>369</v>
      </c>
      <c r="S2728" t="s">
        <v>124</v>
      </c>
      <c r="T2728">
        <v>97562</v>
      </c>
      <c r="U2728" t="s">
        <v>100</v>
      </c>
      <c r="V2728" t="s">
        <v>101</v>
      </c>
      <c r="W2728" t="s">
        <v>370</v>
      </c>
      <c r="X2728" t="s">
        <v>371</v>
      </c>
      <c r="Y2728" t="s">
        <v>119</v>
      </c>
    </row>
    <row r="2729" spans="1:25">
      <c r="A2729">
        <v>10153</v>
      </c>
      <c r="B2729">
        <v>20</v>
      </c>
      <c r="C2729">
        <v>100</v>
      </c>
      <c r="D2729">
        <v>3</v>
      </c>
      <c r="E2729">
        <v>2204.6</v>
      </c>
      <c r="F2729" t="s">
        <v>607</v>
      </c>
      <c r="G2729" t="s">
        <v>93</v>
      </c>
      <c r="H2729">
        <v>3</v>
      </c>
      <c r="I2729">
        <v>9</v>
      </c>
      <c r="J2729">
        <v>2003</v>
      </c>
      <c r="K2729" t="s">
        <v>775</v>
      </c>
      <c r="L2729">
        <v>99</v>
      </c>
      <c r="M2729" t="s">
        <v>866</v>
      </c>
      <c r="N2729" t="s">
        <v>257</v>
      </c>
      <c r="O2729" t="s">
        <v>258</v>
      </c>
      <c r="P2729" t="s">
        <v>259</v>
      </c>
      <c r="R2729" t="s">
        <v>260</v>
      </c>
      <c r="T2729">
        <v>28034</v>
      </c>
      <c r="U2729" t="s">
        <v>261</v>
      </c>
      <c r="V2729" t="s">
        <v>110</v>
      </c>
      <c r="W2729" t="s">
        <v>262</v>
      </c>
      <c r="X2729" t="s">
        <v>263</v>
      </c>
      <c r="Y2729" t="s">
        <v>104</v>
      </c>
    </row>
    <row r="2730" spans="1:25">
      <c r="A2730">
        <v>10167</v>
      </c>
      <c r="B2730">
        <v>28</v>
      </c>
      <c r="C2730">
        <v>100</v>
      </c>
      <c r="D2730">
        <v>14</v>
      </c>
      <c r="E2730">
        <v>3003</v>
      </c>
      <c r="F2730" t="s">
        <v>443</v>
      </c>
      <c r="G2730" t="s">
        <v>444</v>
      </c>
      <c r="H2730">
        <v>4</v>
      </c>
      <c r="I2730">
        <v>10</v>
      </c>
      <c r="J2730">
        <v>2003</v>
      </c>
      <c r="K2730" t="s">
        <v>775</v>
      </c>
      <c r="L2730">
        <v>99</v>
      </c>
      <c r="M2730" t="s">
        <v>866</v>
      </c>
      <c r="N2730" t="s">
        <v>355</v>
      </c>
      <c r="O2730" t="s">
        <v>356</v>
      </c>
      <c r="P2730" t="s">
        <v>357</v>
      </c>
      <c r="R2730" t="s">
        <v>358</v>
      </c>
      <c r="T2730" t="s">
        <v>359</v>
      </c>
      <c r="U2730" t="s">
        <v>273</v>
      </c>
      <c r="V2730" t="s">
        <v>110</v>
      </c>
      <c r="W2730" t="s">
        <v>360</v>
      </c>
      <c r="X2730" t="s">
        <v>295</v>
      </c>
      <c r="Y2730" t="s">
        <v>119</v>
      </c>
    </row>
    <row r="2731" spans="1:25">
      <c r="A2731">
        <v>10177</v>
      </c>
      <c r="B2731">
        <v>24</v>
      </c>
      <c r="C2731">
        <v>100</v>
      </c>
      <c r="D2731">
        <v>5</v>
      </c>
      <c r="E2731">
        <v>2526.48</v>
      </c>
      <c r="F2731" s="4">
        <v>37813</v>
      </c>
      <c r="G2731" t="s">
        <v>93</v>
      </c>
      <c r="H2731">
        <v>4</v>
      </c>
      <c r="I2731">
        <v>11</v>
      </c>
      <c r="J2731">
        <v>2003</v>
      </c>
      <c r="K2731" t="s">
        <v>775</v>
      </c>
      <c r="L2731">
        <v>99</v>
      </c>
      <c r="M2731" t="s">
        <v>866</v>
      </c>
      <c r="N2731" t="s">
        <v>618</v>
      </c>
      <c r="O2731" t="s">
        <v>619</v>
      </c>
      <c r="P2731" t="s">
        <v>620</v>
      </c>
      <c r="R2731" t="s">
        <v>260</v>
      </c>
      <c r="T2731">
        <v>28023</v>
      </c>
      <c r="U2731" t="s">
        <v>261</v>
      </c>
      <c r="V2731" t="s">
        <v>110</v>
      </c>
      <c r="W2731" t="s">
        <v>621</v>
      </c>
      <c r="X2731" t="s">
        <v>622</v>
      </c>
      <c r="Y2731" t="s">
        <v>104</v>
      </c>
    </row>
    <row r="2732" spans="1:25">
      <c r="A2732">
        <v>10185</v>
      </c>
      <c r="B2732">
        <v>22</v>
      </c>
      <c r="C2732">
        <v>79.45</v>
      </c>
      <c r="D2732">
        <v>5</v>
      </c>
      <c r="E2732">
        <v>1747.9</v>
      </c>
      <c r="F2732" t="s">
        <v>451</v>
      </c>
      <c r="G2732" t="s">
        <v>93</v>
      </c>
      <c r="H2732">
        <v>4</v>
      </c>
      <c r="I2732">
        <v>11</v>
      </c>
      <c r="J2732">
        <v>2003</v>
      </c>
      <c r="K2732" t="s">
        <v>775</v>
      </c>
      <c r="L2732">
        <v>99</v>
      </c>
      <c r="M2732" t="s">
        <v>866</v>
      </c>
      <c r="N2732" t="s">
        <v>439</v>
      </c>
      <c r="O2732">
        <v>5085559555</v>
      </c>
      <c r="P2732" t="s">
        <v>440</v>
      </c>
      <c r="R2732" t="s">
        <v>244</v>
      </c>
      <c r="S2732" t="s">
        <v>200</v>
      </c>
      <c r="T2732">
        <v>50553</v>
      </c>
      <c r="U2732" t="s">
        <v>100</v>
      </c>
      <c r="V2732" t="s">
        <v>101</v>
      </c>
      <c r="W2732" t="s">
        <v>441</v>
      </c>
      <c r="X2732" t="s">
        <v>442</v>
      </c>
      <c r="Y2732" t="s">
        <v>104</v>
      </c>
    </row>
    <row r="2733" spans="1:25">
      <c r="A2733">
        <v>10197</v>
      </c>
      <c r="B2733">
        <v>35</v>
      </c>
      <c r="C2733">
        <v>93.35</v>
      </c>
      <c r="D2733">
        <v>11</v>
      </c>
      <c r="E2733">
        <v>3267.25</v>
      </c>
      <c r="F2733" t="s">
        <v>458</v>
      </c>
      <c r="G2733" t="s">
        <v>93</v>
      </c>
      <c r="H2733">
        <v>4</v>
      </c>
      <c r="I2733">
        <v>11</v>
      </c>
      <c r="J2733">
        <v>2003</v>
      </c>
      <c r="K2733" t="s">
        <v>775</v>
      </c>
      <c r="L2733">
        <v>99</v>
      </c>
      <c r="M2733" t="s">
        <v>866</v>
      </c>
      <c r="N2733" t="s">
        <v>459</v>
      </c>
      <c r="O2733" t="s">
        <v>460</v>
      </c>
      <c r="P2733" t="s">
        <v>461</v>
      </c>
      <c r="R2733" t="s">
        <v>462</v>
      </c>
      <c r="T2733">
        <v>8022</v>
      </c>
      <c r="U2733" t="s">
        <v>261</v>
      </c>
      <c r="V2733" t="s">
        <v>110</v>
      </c>
      <c r="W2733" t="s">
        <v>463</v>
      </c>
      <c r="X2733" t="s">
        <v>464</v>
      </c>
      <c r="Y2733" t="s">
        <v>119</v>
      </c>
    </row>
    <row r="2734" spans="1:25">
      <c r="A2734">
        <v>10208</v>
      </c>
      <c r="B2734">
        <v>33</v>
      </c>
      <c r="C2734">
        <v>85.41</v>
      </c>
      <c r="D2734">
        <v>5</v>
      </c>
      <c r="E2734">
        <v>2818.53</v>
      </c>
      <c r="F2734" s="4">
        <v>38018</v>
      </c>
      <c r="G2734" t="s">
        <v>93</v>
      </c>
      <c r="H2734">
        <v>1</v>
      </c>
      <c r="I2734">
        <v>1</v>
      </c>
      <c r="J2734">
        <v>2004</v>
      </c>
      <c r="K2734" t="s">
        <v>775</v>
      </c>
      <c r="L2734">
        <v>99</v>
      </c>
      <c r="M2734" t="s">
        <v>866</v>
      </c>
      <c r="N2734" t="s">
        <v>310</v>
      </c>
      <c r="O2734" t="s">
        <v>311</v>
      </c>
      <c r="P2734" t="s">
        <v>312</v>
      </c>
      <c r="R2734" t="s">
        <v>313</v>
      </c>
      <c r="T2734">
        <v>69004</v>
      </c>
      <c r="U2734" t="s">
        <v>109</v>
      </c>
      <c r="V2734" t="s">
        <v>110</v>
      </c>
      <c r="W2734" t="s">
        <v>314</v>
      </c>
      <c r="X2734" t="s">
        <v>315</v>
      </c>
      <c r="Y2734" t="s">
        <v>104</v>
      </c>
    </row>
    <row r="2735" spans="1:25">
      <c r="A2735">
        <v>10222</v>
      </c>
      <c r="B2735">
        <v>31</v>
      </c>
      <c r="C2735">
        <v>95.34</v>
      </c>
      <c r="D2735">
        <v>17</v>
      </c>
      <c r="E2735">
        <v>2955.54</v>
      </c>
      <c r="F2735" t="s">
        <v>469</v>
      </c>
      <c r="G2735" t="s">
        <v>93</v>
      </c>
      <c r="H2735">
        <v>1</v>
      </c>
      <c r="I2735">
        <v>2</v>
      </c>
      <c r="J2735">
        <v>2004</v>
      </c>
      <c r="K2735" t="s">
        <v>775</v>
      </c>
      <c r="L2735">
        <v>99</v>
      </c>
      <c r="M2735" t="s">
        <v>866</v>
      </c>
      <c r="N2735" t="s">
        <v>470</v>
      </c>
      <c r="O2735">
        <v>7605558146</v>
      </c>
      <c r="P2735" t="s">
        <v>471</v>
      </c>
      <c r="R2735" t="s">
        <v>472</v>
      </c>
      <c r="S2735" t="s">
        <v>124</v>
      </c>
      <c r="T2735">
        <v>91217</v>
      </c>
      <c r="U2735" t="s">
        <v>100</v>
      </c>
      <c r="V2735" t="s">
        <v>101</v>
      </c>
      <c r="W2735" t="s">
        <v>6</v>
      </c>
      <c r="X2735" t="s">
        <v>371</v>
      </c>
      <c r="Y2735" t="s">
        <v>104</v>
      </c>
    </row>
    <row r="2736" spans="1:25">
      <c r="A2736">
        <v>10232</v>
      </c>
      <c r="B2736">
        <v>35</v>
      </c>
      <c r="C2736">
        <v>82.43</v>
      </c>
      <c r="D2736">
        <v>2</v>
      </c>
      <c r="E2736">
        <v>2885.05</v>
      </c>
      <c r="F2736" t="s">
        <v>782</v>
      </c>
      <c r="G2736" t="s">
        <v>93</v>
      </c>
      <c r="H2736">
        <v>1</v>
      </c>
      <c r="I2736">
        <v>3</v>
      </c>
      <c r="J2736">
        <v>2004</v>
      </c>
      <c r="K2736" t="s">
        <v>775</v>
      </c>
      <c r="L2736">
        <v>99</v>
      </c>
      <c r="M2736" t="s">
        <v>866</v>
      </c>
      <c r="N2736" t="s">
        <v>495</v>
      </c>
      <c r="O2736" t="s">
        <v>496</v>
      </c>
      <c r="P2736" t="s">
        <v>497</v>
      </c>
      <c r="R2736" t="s">
        <v>498</v>
      </c>
      <c r="S2736" t="s">
        <v>499</v>
      </c>
      <c r="T2736" t="s">
        <v>500</v>
      </c>
      <c r="U2736" t="s">
        <v>252</v>
      </c>
      <c r="V2736" t="s">
        <v>110</v>
      </c>
      <c r="W2736" t="s">
        <v>501</v>
      </c>
      <c r="X2736" t="s">
        <v>502</v>
      </c>
      <c r="Y2736" t="s">
        <v>104</v>
      </c>
    </row>
    <row r="2737" spans="1:25">
      <c r="A2737">
        <v>10248</v>
      </c>
      <c r="B2737">
        <v>35</v>
      </c>
      <c r="C2737">
        <v>90.37</v>
      </c>
      <c r="D2737">
        <v>8</v>
      </c>
      <c r="E2737">
        <v>3162.95</v>
      </c>
      <c r="F2737" s="4">
        <v>38173</v>
      </c>
      <c r="G2737" t="s">
        <v>444</v>
      </c>
      <c r="H2737">
        <v>2</v>
      </c>
      <c r="I2737">
        <v>5</v>
      </c>
      <c r="J2737">
        <v>2004</v>
      </c>
      <c r="K2737" t="s">
        <v>775</v>
      </c>
      <c r="L2737">
        <v>99</v>
      </c>
      <c r="M2737" t="s">
        <v>866</v>
      </c>
      <c r="N2737" t="s">
        <v>96</v>
      </c>
      <c r="O2737">
        <v>2125557818</v>
      </c>
      <c r="P2737" t="s">
        <v>97</v>
      </c>
      <c r="R2737" t="s">
        <v>98</v>
      </c>
      <c r="S2737" t="s">
        <v>99</v>
      </c>
      <c r="T2737">
        <v>10022</v>
      </c>
      <c r="U2737" t="s">
        <v>100</v>
      </c>
      <c r="V2737" t="s">
        <v>101</v>
      </c>
      <c r="W2737" t="s">
        <v>102</v>
      </c>
      <c r="X2737" t="s">
        <v>103</v>
      </c>
      <c r="Y2737" t="s">
        <v>119</v>
      </c>
    </row>
    <row r="2738" spans="1:25">
      <c r="A2738">
        <v>10261</v>
      </c>
      <c r="B2738">
        <v>50</v>
      </c>
      <c r="C2738">
        <v>81.430000000000007</v>
      </c>
      <c r="D2738">
        <v>6</v>
      </c>
      <c r="E2738">
        <v>4071.5</v>
      </c>
      <c r="F2738" t="s">
        <v>473</v>
      </c>
      <c r="G2738" t="s">
        <v>93</v>
      </c>
      <c r="H2738">
        <v>2</v>
      </c>
      <c r="I2738">
        <v>6</v>
      </c>
      <c r="J2738">
        <v>2004</v>
      </c>
      <c r="K2738" t="s">
        <v>775</v>
      </c>
      <c r="L2738">
        <v>99</v>
      </c>
      <c r="M2738" t="s">
        <v>866</v>
      </c>
      <c r="N2738" t="s">
        <v>391</v>
      </c>
      <c r="O2738" t="s">
        <v>392</v>
      </c>
      <c r="P2738" t="s">
        <v>393</v>
      </c>
      <c r="R2738" t="s">
        <v>394</v>
      </c>
      <c r="S2738" t="s">
        <v>395</v>
      </c>
      <c r="T2738" t="s">
        <v>396</v>
      </c>
      <c r="U2738" t="s">
        <v>322</v>
      </c>
      <c r="V2738" t="s">
        <v>101</v>
      </c>
      <c r="W2738" t="s">
        <v>397</v>
      </c>
      <c r="X2738" t="s">
        <v>398</v>
      </c>
      <c r="Y2738" t="s">
        <v>119</v>
      </c>
    </row>
    <row r="2739" spans="1:25">
      <c r="A2739">
        <v>10273</v>
      </c>
      <c r="B2739">
        <v>26</v>
      </c>
      <c r="C2739">
        <v>100</v>
      </c>
      <c r="D2739">
        <v>9</v>
      </c>
      <c r="E2739">
        <v>2969.46</v>
      </c>
      <c r="F2739" t="s">
        <v>474</v>
      </c>
      <c r="G2739" t="s">
        <v>93</v>
      </c>
      <c r="H2739">
        <v>3</v>
      </c>
      <c r="I2739">
        <v>7</v>
      </c>
      <c r="J2739">
        <v>2004</v>
      </c>
      <c r="K2739" t="s">
        <v>775</v>
      </c>
      <c r="L2739">
        <v>99</v>
      </c>
      <c r="M2739" t="s">
        <v>866</v>
      </c>
      <c r="N2739" t="s">
        <v>475</v>
      </c>
      <c r="O2739" t="s">
        <v>476</v>
      </c>
      <c r="P2739" t="s">
        <v>477</v>
      </c>
      <c r="R2739" t="s">
        <v>478</v>
      </c>
      <c r="T2739" t="s">
        <v>479</v>
      </c>
      <c r="U2739" t="s">
        <v>480</v>
      </c>
      <c r="V2739" t="s">
        <v>110</v>
      </c>
      <c r="W2739" t="s">
        <v>481</v>
      </c>
      <c r="X2739" t="s">
        <v>482</v>
      </c>
      <c r="Y2739" t="s">
        <v>104</v>
      </c>
    </row>
    <row r="2740" spans="1:25">
      <c r="A2740">
        <v>10283</v>
      </c>
      <c r="B2740">
        <v>38</v>
      </c>
      <c r="C2740">
        <v>89.38</v>
      </c>
      <c r="D2740">
        <v>11</v>
      </c>
      <c r="E2740">
        <v>3396.44</v>
      </c>
      <c r="F2740" t="s">
        <v>483</v>
      </c>
      <c r="G2740" t="s">
        <v>93</v>
      </c>
      <c r="H2740">
        <v>3</v>
      </c>
      <c r="I2740">
        <v>8</v>
      </c>
      <c r="J2740">
        <v>2004</v>
      </c>
      <c r="K2740" t="s">
        <v>775</v>
      </c>
      <c r="L2740">
        <v>99</v>
      </c>
      <c r="M2740" t="s">
        <v>866</v>
      </c>
      <c r="N2740" t="s">
        <v>484</v>
      </c>
      <c r="O2740" t="s">
        <v>485</v>
      </c>
      <c r="P2740" t="s">
        <v>486</v>
      </c>
      <c r="R2740" t="s">
        <v>487</v>
      </c>
      <c r="S2740" t="s">
        <v>320</v>
      </c>
      <c r="T2740" t="s">
        <v>488</v>
      </c>
      <c r="U2740" t="s">
        <v>322</v>
      </c>
      <c r="V2740" t="s">
        <v>101</v>
      </c>
      <c r="W2740" t="s">
        <v>489</v>
      </c>
      <c r="X2740" t="s">
        <v>254</v>
      </c>
      <c r="Y2740" t="s">
        <v>119</v>
      </c>
    </row>
    <row r="2741" spans="1:25">
      <c r="A2741">
        <v>10294</v>
      </c>
      <c r="B2741">
        <v>45</v>
      </c>
      <c r="C2741">
        <v>100</v>
      </c>
      <c r="D2741">
        <v>1</v>
      </c>
      <c r="E2741">
        <v>4692.6000000000004</v>
      </c>
      <c r="F2741" s="4">
        <v>38269</v>
      </c>
      <c r="G2741" t="s">
        <v>93</v>
      </c>
      <c r="H2741">
        <v>3</v>
      </c>
      <c r="I2741">
        <v>9</v>
      </c>
      <c r="J2741">
        <v>2004</v>
      </c>
      <c r="K2741" t="s">
        <v>775</v>
      </c>
      <c r="L2741">
        <v>99</v>
      </c>
      <c r="M2741" t="s">
        <v>866</v>
      </c>
      <c r="N2741" t="s">
        <v>582</v>
      </c>
      <c r="O2741">
        <v>6175557555</v>
      </c>
      <c r="P2741" t="s">
        <v>583</v>
      </c>
      <c r="R2741" t="s">
        <v>381</v>
      </c>
      <c r="S2741" t="s">
        <v>200</v>
      </c>
      <c r="T2741">
        <v>58339</v>
      </c>
      <c r="U2741" t="s">
        <v>100</v>
      </c>
      <c r="V2741" t="s">
        <v>101</v>
      </c>
      <c r="W2741" t="s">
        <v>584</v>
      </c>
      <c r="X2741" t="s">
        <v>585</v>
      </c>
      <c r="Y2741" t="s">
        <v>119</v>
      </c>
    </row>
    <row r="2742" spans="1:25">
      <c r="A2742">
        <v>10306</v>
      </c>
      <c r="B2742">
        <v>30</v>
      </c>
      <c r="C2742">
        <v>100</v>
      </c>
      <c r="D2742">
        <v>5</v>
      </c>
      <c r="E2742">
        <v>3515.7</v>
      </c>
      <c r="F2742" t="s">
        <v>494</v>
      </c>
      <c r="G2742" t="s">
        <v>93</v>
      </c>
      <c r="H2742">
        <v>4</v>
      </c>
      <c r="I2742">
        <v>10</v>
      </c>
      <c r="J2742">
        <v>2004</v>
      </c>
      <c r="K2742" t="s">
        <v>775</v>
      </c>
      <c r="L2742">
        <v>99</v>
      </c>
      <c r="M2742" t="s">
        <v>866</v>
      </c>
      <c r="N2742" t="s">
        <v>624</v>
      </c>
      <c r="O2742" t="s">
        <v>625</v>
      </c>
      <c r="P2742" t="s">
        <v>626</v>
      </c>
      <c r="R2742" t="s">
        <v>627</v>
      </c>
      <c r="T2742" t="s">
        <v>628</v>
      </c>
      <c r="U2742" t="s">
        <v>252</v>
      </c>
      <c r="V2742" t="s">
        <v>110</v>
      </c>
      <c r="W2742" t="s">
        <v>629</v>
      </c>
      <c r="X2742" t="s">
        <v>167</v>
      </c>
      <c r="Y2742" t="s">
        <v>119</v>
      </c>
    </row>
    <row r="2743" spans="1:25">
      <c r="A2743">
        <v>10315</v>
      </c>
      <c r="B2743">
        <v>37</v>
      </c>
      <c r="C2743">
        <v>91.37</v>
      </c>
      <c r="D2743">
        <v>4</v>
      </c>
      <c r="E2743">
        <v>3380.69</v>
      </c>
      <c r="F2743" t="s">
        <v>802</v>
      </c>
      <c r="G2743" t="s">
        <v>93</v>
      </c>
      <c r="H2743">
        <v>4</v>
      </c>
      <c r="I2743">
        <v>10</v>
      </c>
      <c r="J2743">
        <v>2004</v>
      </c>
      <c r="K2743" t="s">
        <v>775</v>
      </c>
      <c r="L2743">
        <v>99</v>
      </c>
      <c r="M2743" t="s">
        <v>866</v>
      </c>
      <c r="N2743" t="s">
        <v>190</v>
      </c>
      <c r="O2743" t="s">
        <v>191</v>
      </c>
      <c r="P2743" t="s">
        <v>192</v>
      </c>
      <c r="R2743" t="s">
        <v>193</v>
      </c>
      <c r="T2743">
        <v>44000</v>
      </c>
      <c r="U2743" t="s">
        <v>109</v>
      </c>
      <c r="V2743" t="s">
        <v>110</v>
      </c>
      <c r="W2743" t="s">
        <v>194</v>
      </c>
      <c r="X2743" t="s">
        <v>195</v>
      </c>
      <c r="Y2743" t="s">
        <v>119</v>
      </c>
    </row>
    <row r="2744" spans="1:25">
      <c r="A2744">
        <v>10327</v>
      </c>
      <c r="B2744">
        <v>37</v>
      </c>
      <c r="C2744">
        <v>86.61</v>
      </c>
      <c r="D2744">
        <v>3</v>
      </c>
      <c r="E2744">
        <v>3204.57</v>
      </c>
      <c r="F2744" s="4">
        <v>38271</v>
      </c>
      <c r="G2744" t="s">
        <v>526</v>
      </c>
      <c r="H2744">
        <v>4</v>
      </c>
      <c r="I2744">
        <v>11</v>
      </c>
      <c r="J2744">
        <v>2004</v>
      </c>
      <c r="K2744" t="s">
        <v>775</v>
      </c>
      <c r="L2744">
        <v>99</v>
      </c>
      <c r="M2744" t="s">
        <v>866</v>
      </c>
      <c r="N2744" t="s">
        <v>425</v>
      </c>
      <c r="O2744" t="s">
        <v>426</v>
      </c>
      <c r="P2744" t="s">
        <v>427</v>
      </c>
      <c r="R2744" t="s">
        <v>428</v>
      </c>
      <c r="T2744">
        <v>1734</v>
      </c>
      <c r="U2744" t="s">
        <v>429</v>
      </c>
      <c r="V2744" t="s">
        <v>110</v>
      </c>
      <c r="W2744" t="s">
        <v>430</v>
      </c>
      <c r="X2744" t="s">
        <v>431</v>
      </c>
      <c r="Y2744" t="s">
        <v>119</v>
      </c>
    </row>
    <row r="2745" spans="1:25">
      <c r="A2745">
        <v>10337</v>
      </c>
      <c r="B2745">
        <v>36</v>
      </c>
      <c r="C2745">
        <v>71.89</v>
      </c>
      <c r="D2745">
        <v>7</v>
      </c>
      <c r="E2745">
        <v>2588.04</v>
      </c>
      <c r="F2745" t="s">
        <v>503</v>
      </c>
      <c r="G2745" t="s">
        <v>93</v>
      </c>
      <c r="H2745">
        <v>4</v>
      </c>
      <c r="I2745">
        <v>11</v>
      </c>
      <c r="J2745">
        <v>2004</v>
      </c>
      <c r="K2745" t="s">
        <v>775</v>
      </c>
      <c r="L2745">
        <v>99</v>
      </c>
      <c r="M2745" t="s">
        <v>866</v>
      </c>
      <c r="N2745" t="s">
        <v>292</v>
      </c>
      <c r="O2745">
        <v>2125558493</v>
      </c>
      <c r="P2745" t="s">
        <v>293</v>
      </c>
      <c r="Q2745" t="s">
        <v>294</v>
      </c>
      <c r="R2745" t="s">
        <v>98</v>
      </c>
      <c r="S2745" t="s">
        <v>99</v>
      </c>
      <c r="T2745">
        <v>10022</v>
      </c>
      <c r="U2745" t="s">
        <v>100</v>
      </c>
      <c r="V2745" t="s">
        <v>101</v>
      </c>
      <c r="W2745" t="s">
        <v>201</v>
      </c>
      <c r="X2745" t="s">
        <v>295</v>
      </c>
      <c r="Y2745" t="s">
        <v>104</v>
      </c>
    </row>
    <row r="2746" spans="1:25">
      <c r="A2746">
        <v>10350</v>
      </c>
      <c r="B2746">
        <v>25</v>
      </c>
      <c r="C2746">
        <v>100</v>
      </c>
      <c r="D2746">
        <v>16</v>
      </c>
      <c r="E2746">
        <v>2854.75</v>
      </c>
      <c r="F2746" s="4">
        <v>38029</v>
      </c>
      <c r="G2746" t="s">
        <v>93</v>
      </c>
      <c r="H2746">
        <v>4</v>
      </c>
      <c r="I2746">
        <v>12</v>
      </c>
      <c r="J2746">
        <v>2004</v>
      </c>
      <c r="K2746" t="s">
        <v>775</v>
      </c>
      <c r="L2746">
        <v>99</v>
      </c>
      <c r="M2746" t="s">
        <v>866</v>
      </c>
      <c r="N2746" t="s">
        <v>257</v>
      </c>
      <c r="O2746" t="s">
        <v>258</v>
      </c>
      <c r="P2746" t="s">
        <v>259</v>
      </c>
      <c r="R2746" t="s">
        <v>260</v>
      </c>
      <c r="T2746">
        <v>28034</v>
      </c>
      <c r="U2746" t="s">
        <v>261</v>
      </c>
      <c r="V2746" t="s">
        <v>110</v>
      </c>
      <c r="W2746" t="s">
        <v>262</v>
      </c>
      <c r="X2746" t="s">
        <v>263</v>
      </c>
      <c r="Y2746" t="s">
        <v>104</v>
      </c>
    </row>
    <row r="2747" spans="1:25">
      <c r="A2747">
        <v>10373</v>
      </c>
      <c r="B2747">
        <v>37</v>
      </c>
      <c r="C2747">
        <v>100</v>
      </c>
      <c r="D2747">
        <v>8</v>
      </c>
      <c r="E2747">
        <v>4025.6</v>
      </c>
      <c r="F2747" t="s">
        <v>505</v>
      </c>
      <c r="G2747" t="s">
        <v>93</v>
      </c>
      <c r="H2747">
        <v>1</v>
      </c>
      <c r="I2747">
        <v>1</v>
      </c>
      <c r="J2747">
        <v>2005</v>
      </c>
      <c r="K2747" t="s">
        <v>775</v>
      </c>
      <c r="L2747">
        <v>99</v>
      </c>
      <c r="M2747" t="s">
        <v>866</v>
      </c>
      <c r="N2747" t="s">
        <v>506</v>
      </c>
      <c r="O2747" t="s">
        <v>507</v>
      </c>
      <c r="P2747" t="s">
        <v>508</v>
      </c>
      <c r="R2747" t="s">
        <v>509</v>
      </c>
      <c r="T2747">
        <v>90110</v>
      </c>
      <c r="U2747" t="s">
        <v>208</v>
      </c>
      <c r="V2747" t="s">
        <v>110</v>
      </c>
      <c r="W2747" t="s">
        <v>510</v>
      </c>
      <c r="X2747" t="s">
        <v>511</v>
      </c>
      <c r="Y2747" t="s">
        <v>119</v>
      </c>
    </row>
    <row r="2748" spans="1:25">
      <c r="A2748">
        <v>10386</v>
      </c>
      <c r="B2748">
        <v>30</v>
      </c>
      <c r="C2748">
        <v>95.48</v>
      </c>
      <c r="D2748">
        <v>3</v>
      </c>
      <c r="E2748">
        <v>2864.4</v>
      </c>
      <c r="F2748" s="4">
        <v>38355</v>
      </c>
      <c r="G2748" t="s">
        <v>526</v>
      </c>
      <c r="H2748">
        <v>1</v>
      </c>
      <c r="I2748">
        <v>3</v>
      </c>
      <c r="J2748">
        <v>2005</v>
      </c>
      <c r="K2748" t="s">
        <v>775</v>
      </c>
      <c r="L2748">
        <v>99</v>
      </c>
      <c r="M2748" t="s">
        <v>866</v>
      </c>
      <c r="N2748" t="s">
        <v>257</v>
      </c>
      <c r="O2748" t="s">
        <v>258</v>
      </c>
      <c r="P2748" t="s">
        <v>259</v>
      </c>
      <c r="R2748" t="s">
        <v>260</v>
      </c>
      <c r="T2748">
        <v>28034</v>
      </c>
      <c r="U2748" t="s">
        <v>261</v>
      </c>
      <c r="V2748" t="s">
        <v>110</v>
      </c>
      <c r="W2748" t="s">
        <v>262</v>
      </c>
      <c r="X2748" t="s">
        <v>263</v>
      </c>
      <c r="Y2748" t="s">
        <v>104</v>
      </c>
    </row>
    <row r="2749" spans="1:25">
      <c r="A2749">
        <v>10397</v>
      </c>
      <c r="B2749">
        <v>36</v>
      </c>
      <c r="C2749">
        <v>100</v>
      </c>
      <c r="D2749">
        <v>2</v>
      </c>
      <c r="E2749">
        <v>3789.72</v>
      </c>
      <c r="F2749" t="s">
        <v>857</v>
      </c>
      <c r="G2749" t="s">
        <v>93</v>
      </c>
      <c r="H2749">
        <v>1</v>
      </c>
      <c r="I2749">
        <v>3</v>
      </c>
      <c r="J2749">
        <v>2005</v>
      </c>
      <c r="K2749" t="s">
        <v>775</v>
      </c>
      <c r="L2749">
        <v>99</v>
      </c>
      <c r="M2749" t="s">
        <v>866</v>
      </c>
      <c r="N2749" t="s">
        <v>445</v>
      </c>
      <c r="O2749" t="s">
        <v>446</v>
      </c>
      <c r="P2749" t="s">
        <v>447</v>
      </c>
      <c r="R2749" t="s">
        <v>448</v>
      </c>
      <c r="T2749">
        <v>31000</v>
      </c>
      <c r="U2749" t="s">
        <v>109</v>
      </c>
      <c r="V2749" t="s">
        <v>110</v>
      </c>
      <c r="W2749" t="s">
        <v>449</v>
      </c>
      <c r="X2749" t="s">
        <v>450</v>
      </c>
      <c r="Y2749" t="s">
        <v>119</v>
      </c>
    </row>
    <row r="2750" spans="1:25">
      <c r="A2750">
        <v>10414</v>
      </c>
      <c r="B2750">
        <v>27</v>
      </c>
      <c r="C2750">
        <v>90.37</v>
      </c>
      <c r="D2750">
        <v>8</v>
      </c>
      <c r="E2750">
        <v>2439.9899999999998</v>
      </c>
      <c r="F2750" s="4">
        <v>38508</v>
      </c>
      <c r="G2750" t="s">
        <v>518</v>
      </c>
      <c r="H2750">
        <v>2</v>
      </c>
      <c r="I2750">
        <v>5</v>
      </c>
      <c r="J2750">
        <v>2005</v>
      </c>
      <c r="K2750" t="s">
        <v>775</v>
      </c>
      <c r="L2750">
        <v>99</v>
      </c>
      <c r="M2750" t="s">
        <v>866</v>
      </c>
      <c r="N2750" t="s">
        <v>490</v>
      </c>
      <c r="O2750">
        <v>6175559555</v>
      </c>
      <c r="P2750" t="s">
        <v>491</v>
      </c>
      <c r="R2750" t="s">
        <v>492</v>
      </c>
      <c r="S2750" t="s">
        <v>200</v>
      </c>
      <c r="T2750">
        <v>51003</v>
      </c>
      <c r="U2750" t="s">
        <v>100</v>
      </c>
      <c r="V2750" t="s">
        <v>101</v>
      </c>
      <c r="W2750" t="s">
        <v>493</v>
      </c>
      <c r="X2750" t="s">
        <v>136</v>
      </c>
      <c r="Y2750" t="s">
        <v>104</v>
      </c>
    </row>
    <row r="2751" spans="1:25">
      <c r="A2751">
        <v>10106</v>
      </c>
      <c r="B2751">
        <v>48</v>
      </c>
      <c r="C2751">
        <v>61.44</v>
      </c>
      <c r="D2751">
        <v>10</v>
      </c>
      <c r="E2751">
        <v>2949.12</v>
      </c>
      <c r="F2751" t="s">
        <v>725</v>
      </c>
      <c r="G2751" t="s">
        <v>93</v>
      </c>
      <c r="H2751">
        <v>1</v>
      </c>
      <c r="I2751">
        <v>2</v>
      </c>
      <c r="J2751">
        <v>2003</v>
      </c>
      <c r="K2751" t="s">
        <v>726</v>
      </c>
      <c r="L2751">
        <v>74</v>
      </c>
      <c r="M2751" t="s">
        <v>867</v>
      </c>
      <c r="N2751" t="s">
        <v>703</v>
      </c>
      <c r="O2751" t="s">
        <v>704</v>
      </c>
      <c r="P2751" t="s">
        <v>705</v>
      </c>
      <c r="R2751" t="s">
        <v>706</v>
      </c>
      <c r="T2751">
        <v>24100</v>
      </c>
      <c r="U2751" t="s">
        <v>352</v>
      </c>
      <c r="V2751" t="s">
        <v>110</v>
      </c>
      <c r="W2751" t="s">
        <v>707</v>
      </c>
      <c r="X2751" t="s">
        <v>708</v>
      </c>
      <c r="Y2751" t="s">
        <v>104</v>
      </c>
    </row>
    <row r="2752" spans="1:25">
      <c r="A2752">
        <v>10119</v>
      </c>
      <c r="B2752">
        <v>26</v>
      </c>
      <c r="C2752">
        <v>59.22</v>
      </c>
      <c r="D2752">
        <v>1</v>
      </c>
      <c r="E2752">
        <v>1539.72</v>
      </c>
      <c r="F2752" t="s">
        <v>432</v>
      </c>
      <c r="G2752" t="s">
        <v>93</v>
      </c>
      <c r="H2752">
        <v>2</v>
      </c>
      <c r="I2752">
        <v>4</v>
      </c>
      <c r="J2752">
        <v>2003</v>
      </c>
      <c r="K2752" t="s">
        <v>726</v>
      </c>
      <c r="L2752">
        <v>74</v>
      </c>
      <c r="M2752" t="s">
        <v>867</v>
      </c>
      <c r="N2752" t="s">
        <v>225</v>
      </c>
      <c r="O2752" t="s">
        <v>226</v>
      </c>
      <c r="P2752" t="s">
        <v>227</v>
      </c>
      <c r="R2752" t="s">
        <v>228</v>
      </c>
      <c r="T2752">
        <v>5020</v>
      </c>
      <c r="U2752" t="s">
        <v>229</v>
      </c>
      <c r="V2752" t="s">
        <v>110</v>
      </c>
      <c r="W2752" t="s">
        <v>230</v>
      </c>
      <c r="X2752" t="s">
        <v>231</v>
      </c>
      <c r="Y2752" t="s">
        <v>104</v>
      </c>
    </row>
    <row r="2753" spans="1:25">
      <c r="A2753">
        <v>10131</v>
      </c>
      <c r="B2753">
        <v>26</v>
      </c>
      <c r="C2753">
        <v>85.13</v>
      </c>
      <c r="D2753">
        <v>2</v>
      </c>
      <c r="E2753">
        <v>2213.38</v>
      </c>
      <c r="F2753" t="s">
        <v>728</v>
      </c>
      <c r="G2753" t="s">
        <v>93</v>
      </c>
      <c r="H2753">
        <v>2</v>
      </c>
      <c r="I2753">
        <v>6</v>
      </c>
      <c r="J2753">
        <v>2003</v>
      </c>
      <c r="K2753" t="s">
        <v>726</v>
      </c>
      <c r="L2753">
        <v>74</v>
      </c>
      <c r="M2753" t="s">
        <v>867</v>
      </c>
      <c r="N2753" t="s">
        <v>729</v>
      </c>
      <c r="O2753">
        <v>2035554407</v>
      </c>
      <c r="P2753" t="s">
        <v>730</v>
      </c>
      <c r="R2753" t="s">
        <v>656</v>
      </c>
      <c r="S2753" t="s">
        <v>187</v>
      </c>
      <c r="T2753">
        <v>97561</v>
      </c>
      <c r="U2753" t="s">
        <v>100</v>
      </c>
      <c r="V2753" t="s">
        <v>101</v>
      </c>
      <c r="W2753" t="s">
        <v>731</v>
      </c>
      <c r="X2753" t="s">
        <v>732</v>
      </c>
      <c r="Y2753" t="s">
        <v>104</v>
      </c>
    </row>
    <row r="2754" spans="1:25">
      <c r="A2754">
        <v>10143</v>
      </c>
      <c r="B2754">
        <v>34</v>
      </c>
      <c r="C2754">
        <v>85.87</v>
      </c>
      <c r="D2754">
        <v>5</v>
      </c>
      <c r="E2754">
        <v>2919.58</v>
      </c>
      <c r="F2754" s="4">
        <v>37902</v>
      </c>
      <c r="G2754" t="s">
        <v>93</v>
      </c>
      <c r="H2754">
        <v>3</v>
      </c>
      <c r="I2754">
        <v>8</v>
      </c>
      <c r="J2754">
        <v>2003</v>
      </c>
      <c r="K2754" t="s">
        <v>726</v>
      </c>
      <c r="L2754">
        <v>74</v>
      </c>
      <c r="M2754" t="s">
        <v>867</v>
      </c>
      <c r="N2754" t="s">
        <v>439</v>
      </c>
      <c r="O2754">
        <v>5085559555</v>
      </c>
      <c r="P2754" t="s">
        <v>440</v>
      </c>
      <c r="R2754" t="s">
        <v>244</v>
      </c>
      <c r="S2754" t="s">
        <v>200</v>
      </c>
      <c r="T2754">
        <v>50553</v>
      </c>
      <c r="U2754" t="s">
        <v>100</v>
      </c>
      <c r="V2754" t="s">
        <v>101</v>
      </c>
      <c r="W2754" t="s">
        <v>441</v>
      </c>
      <c r="X2754" t="s">
        <v>442</v>
      </c>
      <c r="Y2754" t="s">
        <v>104</v>
      </c>
    </row>
    <row r="2755" spans="1:25">
      <c r="A2755">
        <v>10155</v>
      </c>
      <c r="B2755">
        <v>44</v>
      </c>
      <c r="C2755">
        <v>85.87</v>
      </c>
      <c r="D2755">
        <v>3</v>
      </c>
      <c r="E2755">
        <v>3778.28</v>
      </c>
      <c r="F2755" s="4">
        <v>37782</v>
      </c>
      <c r="G2755" t="s">
        <v>93</v>
      </c>
      <c r="H2755">
        <v>4</v>
      </c>
      <c r="I2755">
        <v>10</v>
      </c>
      <c r="J2755">
        <v>2003</v>
      </c>
      <c r="K2755" t="s">
        <v>726</v>
      </c>
      <c r="L2755">
        <v>74</v>
      </c>
      <c r="M2755" t="s">
        <v>867</v>
      </c>
      <c r="N2755" t="s">
        <v>204</v>
      </c>
      <c r="O2755" t="s">
        <v>205</v>
      </c>
      <c r="P2755" t="s">
        <v>206</v>
      </c>
      <c r="R2755" t="s">
        <v>207</v>
      </c>
      <c r="T2755">
        <v>21240</v>
      </c>
      <c r="U2755" t="s">
        <v>208</v>
      </c>
      <c r="V2755" t="s">
        <v>110</v>
      </c>
      <c r="W2755" t="s">
        <v>209</v>
      </c>
      <c r="X2755" t="s">
        <v>210</v>
      </c>
      <c r="Y2755" t="s">
        <v>119</v>
      </c>
    </row>
    <row r="2756" spans="1:25">
      <c r="A2756">
        <v>10168</v>
      </c>
      <c r="B2756">
        <v>39</v>
      </c>
      <c r="C2756">
        <v>82.91</v>
      </c>
      <c r="D2756">
        <v>17</v>
      </c>
      <c r="E2756">
        <v>3233.49</v>
      </c>
      <c r="F2756" t="s">
        <v>131</v>
      </c>
      <c r="G2756" t="s">
        <v>93</v>
      </c>
      <c r="H2756">
        <v>4</v>
      </c>
      <c r="I2756">
        <v>10</v>
      </c>
      <c r="J2756">
        <v>2003</v>
      </c>
      <c r="K2756" t="s">
        <v>726</v>
      </c>
      <c r="L2756">
        <v>74</v>
      </c>
      <c r="M2756" t="s">
        <v>867</v>
      </c>
      <c r="N2756" t="s">
        <v>132</v>
      </c>
      <c r="O2756">
        <v>6505556809</v>
      </c>
      <c r="P2756" t="s">
        <v>133</v>
      </c>
      <c r="R2756" t="s">
        <v>134</v>
      </c>
      <c r="S2756" t="s">
        <v>124</v>
      </c>
      <c r="T2756">
        <v>94217</v>
      </c>
      <c r="U2756" t="s">
        <v>100</v>
      </c>
      <c r="V2756" t="s">
        <v>101</v>
      </c>
      <c r="W2756" t="s">
        <v>135</v>
      </c>
      <c r="X2756" t="s">
        <v>136</v>
      </c>
      <c r="Y2756" t="s">
        <v>119</v>
      </c>
    </row>
    <row r="2757" spans="1:25">
      <c r="A2757">
        <v>10178</v>
      </c>
      <c r="B2757">
        <v>45</v>
      </c>
      <c r="C2757">
        <v>76.25</v>
      </c>
      <c r="D2757">
        <v>2</v>
      </c>
      <c r="E2757">
        <v>3431.25</v>
      </c>
      <c r="F2757" s="4">
        <v>37844</v>
      </c>
      <c r="G2757" t="s">
        <v>93</v>
      </c>
      <c r="H2757">
        <v>4</v>
      </c>
      <c r="I2757">
        <v>11</v>
      </c>
      <c r="J2757">
        <v>2003</v>
      </c>
      <c r="K2757" t="s">
        <v>726</v>
      </c>
      <c r="L2757">
        <v>74</v>
      </c>
      <c r="M2757" t="s">
        <v>867</v>
      </c>
      <c r="N2757" t="s">
        <v>445</v>
      </c>
      <c r="O2757" t="s">
        <v>446</v>
      </c>
      <c r="P2757" t="s">
        <v>447</v>
      </c>
      <c r="R2757" t="s">
        <v>448</v>
      </c>
      <c r="T2757">
        <v>31000</v>
      </c>
      <c r="U2757" t="s">
        <v>109</v>
      </c>
      <c r="V2757" t="s">
        <v>110</v>
      </c>
      <c r="W2757" t="s">
        <v>449</v>
      </c>
      <c r="X2757" t="s">
        <v>450</v>
      </c>
      <c r="Y2757" t="s">
        <v>119</v>
      </c>
    </row>
    <row r="2758" spans="1:25">
      <c r="A2758">
        <v>10198</v>
      </c>
      <c r="B2758">
        <v>40</v>
      </c>
      <c r="C2758">
        <v>63.67</v>
      </c>
      <c r="D2758">
        <v>2</v>
      </c>
      <c r="E2758">
        <v>2546.8000000000002</v>
      </c>
      <c r="F2758" t="s">
        <v>733</v>
      </c>
      <c r="G2758" t="s">
        <v>93</v>
      </c>
      <c r="H2758">
        <v>4</v>
      </c>
      <c r="I2758">
        <v>11</v>
      </c>
      <c r="J2758">
        <v>2003</v>
      </c>
      <c r="K2758" t="s">
        <v>726</v>
      </c>
      <c r="L2758">
        <v>74</v>
      </c>
      <c r="M2758" t="s">
        <v>867</v>
      </c>
      <c r="N2758" t="s">
        <v>547</v>
      </c>
      <c r="O2758" t="s">
        <v>548</v>
      </c>
      <c r="P2758" t="s">
        <v>549</v>
      </c>
      <c r="R2758" t="s">
        <v>550</v>
      </c>
      <c r="T2758" t="s">
        <v>551</v>
      </c>
      <c r="U2758" t="s">
        <v>552</v>
      </c>
      <c r="V2758" t="s">
        <v>288</v>
      </c>
      <c r="W2758" t="s">
        <v>553</v>
      </c>
      <c r="X2758" t="s">
        <v>554</v>
      </c>
      <c r="Y2758" t="s">
        <v>104</v>
      </c>
    </row>
    <row r="2759" spans="1:25">
      <c r="A2759">
        <v>10210</v>
      </c>
      <c r="B2759">
        <v>42</v>
      </c>
      <c r="C2759">
        <v>70.33</v>
      </c>
      <c r="D2759">
        <v>15</v>
      </c>
      <c r="E2759">
        <v>2953.86</v>
      </c>
      <c r="F2759" s="4">
        <v>38322</v>
      </c>
      <c r="G2759" t="s">
        <v>93</v>
      </c>
      <c r="H2759">
        <v>1</v>
      </c>
      <c r="I2759">
        <v>1</v>
      </c>
      <c r="J2759">
        <v>2004</v>
      </c>
      <c r="K2759" t="s">
        <v>726</v>
      </c>
      <c r="L2759">
        <v>74</v>
      </c>
      <c r="M2759" t="s">
        <v>867</v>
      </c>
      <c r="N2759" t="s">
        <v>403</v>
      </c>
      <c r="O2759" t="s">
        <v>404</v>
      </c>
      <c r="P2759" t="s">
        <v>405</v>
      </c>
      <c r="R2759" t="s">
        <v>406</v>
      </c>
      <c r="S2759" t="s">
        <v>406</v>
      </c>
      <c r="T2759" t="s">
        <v>407</v>
      </c>
      <c r="U2759" t="s">
        <v>288</v>
      </c>
      <c r="V2759" t="s">
        <v>288</v>
      </c>
      <c r="W2759" t="s">
        <v>408</v>
      </c>
      <c r="X2759" t="s">
        <v>409</v>
      </c>
      <c r="Y2759" t="s">
        <v>104</v>
      </c>
    </row>
    <row r="2760" spans="1:25">
      <c r="A2760">
        <v>10222</v>
      </c>
      <c r="B2760">
        <v>43</v>
      </c>
      <c r="C2760">
        <v>74.03</v>
      </c>
      <c r="D2760">
        <v>2</v>
      </c>
      <c r="E2760">
        <v>3183.29</v>
      </c>
      <c r="F2760" t="s">
        <v>469</v>
      </c>
      <c r="G2760" t="s">
        <v>93</v>
      </c>
      <c r="H2760">
        <v>1</v>
      </c>
      <c r="I2760">
        <v>2</v>
      </c>
      <c r="J2760">
        <v>2004</v>
      </c>
      <c r="K2760" t="s">
        <v>726</v>
      </c>
      <c r="L2760">
        <v>74</v>
      </c>
      <c r="M2760" t="s">
        <v>867</v>
      </c>
      <c r="N2760" t="s">
        <v>470</v>
      </c>
      <c r="O2760">
        <v>7605558146</v>
      </c>
      <c r="P2760" t="s">
        <v>471</v>
      </c>
      <c r="R2760" t="s">
        <v>472</v>
      </c>
      <c r="S2760" t="s">
        <v>124</v>
      </c>
      <c r="T2760">
        <v>91217</v>
      </c>
      <c r="U2760" t="s">
        <v>100</v>
      </c>
      <c r="V2760" t="s">
        <v>101</v>
      </c>
      <c r="W2760" t="s">
        <v>6</v>
      </c>
      <c r="X2760" t="s">
        <v>371</v>
      </c>
      <c r="Y2760" t="s">
        <v>119</v>
      </c>
    </row>
    <row r="2761" spans="1:25">
      <c r="A2761">
        <v>10235</v>
      </c>
      <c r="B2761">
        <v>34</v>
      </c>
      <c r="C2761">
        <v>72.55</v>
      </c>
      <c r="D2761">
        <v>11</v>
      </c>
      <c r="E2761">
        <v>2466.6999999999998</v>
      </c>
      <c r="F2761" s="4">
        <v>38021</v>
      </c>
      <c r="G2761" t="s">
        <v>93</v>
      </c>
      <c r="H2761">
        <v>2</v>
      </c>
      <c r="I2761">
        <v>4</v>
      </c>
      <c r="J2761">
        <v>2004</v>
      </c>
      <c r="K2761" t="s">
        <v>726</v>
      </c>
      <c r="L2761">
        <v>74</v>
      </c>
      <c r="M2761" t="s">
        <v>867</v>
      </c>
      <c r="N2761" t="s">
        <v>484</v>
      </c>
      <c r="O2761" t="s">
        <v>485</v>
      </c>
      <c r="P2761" t="s">
        <v>486</v>
      </c>
      <c r="R2761" t="s">
        <v>487</v>
      </c>
      <c r="S2761" t="s">
        <v>320</v>
      </c>
      <c r="T2761" t="s">
        <v>488</v>
      </c>
      <c r="U2761" t="s">
        <v>322</v>
      </c>
      <c r="V2761" t="s">
        <v>101</v>
      </c>
      <c r="W2761" t="s">
        <v>489</v>
      </c>
      <c r="X2761" t="s">
        <v>254</v>
      </c>
      <c r="Y2761" t="s">
        <v>104</v>
      </c>
    </row>
    <row r="2762" spans="1:25">
      <c r="A2762">
        <v>10250</v>
      </c>
      <c r="B2762">
        <v>38</v>
      </c>
      <c r="C2762">
        <v>62.19</v>
      </c>
      <c r="D2762">
        <v>12</v>
      </c>
      <c r="E2762">
        <v>2363.2199999999998</v>
      </c>
      <c r="F2762" s="4">
        <v>38296</v>
      </c>
      <c r="G2762" t="s">
        <v>93</v>
      </c>
      <c r="H2762">
        <v>2</v>
      </c>
      <c r="I2762">
        <v>5</v>
      </c>
      <c r="J2762">
        <v>2004</v>
      </c>
      <c r="K2762" t="s">
        <v>726</v>
      </c>
      <c r="L2762">
        <v>74</v>
      </c>
      <c r="M2762" t="s">
        <v>867</v>
      </c>
      <c r="N2762" t="s">
        <v>514</v>
      </c>
      <c r="O2762">
        <v>4085553659</v>
      </c>
      <c r="P2762" t="s">
        <v>515</v>
      </c>
      <c r="R2762" t="s">
        <v>516</v>
      </c>
      <c r="S2762" t="s">
        <v>124</v>
      </c>
      <c r="T2762">
        <v>94217</v>
      </c>
      <c r="U2762" t="s">
        <v>100</v>
      </c>
      <c r="V2762" t="s">
        <v>101</v>
      </c>
      <c r="W2762" t="s">
        <v>175</v>
      </c>
      <c r="X2762" t="s">
        <v>517</v>
      </c>
      <c r="Y2762" t="s">
        <v>104</v>
      </c>
    </row>
    <row r="2763" spans="1:25">
      <c r="A2763">
        <v>10262</v>
      </c>
      <c r="B2763">
        <v>35</v>
      </c>
      <c r="C2763">
        <v>71.069999999999993</v>
      </c>
      <c r="D2763">
        <v>7</v>
      </c>
      <c r="E2763">
        <v>2487.4499999999998</v>
      </c>
      <c r="F2763" t="s">
        <v>734</v>
      </c>
      <c r="G2763" t="s">
        <v>444</v>
      </c>
      <c r="H2763">
        <v>2</v>
      </c>
      <c r="I2763">
        <v>6</v>
      </c>
      <c r="J2763">
        <v>2004</v>
      </c>
      <c r="K2763" t="s">
        <v>726</v>
      </c>
      <c r="L2763">
        <v>74</v>
      </c>
      <c r="M2763" t="s">
        <v>867</v>
      </c>
      <c r="N2763" t="s">
        <v>257</v>
      </c>
      <c r="O2763" t="s">
        <v>258</v>
      </c>
      <c r="P2763" t="s">
        <v>259</v>
      </c>
      <c r="R2763" t="s">
        <v>260</v>
      </c>
      <c r="T2763">
        <v>28034</v>
      </c>
      <c r="U2763" t="s">
        <v>261</v>
      </c>
      <c r="V2763" t="s">
        <v>110</v>
      </c>
      <c r="W2763" t="s">
        <v>262</v>
      </c>
      <c r="X2763" t="s">
        <v>263</v>
      </c>
      <c r="Y2763" t="s">
        <v>104</v>
      </c>
    </row>
    <row r="2764" spans="1:25">
      <c r="A2764">
        <v>10275</v>
      </c>
      <c r="B2764">
        <v>31</v>
      </c>
      <c r="C2764">
        <v>72.55</v>
      </c>
      <c r="D2764">
        <v>17</v>
      </c>
      <c r="E2764">
        <v>2249.0500000000002</v>
      </c>
      <c r="F2764" t="s">
        <v>189</v>
      </c>
      <c r="G2764" t="s">
        <v>93</v>
      </c>
      <c r="H2764">
        <v>3</v>
      </c>
      <c r="I2764">
        <v>7</v>
      </c>
      <c r="J2764">
        <v>2004</v>
      </c>
      <c r="K2764" t="s">
        <v>726</v>
      </c>
      <c r="L2764">
        <v>74</v>
      </c>
      <c r="M2764" t="s">
        <v>867</v>
      </c>
      <c r="N2764" t="s">
        <v>190</v>
      </c>
      <c r="O2764" t="s">
        <v>191</v>
      </c>
      <c r="P2764" t="s">
        <v>192</v>
      </c>
      <c r="R2764" t="s">
        <v>193</v>
      </c>
      <c r="T2764">
        <v>44000</v>
      </c>
      <c r="U2764" t="s">
        <v>109</v>
      </c>
      <c r="V2764" t="s">
        <v>110</v>
      </c>
      <c r="W2764" t="s">
        <v>194</v>
      </c>
      <c r="X2764" t="s">
        <v>195</v>
      </c>
      <c r="Y2764" t="s">
        <v>104</v>
      </c>
    </row>
    <row r="2765" spans="1:25">
      <c r="A2765">
        <v>10284</v>
      </c>
      <c r="B2765">
        <v>32</v>
      </c>
      <c r="C2765">
        <v>64.41</v>
      </c>
      <c r="D2765">
        <v>9</v>
      </c>
      <c r="E2765">
        <v>2061.12</v>
      </c>
      <c r="F2765" t="s">
        <v>735</v>
      </c>
      <c r="G2765" t="s">
        <v>93</v>
      </c>
      <c r="H2765">
        <v>3</v>
      </c>
      <c r="I2765">
        <v>8</v>
      </c>
      <c r="J2765">
        <v>2004</v>
      </c>
      <c r="K2765" t="s">
        <v>726</v>
      </c>
      <c r="L2765">
        <v>74</v>
      </c>
      <c r="M2765" t="s">
        <v>867</v>
      </c>
      <c r="N2765" t="s">
        <v>688</v>
      </c>
      <c r="O2765" t="s">
        <v>689</v>
      </c>
      <c r="P2765" t="s">
        <v>690</v>
      </c>
      <c r="R2765" t="s">
        <v>691</v>
      </c>
      <c r="T2765" t="s">
        <v>692</v>
      </c>
      <c r="U2765" t="s">
        <v>149</v>
      </c>
      <c r="V2765" t="s">
        <v>110</v>
      </c>
      <c r="W2765" t="s">
        <v>693</v>
      </c>
      <c r="X2765" t="s">
        <v>694</v>
      </c>
      <c r="Y2765" t="s">
        <v>104</v>
      </c>
    </row>
    <row r="2766" spans="1:25">
      <c r="A2766">
        <v>10296</v>
      </c>
      <c r="B2766">
        <v>47</v>
      </c>
      <c r="C2766">
        <v>86.62</v>
      </c>
      <c r="D2766">
        <v>5</v>
      </c>
      <c r="E2766">
        <v>4071.14</v>
      </c>
      <c r="F2766" t="s">
        <v>736</v>
      </c>
      <c r="G2766" t="s">
        <v>93</v>
      </c>
      <c r="H2766">
        <v>3</v>
      </c>
      <c r="I2766">
        <v>9</v>
      </c>
      <c r="J2766">
        <v>2004</v>
      </c>
      <c r="K2766" t="s">
        <v>726</v>
      </c>
      <c r="L2766">
        <v>74</v>
      </c>
      <c r="M2766" t="s">
        <v>867</v>
      </c>
      <c r="N2766" t="s">
        <v>737</v>
      </c>
      <c r="O2766" t="s">
        <v>738</v>
      </c>
      <c r="P2766" t="s">
        <v>739</v>
      </c>
      <c r="R2766" t="s">
        <v>740</v>
      </c>
      <c r="T2766">
        <v>80686</v>
      </c>
      <c r="U2766" t="s">
        <v>566</v>
      </c>
      <c r="V2766" t="s">
        <v>110</v>
      </c>
      <c r="W2766" t="s">
        <v>741</v>
      </c>
      <c r="X2766" t="s">
        <v>176</v>
      </c>
      <c r="Y2766" t="s">
        <v>119</v>
      </c>
    </row>
    <row r="2767" spans="1:25">
      <c r="A2767">
        <v>10308</v>
      </c>
      <c r="B2767">
        <v>39</v>
      </c>
      <c r="C2767">
        <v>68.11</v>
      </c>
      <c r="D2767">
        <v>15</v>
      </c>
      <c r="E2767">
        <v>2656.29</v>
      </c>
      <c r="F2767" t="s">
        <v>211</v>
      </c>
      <c r="G2767" t="s">
        <v>93</v>
      </c>
      <c r="H2767">
        <v>4</v>
      </c>
      <c r="I2767">
        <v>10</v>
      </c>
      <c r="J2767">
        <v>2004</v>
      </c>
      <c r="K2767" t="s">
        <v>726</v>
      </c>
      <c r="L2767">
        <v>74</v>
      </c>
      <c r="M2767" t="s">
        <v>867</v>
      </c>
      <c r="N2767" t="s">
        <v>419</v>
      </c>
      <c r="O2767">
        <v>9145554562</v>
      </c>
      <c r="P2767" t="s">
        <v>420</v>
      </c>
      <c r="R2767" t="s">
        <v>421</v>
      </c>
      <c r="S2767" t="s">
        <v>99</v>
      </c>
      <c r="T2767">
        <v>24067</v>
      </c>
      <c r="U2767" t="s">
        <v>100</v>
      </c>
      <c r="V2767" t="s">
        <v>101</v>
      </c>
      <c r="W2767" t="s">
        <v>175</v>
      </c>
      <c r="X2767" t="s">
        <v>329</v>
      </c>
      <c r="Y2767" t="s">
        <v>104</v>
      </c>
    </row>
    <row r="2768" spans="1:25">
      <c r="A2768">
        <v>10316</v>
      </c>
      <c r="B2768">
        <v>44</v>
      </c>
      <c r="C2768">
        <v>62.19</v>
      </c>
      <c r="D2768">
        <v>7</v>
      </c>
      <c r="E2768">
        <v>2736.36</v>
      </c>
      <c r="F2768" s="4">
        <v>37997</v>
      </c>
      <c r="G2768" t="s">
        <v>93</v>
      </c>
      <c r="H2768">
        <v>4</v>
      </c>
      <c r="I2768">
        <v>11</v>
      </c>
      <c r="J2768">
        <v>2004</v>
      </c>
      <c r="K2768" t="s">
        <v>726</v>
      </c>
      <c r="L2768">
        <v>74</v>
      </c>
      <c r="M2768" t="s">
        <v>867</v>
      </c>
      <c r="N2768" t="s">
        <v>495</v>
      </c>
      <c r="O2768" t="s">
        <v>496</v>
      </c>
      <c r="P2768" t="s">
        <v>497</v>
      </c>
      <c r="R2768" t="s">
        <v>498</v>
      </c>
      <c r="S2768" t="s">
        <v>499</v>
      </c>
      <c r="T2768" t="s">
        <v>500</v>
      </c>
      <c r="U2768" t="s">
        <v>252</v>
      </c>
      <c r="V2768" t="s">
        <v>110</v>
      </c>
      <c r="W2768" t="s">
        <v>501</v>
      </c>
      <c r="X2768" t="s">
        <v>502</v>
      </c>
      <c r="Y2768" t="s">
        <v>104</v>
      </c>
    </row>
    <row r="2769" spans="1:25">
      <c r="A2769">
        <v>10328</v>
      </c>
      <c r="B2769">
        <v>39</v>
      </c>
      <c r="C2769">
        <v>85.87</v>
      </c>
      <c r="D2769">
        <v>12</v>
      </c>
      <c r="E2769">
        <v>3348.93</v>
      </c>
      <c r="F2769" s="4">
        <v>38332</v>
      </c>
      <c r="G2769" t="s">
        <v>93</v>
      </c>
      <c r="H2769">
        <v>4</v>
      </c>
      <c r="I2769">
        <v>11</v>
      </c>
      <c r="J2769">
        <v>2004</v>
      </c>
      <c r="K2769" t="s">
        <v>726</v>
      </c>
      <c r="L2769">
        <v>74</v>
      </c>
      <c r="M2769" t="s">
        <v>867</v>
      </c>
      <c r="N2769" t="s">
        <v>703</v>
      </c>
      <c r="O2769" t="s">
        <v>704</v>
      </c>
      <c r="P2769" t="s">
        <v>705</v>
      </c>
      <c r="R2769" t="s">
        <v>706</v>
      </c>
      <c r="T2769">
        <v>24100</v>
      </c>
      <c r="U2769" t="s">
        <v>352</v>
      </c>
      <c r="V2769" t="s">
        <v>110</v>
      </c>
      <c r="W2769" t="s">
        <v>707</v>
      </c>
      <c r="X2769" t="s">
        <v>708</v>
      </c>
      <c r="Y2769" t="s">
        <v>119</v>
      </c>
    </row>
    <row r="2770" spans="1:25">
      <c r="A2770">
        <v>10339</v>
      </c>
      <c r="B2770">
        <v>50</v>
      </c>
      <c r="C2770">
        <v>57.86</v>
      </c>
      <c r="D2770">
        <v>8</v>
      </c>
      <c r="E2770">
        <v>2893</v>
      </c>
      <c r="F2770" t="s">
        <v>422</v>
      </c>
      <c r="G2770" t="s">
        <v>93</v>
      </c>
      <c r="H2770">
        <v>4</v>
      </c>
      <c r="I2770">
        <v>11</v>
      </c>
      <c r="J2770">
        <v>2004</v>
      </c>
      <c r="K2770" t="s">
        <v>726</v>
      </c>
      <c r="L2770">
        <v>74</v>
      </c>
      <c r="M2770" t="s">
        <v>867</v>
      </c>
      <c r="N2770" t="s">
        <v>338</v>
      </c>
      <c r="O2770" t="s">
        <v>339</v>
      </c>
      <c r="P2770" t="s">
        <v>340</v>
      </c>
      <c r="R2770" t="s">
        <v>341</v>
      </c>
      <c r="S2770" t="s">
        <v>342</v>
      </c>
      <c r="T2770" t="s">
        <v>343</v>
      </c>
      <c r="U2770" t="s">
        <v>288</v>
      </c>
      <c r="V2770" t="s">
        <v>288</v>
      </c>
      <c r="W2770" t="s">
        <v>344</v>
      </c>
      <c r="X2770" t="s">
        <v>345</v>
      </c>
      <c r="Y2770" t="s">
        <v>104</v>
      </c>
    </row>
    <row r="2771" spans="1:25">
      <c r="A2771">
        <v>10352</v>
      </c>
      <c r="B2771">
        <v>22</v>
      </c>
      <c r="C2771">
        <v>75.510000000000005</v>
      </c>
      <c r="D2771">
        <v>1</v>
      </c>
      <c r="E2771">
        <v>1661.22</v>
      </c>
      <c r="F2771" s="4">
        <v>38058</v>
      </c>
      <c r="G2771" t="s">
        <v>93</v>
      </c>
      <c r="H2771">
        <v>4</v>
      </c>
      <c r="I2771">
        <v>12</v>
      </c>
      <c r="J2771">
        <v>2004</v>
      </c>
      <c r="K2771" t="s">
        <v>726</v>
      </c>
      <c r="L2771">
        <v>74</v>
      </c>
      <c r="M2771" t="s">
        <v>867</v>
      </c>
      <c r="N2771" t="s">
        <v>777</v>
      </c>
      <c r="O2771">
        <v>6175558428</v>
      </c>
      <c r="P2771" t="s">
        <v>778</v>
      </c>
      <c r="R2771" t="s">
        <v>381</v>
      </c>
      <c r="S2771" t="s">
        <v>200</v>
      </c>
      <c r="T2771">
        <v>58339</v>
      </c>
      <c r="U2771" t="s">
        <v>100</v>
      </c>
      <c r="V2771" t="s">
        <v>101</v>
      </c>
      <c r="W2771" t="s">
        <v>671</v>
      </c>
      <c r="X2771" t="s">
        <v>336</v>
      </c>
      <c r="Y2771" t="s">
        <v>104</v>
      </c>
    </row>
    <row r="2772" spans="1:25">
      <c r="A2772">
        <v>10361</v>
      </c>
      <c r="B2772">
        <v>35</v>
      </c>
      <c r="C2772">
        <v>100</v>
      </c>
      <c r="D2772">
        <v>11</v>
      </c>
      <c r="E2772">
        <v>4277.3500000000004</v>
      </c>
      <c r="F2772" t="s">
        <v>233</v>
      </c>
      <c r="G2772" t="s">
        <v>93</v>
      </c>
      <c r="H2772">
        <v>4</v>
      </c>
      <c r="I2772">
        <v>12</v>
      </c>
      <c r="J2772">
        <v>2004</v>
      </c>
      <c r="K2772" t="s">
        <v>726</v>
      </c>
      <c r="L2772">
        <v>74</v>
      </c>
      <c r="M2772" t="s">
        <v>867</v>
      </c>
      <c r="N2772" t="s">
        <v>234</v>
      </c>
      <c r="O2772" t="s">
        <v>235</v>
      </c>
      <c r="P2772" t="s">
        <v>236</v>
      </c>
      <c r="Q2772" t="s">
        <v>237</v>
      </c>
      <c r="R2772" t="s">
        <v>238</v>
      </c>
      <c r="S2772" t="s">
        <v>239</v>
      </c>
      <c r="T2772">
        <v>2067</v>
      </c>
      <c r="U2772" t="s">
        <v>168</v>
      </c>
      <c r="V2772" t="s">
        <v>169</v>
      </c>
      <c r="W2772" t="s">
        <v>240</v>
      </c>
      <c r="X2772" t="s">
        <v>241</v>
      </c>
      <c r="Y2772" t="s">
        <v>119</v>
      </c>
    </row>
    <row r="2773" spans="1:25">
      <c r="A2773">
        <v>10373</v>
      </c>
      <c r="B2773">
        <v>45</v>
      </c>
      <c r="C2773">
        <v>55.62</v>
      </c>
      <c r="D2773">
        <v>17</v>
      </c>
      <c r="E2773">
        <v>2502.9</v>
      </c>
      <c r="F2773" t="s">
        <v>505</v>
      </c>
      <c r="G2773" t="s">
        <v>93</v>
      </c>
      <c r="H2773">
        <v>1</v>
      </c>
      <c r="I2773">
        <v>1</v>
      </c>
      <c r="J2773">
        <v>2005</v>
      </c>
      <c r="K2773" t="s">
        <v>726</v>
      </c>
      <c r="L2773">
        <v>74</v>
      </c>
      <c r="M2773" t="s">
        <v>867</v>
      </c>
      <c r="N2773" t="s">
        <v>506</v>
      </c>
      <c r="O2773" t="s">
        <v>507</v>
      </c>
      <c r="P2773" t="s">
        <v>508</v>
      </c>
      <c r="R2773" t="s">
        <v>509</v>
      </c>
      <c r="T2773">
        <v>90110</v>
      </c>
      <c r="U2773" t="s">
        <v>208</v>
      </c>
      <c r="V2773" t="s">
        <v>110</v>
      </c>
      <c r="W2773" t="s">
        <v>510</v>
      </c>
      <c r="X2773" t="s">
        <v>511</v>
      </c>
      <c r="Y2773" t="s">
        <v>104</v>
      </c>
    </row>
    <row r="2774" spans="1:25">
      <c r="A2774">
        <v>10386</v>
      </c>
      <c r="B2774">
        <v>44</v>
      </c>
      <c r="C2774">
        <v>86.4</v>
      </c>
      <c r="D2774">
        <v>15</v>
      </c>
      <c r="E2774">
        <v>3801.6</v>
      </c>
      <c r="F2774" s="4">
        <v>38355</v>
      </c>
      <c r="G2774" t="s">
        <v>526</v>
      </c>
      <c r="H2774">
        <v>1</v>
      </c>
      <c r="I2774">
        <v>3</v>
      </c>
      <c r="J2774">
        <v>2005</v>
      </c>
      <c r="K2774" t="s">
        <v>726</v>
      </c>
      <c r="L2774">
        <v>74</v>
      </c>
      <c r="M2774" t="s">
        <v>867</v>
      </c>
      <c r="N2774" t="s">
        <v>257</v>
      </c>
      <c r="O2774" t="s">
        <v>258</v>
      </c>
      <c r="P2774" t="s">
        <v>259</v>
      </c>
      <c r="R2774" t="s">
        <v>260</v>
      </c>
      <c r="T2774">
        <v>28034</v>
      </c>
      <c r="U2774" t="s">
        <v>261</v>
      </c>
      <c r="V2774" t="s">
        <v>110</v>
      </c>
      <c r="W2774" t="s">
        <v>262</v>
      </c>
      <c r="X2774" t="s">
        <v>263</v>
      </c>
      <c r="Y2774" t="s">
        <v>119</v>
      </c>
    </row>
    <row r="2775" spans="1:25">
      <c r="A2775">
        <v>10398</v>
      </c>
      <c r="B2775">
        <v>36</v>
      </c>
      <c r="C2775">
        <v>87.36</v>
      </c>
      <c r="D2775">
        <v>12</v>
      </c>
      <c r="E2775">
        <v>3144.96</v>
      </c>
      <c r="F2775" t="s">
        <v>750</v>
      </c>
      <c r="G2775" t="s">
        <v>93</v>
      </c>
      <c r="H2775">
        <v>1</v>
      </c>
      <c r="I2775">
        <v>3</v>
      </c>
      <c r="J2775">
        <v>2005</v>
      </c>
      <c r="K2775" t="s">
        <v>726</v>
      </c>
      <c r="L2775">
        <v>74</v>
      </c>
      <c r="M2775" t="s">
        <v>867</v>
      </c>
      <c r="N2775" t="s">
        <v>105</v>
      </c>
      <c r="O2775" t="s">
        <v>106</v>
      </c>
      <c r="P2775" t="s">
        <v>107</v>
      </c>
      <c r="R2775" t="s">
        <v>108</v>
      </c>
      <c r="T2775">
        <v>51100</v>
      </c>
      <c r="U2775" t="s">
        <v>109</v>
      </c>
      <c r="V2775" t="s">
        <v>110</v>
      </c>
      <c r="W2775" t="s">
        <v>111</v>
      </c>
      <c r="X2775" t="s">
        <v>112</v>
      </c>
      <c r="Y2775" t="s">
        <v>119</v>
      </c>
    </row>
    <row r="2776" spans="1:25">
      <c r="A2776">
        <v>10401</v>
      </c>
      <c r="B2776">
        <v>28</v>
      </c>
      <c r="C2776">
        <v>72.55</v>
      </c>
      <c r="D2776">
        <v>11</v>
      </c>
      <c r="E2776">
        <v>2031.4</v>
      </c>
      <c r="F2776" s="4">
        <v>38415</v>
      </c>
      <c r="G2776" t="s">
        <v>518</v>
      </c>
      <c r="H2776">
        <v>2</v>
      </c>
      <c r="I2776">
        <v>4</v>
      </c>
      <c r="J2776">
        <v>2005</v>
      </c>
      <c r="K2776" t="s">
        <v>726</v>
      </c>
      <c r="L2776">
        <v>74</v>
      </c>
      <c r="M2776" t="s">
        <v>867</v>
      </c>
      <c r="N2776" t="s">
        <v>178</v>
      </c>
      <c r="O2776">
        <v>2015559350</v>
      </c>
      <c r="P2776" t="s">
        <v>179</v>
      </c>
      <c r="R2776" t="s">
        <v>180</v>
      </c>
      <c r="S2776" t="s">
        <v>181</v>
      </c>
      <c r="T2776">
        <v>94019</v>
      </c>
      <c r="U2776" t="s">
        <v>100</v>
      </c>
      <c r="V2776" t="s">
        <v>101</v>
      </c>
      <c r="W2776" t="s">
        <v>130</v>
      </c>
      <c r="X2776" t="s">
        <v>182</v>
      </c>
      <c r="Y2776" t="s">
        <v>104</v>
      </c>
    </row>
    <row r="2777" spans="1:25">
      <c r="A2777">
        <v>10416</v>
      </c>
      <c r="B2777">
        <v>43</v>
      </c>
      <c r="C2777">
        <v>62.19</v>
      </c>
      <c r="D2777">
        <v>12</v>
      </c>
      <c r="E2777">
        <v>2674.17</v>
      </c>
      <c r="F2777" s="4">
        <v>38630</v>
      </c>
      <c r="G2777" t="s">
        <v>93</v>
      </c>
      <c r="H2777">
        <v>2</v>
      </c>
      <c r="I2777">
        <v>5</v>
      </c>
      <c r="J2777">
        <v>2005</v>
      </c>
      <c r="K2777" t="s">
        <v>726</v>
      </c>
      <c r="L2777">
        <v>74</v>
      </c>
      <c r="M2777" t="s">
        <v>867</v>
      </c>
      <c r="N2777" t="s">
        <v>576</v>
      </c>
      <c r="O2777" t="s">
        <v>577</v>
      </c>
      <c r="P2777" t="s">
        <v>578</v>
      </c>
      <c r="R2777" t="s">
        <v>579</v>
      </c>
      <c r="T2777">
        <v>42100</v>
      </c>
      <c r="U2777" t="s">
        <v>352</v>
      </c>
      <c r="V2777" t="s">
        <v>110</v>
      </c>
      <c r="W2777" t="s">
        <v>580</v>
      </c>
      <c r="X2777" t="s">
        <v>581</v>
      </c>
      <c r="Y2777" t="s">
        <v>104</v>
      </c>
    </row>
    <row r="2778" spans="1:25">
      <c r="A2778">
        <v>10106</v>
      </c>
      <c r="B2778">
        <v>48</v>
      </c>
      <c r="C2778">
        <v>52.64</v>
      </c>
      <c r="D2778">
        <v>15</v>
      </c>
      <c r="E2778">
        <v>2526.7199999999998</v>
      </c>
      <c r="F2778" t="s">
        <v>725</v>
      </c>
      <c r="G2778" t="s">
        <v>93</v>
      </c>
      <c r="H2778">
        <v>1</v>
      </c>
      <c r="I2778">
        <v>2</v>
      </c>
      <c r="J2778">
        <v>2003</v>
      </c>
      <c r="K2778" t="s">
        <v>726</v>
      </c>
      <c r="L2778">
        <v>49</v>
      </c>
      <c r="M2778" t="s">
        <v>868</v>
      </c>
      <c r="N2778" t="s">
        <v>703</v>
      </c>
      <c r="O2778" t="s">
        <v>704</v>
      </c>
      <c r="P2778" t="s">
        <v>705</v>
      </c>
      <c r="R2778" t="s">
        <v>706</v>
      </c>
      <c r="T2778">
        <v>24100</v>
      </c>
      <c r="U2778" t="s">
        <v>352</v>
      </c>
      <c r="V2778" t="s">
        <v>110</v>
      </c>
      <c r="W2778" t="s">
        <v>707</v>
      </c>
      <c r="X2778" t="s">
        <v>708</v>
      </c>
      <c r="Y2778" t="s">
        <v>104</v>
      </c>
    </row>
    <row r="2779" spans="1:25">
      <c r="A2779">
        <v>10119</v>
      </c>
      <c r="B2779">
        <v>28</v>
      </c>
      <c r="C2779">
        <v>48.17</v>
      </c>
      <c r="D2779">
        <v>6</v>
      </c>
      <c r="E2779">
        <v>1348.76</v>
      </c>
      <c r="F2779" t="s">
        <v>432</v>
      </c>
      <c r="G2779" t="s">
        <v>93</v>
      </c>
      <c r="H2779">
        <v>2</v>
      </c>
      <c r="I2779">
        <v>4</v>
      </c>
      <c r="J2779">
        <v>2003</v>
      </c>
      <c r="K2779" t="s">
        <v>726</v>
      </c>
      <c r="L2779">
        <v>49</v>
      </c>
      <c r="M2779" t="s">
        <v>868</v>
      </c>
      <c r="N2779" t="s">
        <v>225</v>
      </c>
      <c r="O2779" t="s">
        <v>226</v>
      </c>
      <c r="P2779" t="s">
        <v>227</v>
      </c>
      <c r="R2779" t="s">
        <v>228</v>
      </c>
      <c r="T2779">
        <v>5020</v>
      </c>
      <c r="U2779" t="s">
        <v>229</v>
      </c>
      <c r="V2779" t="s">
        <v>110</v>
      </c>
      <c r="W2779" t="s">
        <v>230</v>
      </c>
      <c r="X2779" t="s">
        <v>231</v>
      </c>
      <c r="Y2779" t="s">
        <v>104</v>
      </c>
    </row>
    <row r="2780" spans="1:25">
      <c r="A2780">
        <v>10131</v>
      </c>
      <c r="B2780">
        <v>21</v>
      </c>
      <c r="C2780">
        <v>41.71</v>
      </c>
      <c r="D2780">
        <v>7</v>
      </c>
      <c r="E2780">
        <v>875.91</v>
      </c>
      <c r="F2780" t="s">
        <v>728</v>
      </c>
      <c r="G2780" t="s">
        <v>93</v>
      </c>
      <c r="H2780">
        <v>2</v>
      </c>
      <c r="I2780">
        <v>6</v>
      </c>
      <c r="J2780">
        <v>2003</v>
      </c>
      <c r="K2780" t="s">
        <v>726</v>
      </c>
      <c r="L2780">
        <v>49</v>
      </c>
      <c r="M2780" t="s">
        <v>868</v>
      </c>
      <c r="N2780" t="s">
        <v>729</v>
      </c>
      <c r="O2780">
        <v>2035554407</v>
      </c>
      <c r="P2780" t="s">
        <v>730</v>
      </c>
      <c r="R2780" t="s">
        <v>656</v>
      </c>
      <c r="S2780" t="s">
        <v>187</v>
      </c>
      <c r="T2780">
        <v>97561</v>
      </c>
      <c r="U2780" t="s">
        <v>100</v>
      </c>
      <c r="V2780" t="s">
        <v>101</v>
      </c>
      <c r="W2780" t="s">
        <v>731</v>
      </c>
      <c r="X2780" t="s">
        <v>732</v>
      </c>
      <c r="Y2780" t="s">
        <v>104</v>
      </c>
    </row>
    <row r="2781" spans="1:25">
      <c r="A2781">
        <v>10143</v>
      </c>
      <c r="B2781">
        <v>37</v>
      </c>
      <c r="C2781">
        <v>50.65</v>
      </c>
      <c r="D2781">
        <v>10</v>
      </c>
      <c r="E2781">
        <v>1874.05</v>
      </c>
      <c r="F2781" s="4">
        <v>37902</v>
      </c>
      <c r="G2781" t="s">
        <v>93</v>
      </c>
      <c r="H2781">
        <v>3</v>
      </c>
      <c r="I2781">
        <v>8</v>
      </c>
      <c r="J2781">
        <v>2003</v>
      </c>
      <c r="K2781" t="s">
        <v>726</v>
      </c>
      <c r="L2781">
        <v>49</v>
      </c>
      <c r="M2781" t="s">
        <v>868</v>
      </c>
      <c r="N2781" t="s">
        <v>439</v>
      </c>
      <c r="O2781">
        <v>5085559555</v>
      </c>
      <c r="P2781" t="s">
        <v>440</v>
      </c>
      <c r="R2781" t="s">
        <v>244</v>
      </c>
      <c r="S2781" t="s">
        <v>200</v>
      </c>
      <c r="T2781">
        <v>50553</v>
      </c>
      <c r="U2781" t="s">
        <v>100</v>
      </c>
      <c r="V2781" t="s">
        <v>101</v>
      </c>
      <c r="W2781" t="s">
        <v>441</v>
      </c>
      <c r="X2781" t="s">
        <v>442</v>
      </c>
      <c r="Y2781" t="s">
        <v>104</v>
      </c>
    </row>
    <row r="2782" spans="1:25">
      <c r="A2782">
        <v>10155</v>
      </c>
      <c r="B2782">
        <v>34</v>
      </c>
      <c r="C2782">
        <v>49.16</v>
      </c>
      <c r="D2782">
        <v>8</v>
      </c>
      <c r="E2782">
        <v>1671.44</v>
      </c>
      <c r="F2782" s="4">
        <v>37782</v>
      </c>
      <c r="G2782" t="s">
        <v>93</v>
      </c>
      <c r="H2782">
        <v>4</v>
      </c>
      <c r="I2782">
        <v>10</v>
      </c>
      <c r="J2782">
        <v>2003</v>
      </c>
      <c r="K2782" t="s">
        <v>726</v>
      </c>
      <c r="L2782">
        <v>49</v>
      </c>
      <c r="M2782" t="s">
        <v>868</v>
      </c>
      <c r="N2782" t="s">
        <v>204</v>
      </c>
      <c r="O2782" t="s">
        <v>205</v>
      </c>
      <c r="P2782" t="s">
        <v>206</v>
      </c>
      <c r="R2782" t="s">
        <v>207</v>
      </c>
      <c r="T2782">
        <v>21240</v>
      </c>
      <c r="U2782" t="s">
        <v>208</v>
      </c>
      <c r="V2782" t="s">
        <v>110</v>
      </c>
      <c r="W2782" t="s">
        <v>209</v>
      </c>
      <c r="X2782" t="s">
        <v>210</v>
      </c>
      <c r="Y2782" t="s">
        <v>104</v>
      </c>
    </row>
    <row r="2783" spans="1:25">
      <c r="A2783">
        <v>10167</v>
      </c>
      <c r="B2783">
        <v>40</v>
      </c>
      <c r="C2783">
        <v>41.71</v>
      </c>
      <c r="D2783">
        <v>4</v>
      </c>
      <c r="E2783">
        <v>1668.4</v>
      </c>
      <c r="F2783" t="s">
        <v>443</v>
      </c>
      <c r="G2783" t="s">
        <v>444</v>
      </c>
      <c r="H2783">
        <v>4</v>
      </c>
      <c r="I2783">
        <v>10</v>
      </c>
      <c r="J2783">
        <v>2003</v>
      </c>
      <c r="K2783" t="s">
        <v>726</v>
      </c>
      <c r="L2783">
        <v>49</v>
      </c>
      <c r="M2783" t="s">
        <v>868</v>
      </c>
      <c r="N2783" t="s">
        <v>355</v>
      </c>
      <c r="O2783" t="s">
        <v>356</v>
      </c>
      <c r="P2783" t="s">
        <v>357</v>
      </c>
      <c r="R2783" t="s">
        <v>358</v>
      </c>
      <c r="T2783" t="s">
        <v>359</v>
      </c>
      <c r="U2783" t="s">
        <v>273</v>
      </c>
      <c r="V2783" t="s">
        <v>110</v>
      </c>
      <c r="W2783" t="s">
        <v>360</v>
      </c>
      <c r="X2783" t="s">
        <v>295</v>
      </c>
      <c r="Y2783" t="s">
        <v>104</v>
      </c>
    </row>
    <row r="2784" spans="1:25">
      <c r="A2784">
        <v>10178</v>
      </c>
      <c r="B2784">
        <v>45</v>
      </c>
      <c r="C2784">
        <v>51.15</v>
      </c>
      <c r="D2784">
        <v>7</v>
      </c>
      <c r="E2784">
        <v>2301.75</v>
      </c>
      <c r="F2784" s="4">
        <v>37844</v>
      </c>
      <c r="G2784" t="s">
        <v>93</v>
      </c>
      <c r="H2784">
        <v>4</v>
      </c>
      <c r="I2784">
        <v>11</v>
      </c>
      <c r="J2784">
        <v>2003</v>
      </c>
      <c r="K2784" t="s">
        <v>726</v>
      </c>
      <c r="L2784">
        <v>49</v>
      </c>
      <c r="M2784" t="s">
        <v>868</v>
      </c>
      <c r="N2784" t="s">
        <v>445</v>
      </c>
      <c r="O2784" t="s">
        <v>446</v>
      </c>
      <c r="P2784" t="s">
        <v>447</v>
      </c>
      <c r="R2784" t="s">
        <v>448</v>
      </c>
      <c r="T2784">
        <v>31000</v>
      </c>
      <c r="U2784" t="s">
        <v>109</v>
      </c>
      <c r="V2784" t="s">
        <v>110</v>
      </c>
      <c r="W2784" t="s">
        <v>449</v>
      </c>
      <c r="X2784" t="s">
        <v>450</v>
      </c>
      <c r="Y2784" t="s">
        <v>104</v>
      </c>
    </row>
    <row r="2785" spans="1:25">
      <c r="A2785">
        <v>10186</v>
      </c>
      <c r="B2785">
        <v>28</v>
      </c>
      <c r="C2785">
        <v>52.14</v>
      </c>
      <c r="D2785">
        <v>4</v>
      </c>
      <c r="E2785">
        <v>1459.92</v>
      </c>
      <c r="F2785" t="s">
        <v>451</v>
      </c>
      <c r="G2785" t="s">
        <v>93</v>
      </c>
      <c r="H2785">
        <v>4</v>
      </c>
      <c r="I2785">
        <v>11</v>
      </c>
      <c r="J2785">
        <v>2003</v>
      </c>
      <c r="K2785" t="s">
        <v>726</v>
      </c>
      <c r="L2785">
        <v>49</v>
      </c>
      <c r="M2785" t="s">
        <v>868</v>
      </c>
      <c r="N2785" t="s">
        <v>452</v>
      </c>
      <c r="O2785" t="s">
        <v>453</v>
      </c>
      <c r="P2785" t="s">
        <v>454</v>
      </c>
      <c r="R2785" t="s">
        <v>436</v>
      </c>
      <c r="T2785" t="s">
        <v>455</v>
      </c>
      <c r="U2785" t="s">
        <v>252</v>
      </c>
      <c r="V2785" t="s">
        <v>110</v>
      </c>
      <c r="W2785" t="s">
        <v>456</v>
      </c>
      <c r="X2785" t="s">
        <v>457</v>
      </c>
      <c r="Y2785" t="s">
        <v>104</v>
      </c>
    </row>
    <row r="2786" spans="1:25">
      <c r="A2786">
        <v>10197</v>
      </c>
      <c r="B2786">
        <v>29</v>
      </c>
      <c r="C2786">
        <v>41.71</v>
      </c>
      <c r="D2786">
        <v>1</v>
      </c>
      <c r="E2786">
        <v>1209.5899999999999</v>
      </c>
      <c r="F2786" t="s">
        <v>458</v>
      </c>
      <c r="G2786" t="s">
        <v>93</v>
      </c>
      <c r="H2786">
        <v>4</v>
      </c>
      <c r="I2786">
        <v>11</v>
      </c>
      <c r="J2786">
        <v>2003</v>
      </c>
      <c r="K2786" t="s">
        <v>726</v>
      </c>
      <c r="L2786">
        <v>49</v>
      </c>
      <c r="M2786" t="s">
        <v>868</v>
      </c>
      <c r="N2786" t="s">
        <v>459</v>
      </c>
      <c r="O2786" t="s">
        <v>460</v>
      </c>
      <c r="P2786" t="s">
        <v>461</v>
      </c>
      <c r="R2786" t="s">
        <v>462</v>
      </c>
      <c r="T2786">
        <v>8022</v>
      </c>
      <c r="U2786" t="s">
        <v>261</v>
      </c>
      <c r="V2786" t="s">
        <v>110</v>
      </c>
      <c r="W2786" t="s">
        <v>463</v>
      </c>
      <c r="X2786" t="s">
        <v>464</v>
      </c>
      <c r="Y2786" t="s">
        <v>104</v>
      </c>
    </row>
    <row r="2787" spans="1:25">
      <c r="A2787">
        <v>10209</v>
      </c>
      <c r="B2787">
        <v>48</v>
      </c>
      <c r="C2787">
        <v>44.69</v>
      </c>
      <c r="D2787">
        <v>3</v>
      </c>
      <c r="E2787">
        <v>2145.12</v>
      </c>
      <c r="F2787" s="4">
        <v>38231</v>
      </c>
      <c r="G2787" t="s">
        <v>93</v>
      </c>
      <c r="H2787">
        <v>1</v>
      </c>
      <c r="I2787">
        <v>1</v>
      </c>
      <c r="J2787">
        <v>2004</v>
      </c>
      <c r="K2787" t="s">
        <v>726</v>
      </c>
      <c r="L2787">
        <v>49</v>
      </c>
      <c r="M2787" t="s">
        <v>868</v>
      </c>
      <c r="N2787" t="s">
        <v>465</v>
      </c>
      <c r="O2787">
        <v>2155554369</v>
      </c>
      <c r="P2787" t="s">
        <v>466</v>
      </c>
      <c r="R2787" t="s">
        <v>467</v>
      </c>
      <c r="S2787" t="s">
        <v>124</v>
      </c>
      <c r="U2787" t="s">
        <v>100</v>
      </c>
      <c r="V2787" t="s">
        <v>101</v>
      </c>
      <c r="W2787" t="s">
        <v>468</v>
      </c>
      <c r="X2787" t="s">
        <v>176</v>
      </c>
      <c r="Y2787" t="s">
        <v>104</v>
      </c>
    </row>
    <row r="2788" spans="1:25">
      <c r="A2788">
        <v>10222</v>
      </c>
      <c r="B2788">
        <v>31</v>
      </c>
      <c r="C2788">
        <v>45.69</v>
      </c>
      <c r="D2788">
        <v>7</v>
      </c>
      <c r="E2788">
        <v>1416.39</v>
      </c>
      <c r="F2788" t="s">
        <v>469</v>
      </c>
      <c r="G2788" t="s">
        <v>93</v>
      </c>
      <c r="H2788">
        <v>1</v>
      </c>
      <c r="I2788">
        <v>2</v>
      </c>
      <c r="J2788">
        <v>2004</v>
      </c>
      <c r="K2788" t="s">
        <v>726</v>
      </c>
      <c r="L2788">
        <v>49</v>
      </c>
      <c r="M2788" t="s">
        <v>868</v>
      </c>
      <c r="N2788" t="s">
        <v>470</v>
      </c>
      <c r="O2788">
        <v>7605558146</v>
      </c>
      <c r="P2788" t="s">
        <v>471</v>
      </c>
      <c r="R2788" t="s">
        <v>472</v>
      </c>
      <c r="S2788" t="s">
        <v>124</v>
      </c>
      <c r="T2788">
        <v>91217</v>
      </c>
      <c r="U2788" t="s">
        <v>100</v>
      </c>
      <c r="V2788" t="s">
        <v>101</v>
      </c>
      <c r="W2788" t="s">
        <v>6</v>
      </c>
      <c r="X2788" t="s">
        <v>371</v>
      </c>
      <c r="Y2788" t="s">
        <v>104</v>
      </c>
    </row>
    <row r="2789" spans="1:25">
      <c r="A2789">
        <v>10249</v>
      </c>
      <c r="B2789">
        <v>32</v>
      </c>
      <c r="C2789">
        <v>57.61</v>
      </c>
      <c r="D2789">
        <v>3</v>
      </c>
      <c r="E2789">
        <v>1843.52</v>
      </c>
      <c r="F2789" s="4">
        <v>38204</v>
      </c>
      <c r="G2789" t="s">
        <v>93</v>
      </c>
      <c r="H2789">
        <v>2</v>
      </c>
      <c r="I2789">
        <v>5</v>
      </c>
      <c r="J2789">
        <v>2004</v>
      </c>
      <c r="K2789" t="s">
        <v>726</v>
      </c>
      <c r="L2789">
        <v>49</v>
      </c>
      <c r="M2789" t="s">
        <v>868</v>
      </c>
      <c r="N2789" t="s">
        <v>330</v>
      </c>
      <c r="O2789">
        <v>6175555555</v>
      </c>
      <c r="P2789" t="s">
        <v>331</v>
      </c>
      <c r="R2789" t="s">
        <v>199</v>
      </c>
      <c r="S2789" t="s">
        <v>200</v>
      </c>
      <c r="T2789">
        <v>51247</v>
      </c>
      <c r="U2789" t="s">
        <v>100</v>
      </c>
      <c r="V2789" t="s">
        <v>101</v>
      </c>
      <c r="W2789" t="s">
        <v>332</v>
      </c>
      <c r="X2789" t="s">
        <v>222</v>
      </c>
      <c r="Y2789" t="s">
        <v>104</v>
      </c>
    </row>
    <row r="2790" spans="1:25">
      <c r="A2790">
        <v>10262</v>
      </c>
      <c r="B2790">
        <v>21</v>
      </c>
      <c r="C2790">
        <v>57.11</v>
      </c>
      <c r="D2790">
        <v>12</v>
      </c>
      <c r="E2790">
        <v>1199.31</v>
      </c>
      <c r="F2790" t="s">
        <v>734</v>
      </c>
      <c r="G2790" t="s">
        <v>444</v>
      </c>
      <c r="H2790">
        <v>2</v>
      </c>
      <c r="I2790">
        <v>6</v>
      </c>
      <c r="J2790">
        <v>2004</v>
      </c>
      <c r="K2790" t="s">
        <v>726</v>
      </c>
      <c r="L2790">
        <v>49</v>
      </c>
      <c r="M2790" t="s">
        <v>868</v>
      </c>
      <c r="N2790" t="s">
        <v>257</v>
      </c>
      <c r="O2790" t="s">
        <v>258</v>
      </c>
      <c r="P2790" t="s">
        <v>259</v>
      </c>
      <c r="R2790" t="s">
        <v>260</v>
      </c>
      <c r="T2790">
        <v>28034</v>
      </c>
      <c r="U2790" t="s">
        <v>261</v>
      </c>
      <c r="V2790" t="s">
        <v>110</v>
      </c>
      <c r="W2790" t="s">
        <v>262</v>
      </c>
      <c r="X2790" t="s">
        <v>263</v>
      </c>
      <c r="Y2790" t="s">
        <v>104</v>
      </c>
    </row>
    <row r="2791" spans="1:25">
      <c r="A2791">
        <v>10274</v>
      </c>
      <c r="B2791">
        <v>32</v>
      </c>
      <c r="C2791">
        <v>58.6</v>
      </c>
      <c r="D2791">
        <v>4</v>
      </c>
      <c r="E2791">
        <v>1875.2</v>
      </c>
      <c r="F2791" t="s">
        <v>474</v>
      </c>
      <c r="G2791" t="s">
        <v>93</v>
      </c>
      <c r="H2791">
        <v>3</v>
      </c>
      <c r="I2791">
        <v>7</v>
      </c>
      <c r="J2791">
        <v>2004</v>
      </c>
      <c r="K2791" t="s">
        <v>726</v>
      </c>
      <c r="L2791">
        <v>49</v>
      </c>
      <c r="M2791" t="s">
        <v>868</v>
      </c>
      <c r="N2791" t="s">
        <v>379</v>
      </c>
      <c r="O2791">
        <v>6175558555</v>
      </c>
      <c r="P2791" t="s">
        <v>380</v>
      </c>
      <c r="R2791" t="s">
        <v>381</v>
      </c>
      <c r="S2791" t="s">
        <v>200</v>
      </c>
      <c r="T2791">
        <v>58339</v>
      </c>
      <c r="U2791" t="s">
        <v>100</v>
      </c>
      <c r="V2791" t="s">
        <v>101</v>
      </c>
      <c r="W2791" t="s">
        <v>370</v>
      </c>
      <c r="X2791" t="s">
        <v>382</v>
      </c>
      <c r="Y2791" t="s">
        <v>104</v>
      </c>
    </row>
    <row r="2792" spans="1:25">
      <c r="A2792">
        <v>10283</v>
      </c>
      <c r="B2792">
        <v>43</v>
      </c>
      <c r="C2792">
        <v>57.61</v>
      </c>
      <c r="D2792">
        <v>1</v>
      </c>
      <c r="E2792">
        <v>2477.23</v>
      </c>
      <c r="F2792" t="s">
        <v>483</v>
      </c>
      <c r="G2792" t="s">
        <v>93</v>
      </c>
      <c r="H2792">
        <v>3</v>
      </c>
      <c r="I2792">
        <v>8</v>
      </c>
      <c r="J2792">
        <v>2004</v>
      </c>
      <c r="K2792" t="s">
        <v>726</v>
      </c>
      <c r="L2792">
        <v>49</v>
      </c>
      <c r="M2792" t="s">
        <v>868</v>
      </c>
      <c r="N2792" t="s">
        <v>484</v>
      </c>
      <c r="O2792" t="s">
        <v>485</v>
      </c>
      <c r="P2792" t="s">
        <v>486</v>
      </c>
      <c r="R2792" t="s">
        <v>487</v>
      </c>
      <c r="S2792" t="s">
        <v>320</v>
      </c>
      <c r="T2792" t="s">
        <v>488</v>
      </c>
      <c r="U2792" t="s">
        <v>322</v>
      </c>
      <c r="V2792" t="s">
        <v>101</v>
      </c>
      <c r="W2792" t="s">
        <v>489</v>
      </c>
      <c r="X2792" t="s">
        <v>254</v>
      </c>
      <c r="Y2792" t="s">
        <v>104</v>
      </c>
    </row>
    <row r="2793" spans="1:25">
      <c r="A2793">
        <v>10296</v>
      </c>
      <c r="B2793">
        <v>21</v>
      </c>
      <c r="C2793">
        <v>45.19</v>
      </c>
      <c r="D2793">
        <v>10</v>
      </c>
      <c r="E2793">
        <v>948.99</v>
      </c>
      <c r="F2793" t="s">
        <v>736</v>
      </c>
      <c r="G2793" t="s">
        <v>93</v>
      </c>
      <c r="H2793">
        <v>3</v>
      </c>
      <c r="I2793">
        <v>9</v>
      </c>
      <c r="J2793">
        <v>2004</v>
      </c>
      <c r="K2793" t="s">
        <v>726</v>
      </c>
      <c r="L2793">
        <v>49</v>
      </c>
      <c r="M2793" t="s">
        <v>868</v>
      </c>
      <c r="N2793" t="s">
        <v>737</v>
      </c>
      <c r="O2793" t="s">
        <v>738</v>
      </c>
      <c r="P2793" t="s">
        <v>739</v>
      </c>
      <c r="R2793" t="s">
        <v>740</v>
      </c>
      <c r="T2793">
        <v>80686</v>
      </c>
      <c r="U2793" t="s">
        <v>566</v>
      </c>
      <c r="V2793" t="s">
        <v>110</v>
      </c>
      <c r="W2793" t="s">
        <v>741</v>
      </c>
      <c r="X2793" t="s">
        <v>176</v>
      </c>
      <c r="Y2793" t="s">
        <v>104</v>
      </c>
    </row>
    <row r="2794" spans="1:25">
      <c r="A2794">
        <v>10307</v>
      </c>
      <c r="B2794">
        <v>34</v>
      </c>
      <c r="C2794">
        <v>53.63</v>
      </c>
      <c r="D2794">
        <v>4</v>
      </c>
      <c r="E2794">
        <v>1823.42</v>
      </c>
      <c r="F2794" t="s">
        <v>494</v>
      </c>
      <c r="G2794" t="s">
        <v>93</v>
      </c>
      <c r="H2794">
        <v>4</v>
      </c>
      <c r="I2794">
        <v>10</v>
      </c>
      <c r="J2794">
        <v>2004</v>
      </c>
      <c r="K2794" t="s">
        <v>726</v>
      </c>
      <c r="L2794">
        <v>49</v>
      </c>
      <c r="M2794" t="s">
        <v>868</v>
      </c>
      <c r="N2794" t="s">
        <v>304</v>
      </c>
      <c r="O2794">
        <v>2155554695</v>
      </c>
      <c r="P2794" t="s">
        <v>305</v>
      </c>
      <c r="R2794" t="s">
        <v>306</v>
      </c>
      <c r="S2794" t="s">
        <v>221</v>
      </c>
      <c r="T2794">
        <v>71270</v>
      </c>
      <c r="U2794" t="s">
        <v>100</v>
      </c>
      <c r="V2794" t="s">
        <v>101</v>
      </c>
      <c r="W2794" t="s">
        <v>307</v>
      </c>
      <c r="X2794" t="s">
        <v>308</v>
      </c>
      <c r="Y2794" t="s">
        <v>104</v>
      </c>
    </row>
    <row r="2795" spans="1:25">
      <c r="A2795">
        <v>10316</v>
      </c>
      <c r="B2795">
        <v>34</v>
      </c>
      <c r="C2795">
        <v>43.7</v>
      </c>
      <c r="D2795">
        <v>12</v>
      </c>
      <c r="E2795">
        <v>1485.8</v>
      </c>
      <c r="F2795" s="4">
        <v>37997</v>
      </c>
      <c r="G2795" t="s">
        <v>93</v>
      </c>
      <c r="H2795">
        <v>4</v>
      </c>
      <c r="I2795">
        <v>11</v>
      </c>
      <c r="J2795">
        <v>2004</v>
      </c>
      <c r="K2795" t="s">
        <v>726</v>
      </c>
      <c r="L2795">
        <v>49</v>
      </c>
      <c r="M2795" t="s">
        <v>868</v>
      </c>
      <c r="N2795" t="s">
        <v>495</v>
      </c>
      <c r="O2795" t="s">
        <v>496</v>
      </c>
      <c r="P2795" t="s">
        <v>497</v>
      </c>
      <c r="R2795" t="s">
        <v>498</v>
      </c>
      <c r="S2795" t="s">
        <v>499</v>
      </c>
      <c r="T2795" t="s">
        <v>500</v>
      </c>
      <c r="U2795" t="s">
        <v>252</v>
      </c>
      <c r="V2795" t="s">
        <v>110</v>
      </c>
      <c r="W2795" t="s">
        <v>501</v>
      </c>
      <c r="X2795" t="s">
        <v>502</v>
      </c>
      <c r="Y2795" t="s">
        <v>104</v>
      </c>
    </row>
    <row r="2796" spans="1:25">
      <c r="A2796">
        <v>10329</v>
      </c>
      <c r="B2796">
        <v>44</v>
      </c>
      <c r="C2796">
        <v>86.13</v>
      </c>
      <c r="D2796">
        <v>8</v>
      </c>
      <c r="E2796">
        <v>3789.72</v>
      </c>
      <c r="F2796" t="s">
        <v>223</v>
      </c>
      <c r="G2796" t="s">
        <v>93</v>
      </c>
      <c r="H2796">
        <v>4</v>
      </c>
      <c r="I2796">
        <v>11</v>
      </c>
      <c r="J2796">
        <v>2004</v>
      </c>
      <c r="K2796" t="s">
        <v>726</v>
      </c>
      <c r="L2796">
        <v>49</v>
      </c>
      <c r="M2796" t="s">
        <v>868</v>
      </c>
      <c r="N2796" t="s">
        <v>96</v>
      </c>
      <c r="O2796">
        <v>2125557818</v>
      </c>
      <c r="P2796" t="s">
        <v>97</v>
      </c>
      <c r="R2796" t="s">
        <v>98</v>
      </c>
      <c r="S2796" t="s">
        <v>99</v>
      </c>
      <c r="T2796">
        <v>10022</v>
      </c>
      <c r="U2796" t="s">
        <v>100</v>
      </c>
      <c r="V2796" t="s">
        <v>101</v>
      </c>
      <c r="W2796" t="s">
        <v>102</v>
      </c>
      <c r="X2796" t="s">
        <v>103</v>
      </c>
      <c r="Y2796" t="s">
        <v>119</v>
      </c>
    </row>
    <row r="2797" spans="1:25">
      <c r="A2797">
        <v>10339</v>
      </c>
      <c r="B2797">
        <v>27</v>
      </c>
      <c r="C2797">
        <v>76.31</v>
      </c>
      <c r="D2797">
        <v>6</v>
      </c>
      <c r="E2797">
        <v>2060.37</v>
      </c>
      <c r="F2797" t="s">
        <v>422</v>
      </c>
      <c r="G2797" t="s">
        <v>93</v>
      </c>
      <c r="H2797">
        <v>4</v>
      </c>
      <c r="I2797">
        <v>11</v>
      </c>
      <c r="J2797">
        <v>2004</v>
      </c>
      <c r="K2797" t="s">
        <v>726</v>
      </c>
      <c r="L2797">
        <v>49</v>
      </c>
      <c r="M2797" t="s">
        <v>868</v>
      </c>
      <c r="N2797" t="s">
        <v>338</v>
      </c>
      <c r="O2797" t="s">
        <v>339</v>
      </c>
      <c r="P2797" t="s">
        <v>340</v>
      </c>
      <c r="R2797" t="s">
        <v>341</v>
      </c>
      <c r="S2797" t="s">
        <v>342</v>
      </c>
      <c r="T2797" t="s">
        <v>343</v>
      </c>
      <c r="U2797" t="s">
        <v>288</v>
      </c>
      <c r="V2797" t="s">
        <v>288</v>
      </c>
      <c r="W2797" t="s">
        <v>344</v>
      </c>
      <c r="X2797" t="s">
        <v>345</v>
      </c>
      <c r="Y2797" t="s">
        <v>104</v>
      </c>
    </row>
    <row r="2798" spans="1:25">
      <c r="A2798">
        <v>10352</v>
      </c>
      <c r="B2798">
        <v>49</v>
      </c>
      <c r="C2798">
        <v>52.64</v>
      </c>
      <c r="D2798">
        <v>4</v>
      </c>
      <c r="E2798">
        <v>2579.36</v>
      </c>
      <c r="F2798" s="4">
        <v>38058</v>
      </c>
      <c r="G2798" t="s">
        <v>93</v>
      </c>
      <c r="H2798">
        <v>4</v>
      </c>
      <c r="I2798">
        <v>12</v>
      </c>
      <c r="J2798">
        <v>2004</v>
      </c>
      <c r="K2798" t="s">
        <v>726</v>
      </c>
      <c r="L2798">
        <v>49</v>
      </c>
      <c r="M2798" t="s">
        <v>868</v>
      </c>
      <c r="N2798" t="s">
        <v>777</v>
      </c>
      <c r="O2798">
        <v>6175558428</v>
      </c>
      <c r="P2798" t="s">
        <v>778</v>
      </c>
      <c r="R2798" t="s">
        <v>381</v>
      </c>
      <c r="S2798" t="s">
        <v>200</v>
      </c>
      <c r="T2798">
        <v>58339</v>
      </c>
      <c r="U2798" t="s">
        <v>100</v>
      </c>
      <c r="V2798" t="s">
        <v>101</v>
      </c>
      <c r="W2798" t="s">
        <v>671</v>
      </c>
      <c r="X2798" t="s">
        <v>336</v>
      </c>
      <c r="Y2798" t="s">
        <v>104</v>
      </c>
    </row>
    <row r="2799" spans="1:25">
      <c r="A2799">
        <v>10361</v>
      </c>
      <c r="B2799">
        <v>23</v>
      </c>
      <c r="C2799">
        <v>95.2</v>
      </c>
      <c r="D2799">
        <v>12</v>
      </c>
      <c r="E2799">
        <v>2189.6</v>
      </c>
      <c r="F2799" t="s">
        <v>233</v>
      </c>
      <c r="G2799" t="s">
        <v>93</v>
      </c>
      <c r="H2799">
        <v>4</v>
      </c>
      <c r="I2799">
        <v>12</v>
      </c>
      <c r="J2799">
        <v>2004</v>
      </c>
      <c r="K2799" t="s">
        <v>726</v>
      </c>
      <c r="L2799">
        <v>49</v>
      </c>
      <c r="M2799" t="s">
        <v>868</v>
      </c>
      <c r="N2799" t="s">
        <v>234</v>
      </c>
      <c r="O2799" t="s">
        <v>235</v>
      </c>
      <c r="P2799" t="s">
        <v>236</v>
      </c>
      <c r="Q2799" t="s">
        <v>237</v>
      </c>
      <c r="R2799" t="s">
        <v>238</v>
      </c>
      <c r="S2799" t="s">
        <v>239</v>
      </c>
      <c r="T2799">
        <v>2067</v>
      </c>
      <c r="U2799" t="s">
        <v>168</v>
      </c>
      <c r="V2799" t="s">
        <v>169</v>
      </c>
      <c r="W2799" t="s">
        <v>240</v>
      </c>
      <c r="X2799" t="s">
        <v>241</v>
      </c>
      <c r="Y2799" t="s">
        <v>104</v>
      </c>
    </row>
    <row r="2800" spans="1:25">
      <c r="A2800">
        <v>10373</v>
      </c>
      <c r="B2800">
        <v>25</v>
      </c>
      <c r="C2800">
        <v>64.97</v>
      </c>
      <c r="D2800">
        <v>9</v>
      </c>
      <c r="E2800">
        <v>1624.25</v>
      </c>
      <c r="F2800" t="s">
        <v>505</v>
      </c>
      <c r="G2800" t="s">
        <v>93</v>
      </c>
      <c r="H2800">
        <v>1</v>
      </c>
      <c r="I2800">
        <v>1</v>
      </c>
      <c r="J2800">
        <v>2005</v>
      </c>
      <c r="K2800" t="s">
        <v>726</v>
      </c>
      <c r="L2800">
        <v>49</v>
      </c>
      <c r="M2800" t="s">
        <v>868</v>
      </c>
      <c r="N2800" t="s">
        <v>506</v>
      </c>
      <c r="O2800" t="s">
        <v>507</v>
      </c>
      <c r="P2800" t="s">
        <v>508</v>
      </c>
      <c r="R2800" t="s">
        <v>509</v>
      </c>
      <c r="T2800">
        <v>90110</v>
      </c>
      <c r="U2800" t="s">
        <v>208</v>
      </c>
      <c r="V2800" t="s">
        <v>110</v>
      </c>
      <c r="W2800" t="s">
        <v>510</v>
      </c>
      <c r="X2800" t="s">
        <v>511</v>
      </c>
      <c r="Y2800" t="s">
        <v>104</v>
      </c>
    </row>
    <row r="2801" spans="1:25">
      <c r="A2801">
        <v>10386</v>
      </c>
      <c r="B2801">
        <v>50</v>
      </c>
      <c r="C2801">
        <v>87.15</v>
      </c>
      <c r="D2801">
        <v>16</v>
      </c>
      <c r="E2801">
        <v>4357.5</v>
      </c>
      <c r="F2801" s="4">
        <v>38355</v>
      </c>
      <c r="G2801" t="s">
        <v>526</v>
      </c>
      <c r="H2801">
        <v>1</v>
      </c>
      <c r="I2801">
        <v>3</v>
      </c>
      <c r="J2801">
        <v>2005</v>
      </c>
      <c r="K2801" t="s">
        <v>726</v>
      </c>
      <c r="L2801">
        <v>49</v>
      </c>
      <c r="M2801" t="s">
        <v>868</v>
      </c>
      <c r="N2801" t="s">
        <v>257</v>
      </c>
      <c r="O2801" t="s">
        <v>258</v>
      </c>
      <c r="P2801" t="s">
        <v>259</v>
      </c>
      <c r="R2801" t="s">
        <v>260</v>
      </c>
      <c r="T2801">
        <v>28034</v>
      </c>
      <c r="U2801" t="s">
        <v>261</v>
      </c>
      <c r="V2801" t="s">
        <v>110</v>
      </c>
      <c r="W2801" t="s">
        <v>262</v>
      </c>
      <c r="X2801" t="s">
        <v>263</v>
      </c>
      <c r="Y2801" t="s">
        <v>119</v>
      </c>
    </row>
    <row r="2802" spans="1:25">
      <c r="A2802">
        <v>10398</v>
      </c>
      <c r="B2802">
        <v>34</v>
      </c>
      <c r="C2802">
        <v>40.22</v>
      </c>
      <c r="D2802">
        <v>1</v>
      </c>
      <c r="E2802">
        <v>1367.48</v>
      </c>
      <c r="F2802" t="s">
        <v>750</v>
      </c>
      <c r="G2802" t="s">
        <v>93</v>
      </c>
      <c r="H2802">
        <v>1</v>
      </c>
      <c r="I2802">
        <v>3</v>
      </c>
      <c r="J2802">
        <v>2005</v>
      </c>
      <c r="K2802" t="s">
        <v>726</v>
      </c>
      <c r="L2802">
        <v>49</v>
      </c>
      <c r="M2802" t="s">
        <v>868</v>
      </c>
      <c r="N2802" t="s">
        <v>105</v>
      </c>
      <c r="O2802" t="s">
        <v>106</v>
      </c>
      <c r="P2802" t="s">
        <v>107</v>
      </c>
      <c r="R2802" t="s">
        <v>108</v>
      </c>
      <c r="T2802">
        <v>51100</v>
      </c>
      <c r="U2802" t="s">
        <v>109</v>
      </c>
      <c r="V2802" t="s">
        <v>110</v>
      </c>
      <c r="W2802" t="s">
        <v>111</v>
      </c>
      <c r="X2802" t="s">
        <v>112</v>
      </c>
      <c r="Y2802" t="s">
        <v>104</v>
      </c>
    </row>
    <row r="2803" spans="1:25">
      <c r="A2803">
        <v>10400</v>
      </c>
      <c r="B2803">
        <v>20</v>
      </c>
      <c r="C2803">
        <v>56.12</v>
      </c>
      <c r="D2803">
        <v>4</v>
      </c>
      <c r="E2803">
        <v>1122.4000000000001</v>
      </c>
      <c r="F2803" s="4">
        <v>38356</v>
      </c>
      <c r="G2803" t="s">
        <v>93</v>
      </c>
      <c r="H2803">
        <v>2</v>
      </c>
      <c r="I2803">
        <v>4</v>
      </c>
      <c r="J2803">
        <v>2005</v>
      </c>
      <c r="K2803" t="s">
        <v>726</v>
      </c>
      <c r="L2803">
        <v>49</v>
      </c>
      <c r="M2803" t="s">
        <v>868</v>
      </c>
      <c r="N2803" t="s">
        <v>514</v>
      </c>
      <c r="O2803">
        <v>4085553659</v>
      </c>
      <c r="P2803" t="s">
        <v>515</v>
      </c>
      <c r="R2803" t="s">
        <v>516</v>
      </c>
      <c r="S2803" t="s">
        <v>124</v>
      </c>
      <c r="T2803">
        <v>94217</v>
      </c>
      <c r="U2803" t="s">
        <v>100</v>
      </c>
      <c r="V2803" t="s">
        <v>101</v>
      </c>
      <c r="W2803" t="s">
        <v>175</v>
      </c>
      <c r="X2803" t="s">
        <v>517</v>
      </c>
      <c r="Y2803" t="s">
        <v>104</v>
      </c>
    </row>
    <row r="2804" spans="1:25">
      <c r="A2804">
        <v>10415</v>
      </c>
      <c r="B2804">
        <v>42</v>
      </c>
      <c r="C2804">
        <v>57.61</v>
      </c>
      <c r="D2804">
        <v>3</v>
      </c>
      <c r="E2804">
        <v>2419.62</v>
      </c>
      <c r="F2804" s="4">
        <v>38600</v>
      </c>
      <c r="G2804" t="s">
        <v>256</v>
      </c>
      <c r="H2804">
        <v>2</v>
      </c>
      <c r="I2804">
        <v>5</v>
      </c>
      <c r="J2804">
        <v>2005</v>
      </c>
      <c r="K2804" t="s">
        <v>726</v>
      </c>
      <c r="L2804">
        <v>49</v>
      </c>
      <c r="M2804" t="s">
        <v>868</v>
      </c>
      <c r="N2804" t="s">
        <v>710</v>
      </c>
      <c r="O2804" t="s">
        <v>711</v>
      </c>
      <c r="P2804" t="s">
        <v>712</v>
      </c>
      <c r="R2804" t="s">
        <v>713</v>
      </c>
      <c r="S2804" t="s">
        <v>167</v>
      </c>
      <c r="T2804">
        <v>3150</v>
      </c>
      <c r="U2804" t="s">
        <v>168</v>
      </c>
      <c r="V2804" t="s">
        <v>169</v>
      </c>
      <c r="W2804" t="s">
        <v>714</v>
      </c>
      <c r="X2804" t="s">
        <v>715</v>
      </c>
      <c r="Y2804" t="s">
        <v>104</v>
      </c>
    </row>
    <row r="2805" spans="1:25">
      <c r="A2805">
        <v>10105</v>
      </c>
      <c r="B2805">
        <v>25</v>
      </c>
      <c r="C2805">
        <v>56.78</v>
      </c>
      <c r="D2805">
        <v>8</v>
      </c>
      <c r="E2805">
        <v>1419.5</v>
      </c>
      <c r="F2805" s="4">
        <v>37927</v>
      </c>
      <c r="G2805" t="s">
        <v>93</v>
      </c>
      <c r="H2805">
        <v>1</v>
      </c>
      <c r="I2805">
        <v>2</v>
      </c>
      <c r="J2805">
        <v>2003</v>
      </c>
      <c r="K2805" t="s">
        <v>775</v>
      </c>
      <c r="L2805">
        <v>54</v>
      </c>
      <c r="M2805" t="s">
        <v>869</v>
      </c>
      <c r="N2805" t="s">
        <v>425</v>
      </c>
      <c r="O2805" t="s">
        <v>426</v>
      </c>
      <c r="P2805" t="s">
        <v>427</v>
      </c>
      <c r="R2805" t="s">
        <v>428</v>
      </c>
      <c r="T2805">
        <v>1734</v>
      </c>
      <c r="U2805" t="s">
        <v>429</v>
      </c>
      <c r="V2805" t="s">
        <v>110</v>
      </c>
      <c r="W2805" t="s">
        <v>430</v>
      </c>
      <c r="X2805" t="s">
        <v>431</v>
      </c>
      <c r="Y2805" t="s">
        <v>104</v>
      </c>
    </row>
    <row r="2806" spans="1:25">
      <c r="A2806">
        <v>10117</v>
      </c>
      <c r="B2806">
        <v>50</v>
      </c>
      <c r="C2806">
        <v>43.68</v>
      </c>
      <c r="D2806">
        <v>2</v>
      </c>
      <c r="E2806">
        <v>2184</v>
      </c>
      <c r="F2806" t="s">
        <v>602</v>
      </c>
      <c r="G2806" t="s">
        <v>93</v>
      </c>
      <c r="H2806">
        <v>2</v>
      </c>
      <c r="I2806">
        <v>4</v>
      </c>
      <c r="J2806">
        <v>2003</v>
      </c>
      <c r="K2806" t="s">
        <v>775</v>
      </c>
      <c r="L2806">
        <v>54</v>
      </c>
      <c r="M2806" t="s">
        <v>869</v>
      </c>
      <c r="N2806" t="s">
        <v>284</v>
      </c>
      <c r="O2806" t="s">
        <v>285</v>
      </c>
      <c r="P2806" t="s">
        <v>286</v>
      </c>
      <c r="R2806" t="s">
        <v>287</v>
      </c>
      <c r="T2806">
        <v>79903</v>
      </c>
      <c r="U2806" t="s">
        <v>287</v>
      </c>
      <c r="V2806" t="s">
        <v>288</v>
      </c>
      <c r="W2806" t="s">
        <v>289</v>
      </c>
      <c r="X2806" t="s">
        <v>290</v>
      </c>
      <c r="Y2806" t="s">
        <v>104</v>
      </c>
    </row>
    <row r="2807" spans="1:25">
      <c r="A2807">
        <v>10129</v>
      </c>
      <c r="B2807">
        <v>32</v>
      </c>
      <c r="C2807">
        <v>64.97</v>
      </c>
      <c r="D2807">
        <v>8</v>
      </c>
      <c r="E2807">
        <v>2079.04</v>
      </c>
      <c r="F2807" s="4">
        <v>37961</v>
      </c>
      <c r="G2807" t="s">
        <v>93</v>
      </c>
      <c r="H2807">
        <v>2</v>
      </c>
      <c r="I2807">
        <v>6</v>
      </c>
      <c r="J2807">
        <v>2003</v>
      </c>
      <c r="K2807" t="s">
        <v>775</v>
      </c>
      <c r="L2807">
        <v>54</v>
      </c>
      <c r="M2807" t="s">
        <v>869</v>
      </c>
      <c r="N2807" t="s">
        <v>433</v>
      </c>
      <c r="O2807" t="s">
        <v>434</v>
      </c>
      <c r="P2807" t="s">
        <v>435</v>
      </c>
      <c r="R2807" t="s">
        <v>436</v>
      </c>
      <c r="T2807" t="s">
        <v>437</v>
      </c>
      <c r="U2807" t="s">
        <v>252</v>
      </c>
      <c r="V2807" t="s">
        <v>110</v>
      </c>
      <c r="W2807" t="s">
        <v>130</v>
      </c>
      <c r="X2807" t="s">
        <v>438</v>
      </c>
      <c r="Y2807" t="s">
        <v>104</v>
      </c>
    </row>
    <row r="2808" spans="1:25">
      <c r="A2808">
        <v>10142</v>
      </c>
      <c r="B2808">
        <v>39</v>
      </c>
      <c r="C2808">
        <v>44.23</v>
      </c>
      <c r="D2808">
        <v>5</v>
      </c>
      <c r="E2808">
        <v>1724.97</v>
      </c>
      <c r="F2808" s="4">
        <v>37841</v>
      </c>
      <c r="G2808" t="s">
        <v>93</v>
      </c>
      <c r="H2808">
        <v>3</v>
      </c>
      <c r="I2808">
        <v>8</v>
      </c>
      <c r="J2808">
        <v>2003</v>
      </c>
      <c r="K2808" t="s">
        <v>775</v>
      </c>
      <c r="L2808">
        <v>54</v>
      </c>
      <c r="M2808" t="s">
        <v>869</v>
      </c>
      <c r="N2808" t="s">
        <v>367</v>
      </c>
      <c r="O2808">
        <v>4155551450</v>
      </c>
      <c r="P2808" t="s">
        <v>368</v>
      </c>
      <c r="R2808" t="s">
        <v>369</v>
      </c>
      <c r="S2808" t="s">
        <v>124</v>
      </c>
      <c r="T2808">
        <v>97562</v>
      </c>
      <c r="U2808" t="s">
        <v>100</v>
      </c>
      <c r="V2808" t="s">
        <v>101</v>
      </c>
      <c r="W2808" t="s">
        <v>370</v>
      </c>
      <c r="X2808" t="s">
        <v>371</v>
      </c>
      <c r="Y2808" t="s">
        <v>104</v>
      </c>
    </row>
    <row r="2809" spans="1:25">
      <c r="A2809">
        <v>10153</v>
      </c>
      <c r="B2809">
        <v>50</v>
      </c>
      <c r="C2809">
        <v>60.06</v>
      </c>
      <c r="D2809">
        <v>4</v>
      </c>
      <c r="E2809">
        <v>3003</v>
      </c>
      <c r="F2809" t="s">
        <v>607</v>
      </c>
      <c r="G2809" t="s">
        <v>93</v>
      </c>
      <c r="H2809">
        <v>3</v>
      </c>
      <c r="I2809">
        <v>9</v>
      </c>
      <c r="J2809">
        <v>2003</v>
      </c>
      <c r="K2809" t="s">
        <v>775</v>
      </c>
      <c r="L2809">
        <v>54</v>
      </c>
      <c r="M2809" t="s">
        <v>869</v>
      </c>
      <c r="N2809" t="s">
        <v>257</v>
      </c>
      <c r="O2809" t="s">
        <v>258</v>
      </c>
      <c r="P2809" t="s">
        <v>259</v>
      </c>
      <c r="R2809" t="s">
        <v>260</v>
      </c>
      <c r="T2809">
        <v>28034</v>
      </c>
      <c r="U2809" t="s">
        <v>261</v>
      </c>
      <c r="V2809" t="s">
        <v>110</v>
      </c>
      <c r="W2809" t="s">
        <v>262</v>
      </c>
      <c r="X2809" t="s">
        <v>263</v>
      </c>
      <c r="Y2809" t="s">
        <v>119</v>
      </c>
    </row>
    <row r="2810" spans="1:25">
      <c r="A2810">
        <v>10167</v>
      </c>
      <c r="B2810">
        <v>38</v>
      </c>
      <c r="C2810">
        <v>48.59</v>
      </c>
      <c r="D2810">
        <v>15</v>
      </c>
      <c r="E2810">
        <v>1846.42</v>
      </c>
      <c r="F2810" t="s">
        <v>443</v>
      </c>
      <c r="G2810" t="s">
        <v>444</v>
      </c>
      <c r="H2810">
        <v>4</v>
      </c>
      <c r="I2810">
        <v>10</v>
      </c>
      <c r="J2810">
        <v>2003</v>
      </c>
      <c r="K2810" t="s">
        <v>775</v>
      </c>
      <c r="L2810">
        <v>54</v>
      </c>
      <c r="M2810" t="s">
        <v>869</v>
      </c>
      <c r="N2810" t="s">
        <v>355</v>
      </c>
      <c r="O2810" t="s">
        <v>356</v>
      </c>
      <c r="P2810" t="s">
        <v>357</v>
      </c>
      <c r="R2810" t="s">
        <v>358</v>
      </c>
      <c r="T2810" t="s">
        <v>359</v>
      </c>
      <c r="U2810" t="s">
        <v>273</v>
      </c>
      <c r="V2810" t="s">
        <v>110</v>
      </c>
      <c r="W2810" t="s">
        <v>360</v>
      </c>
      <c r="X2810" t="s">
        <v>295</v>
      </c>
      <c r="Y2810" t="s">
        <v>104</v>
      </c>
    </row>
    <row r="2811" spans="1:25">
      <c r="A2811">
        <v>10177</v>
      </c>
      <c r="B2811">
        <v>40</v>
      </c>
      <c r="C2811">
        <v>50.23</v>
      </c>
      <c r="D2811">
        <v>6</v>
      </c>
      <c r="E2811">
        <v>2009.2</v>
      </c>
      <c r="F2811" s="4">
        <v>37813</v>
      </c>
      <c r="G2811" t="s">
        <v>93</v>
      </c>
      <c r="H2811">
        <v>4</v>
      </c>
      <c r="I2811">
        <v>11</v>
      </c>
      <c r="J2811">
        <v>2003</v>
      </c>
      <c r="K2811" t="s">
        <v>775</v>
      </c>
      <c r="L2811">
        <v>54</v>
      </c>
      <c r="M2811" t="s">
        <v>869</v>
      </c>
      <c r="N2811" t="s">
        <v>618</v>
      </c>
      <c r="O2811" t="s">
        <v>619</v>
      </c>
      <c r="P2811" t="s">
        <v>620</v>
      </c>
      <c r="R2811" t="s">
        <v>260</v>
      </c>
      <c r="T2811">
        <v>28023</v>
      </c>
      <c r="U2811" t="s">
        <v>261</v>
      </c>
      <c r="V2811" t="s">
        <v>110</v>
      </c>
      <c r="W2811" t="s">
        <v>621</v>
      </c>
      <c r="X2811" t="s">
        <v>622</v>
      </c>
      <c r="Y2811" t="s">
        <v>104</v>
      </c>
    </row>
    <row r="2812" spans="1:25">
      <c r="A2812">
        <v>10185</v>
      </c>
      <c r="B2812">
        <v>28</v>
      </c>
      <c r="C2812">
        <v>64.430000000000007</v>
      </c>
      <c r="D2812">
        <v>6</v>
      </c>
      <c r="E2812">
        <v>1804.04</v>
      </c>
      <c r="F2812" t="s">
        <v>451</v>
      </c>
      <c r="G2812" t="s">
        <v>93</v>
      </c>
      <c r="H2812">
        <v>4</v>
      </c>
      <c r="I2812">
        <v>11</v>
      </c>
      <c r="J2812">
        <v>2003</v>
      </c>
      <c r="K2812" t="s">
        <v>775</v>
      </c>
      <c r="L2812">
        <v>54</v>
      </c>
      <c r="M2812" t="s">
        <v>869</v>
      </c>
      <c r="N2812" t="s">
        <v>439</v>
      </c>
      <c r="O2812">
        <v>5085559555</v>
      </c>
      <c r="P2812" t="s">
        <v>440</v>
      </c>
      <c r="R2812" t="s">
        <v>244</v>
      </c>
      <c r="S2812" t="s">
        <v>200</v>
      </c>
      <c r="T2812">
        <v>50553</v>
      </c>
      <c r="U2812" t="s">
        <v>100</v>
      </c>
      <c r="V2812" t="s">
        <v>101</v>
      </c>
      <c r="W2812" t="s">
        <v>441</v>
      </c>
      <c r="X2812" t="s">
        <v>442</v>
      </c>
      <c r="Y2812" t="s">
        <v>104</v>
      </c>
    </row>
    <row r="2813" spans="1:25">
      <c r="A2813">
        <v>10197</v>
      </c>
      <c r="B2813">
        <v>42</v>
      </c>
      <c r="C2813">
        <v>50.23</v>
      </c>
      <c r="D2813">
        <v>12</v>
      </c>
      <c r="E2813">
        <v>2109.66</v>
      </c>
      <c r="F2813" t="s">
        <v>458</v>
      </c>
      <c r="G2813" t="s">
        <v>93</v>
      </c>
      <c r="H2813">
        <v>4</v>
      </c>
      <c r="I2813">
        <v>11</v>
      </c>
      <c r="J2813">
        <v>2003</v>
      </c>
      <c r="K2813" t="s">
        <v>775</v>
      </c>
      <c r="L2813">
        <v>54</v>
      </c>
      <c r="M2813" t="s">
        <v>869</v>
      </c>
      <c r="N2813" t="s">
        <v>459</v>
      </c>
      <c r="O2813" t="s">
        <v>460</v>
      </c>
      <c r="P2813" t="s">
        <v>461</v>
      </c>
      <c r="R2813" t="s">
        <v>462</v>
      </c>
      <c r="T2813">
        <v>8022</v>
      </c>
      <c r="U2813" t="s">
        <v>261</v>
      </c>
      <c r="V2813" t="s">
        <v>110</v>
      </c>
      <c r="W2813" t="s">
        <v>463</v>
      </c>
      <c r="X2813" t="s">
        <v>464</v>
      </c>
      <c r="Y2813" t="s">
        <v>104</v>
      </c>
    </row>
    <row r="2814" spans="1:25">
      <c r="A2814">
        <v>10208</v>
      </c>
      <c r="B2814">
        <v>42</v>
      </c>
      <c r="C2814">
        <v>63.88</v>
      </c>
      <c r="D2814">
        <v>6</v>
      </c>
      <c r="E2814">
        <v>2682.96</v>
      </c>
      <c r="F2814" s="4">
        <v>38018</v>
      </c>
      <c r="G2814" t="s">
        <v>93</v>
      </c>
      <c r="H2814">
        <v>1</v>
      </c>
      <c r="I2814">
        <v>1</v>
      </c>
      <c r="J2814">
        <v>2004</v>
      </c>
      <c r="K2814" t="s">
        <v>775</v>
      </c>
      <c r="L2814">
        <v>54</v>
      </c>
      <c r="M2814" t="s">
        <v>869</v>
      </c>
      <c r="N2814" t="s">
        <v>310</v>
      </c>
      <c r="O2814" t="s">
        <v>311</v>
      </c>
      <c r="P2814" t="s">
        <v>312</v>
      </c>
      <c r="R2814" t="s">
        <v>313</v>
      </c>
      <c r="T2814">
        <v>69004</v>
      </c>
      <c r="U2814" t="s">
        <v>109</v>
      </c>
      <c r="V2814" t="s">
        <v>110</v>
      </c>
      <c r="W2814" t="s">
        <v>314</v>
      </c>
      <c r="X2814" t="s">
        <v>315</v>
      </c>
      <c r="Y2814" t="s">
        <v>104</v>
      </c>
    </row>
    <row r="2815" spans="1:25">
      <c r="A2815">
        <v>10222</v>
      </c>
      <c r="B2815">
        <v>36</v>
      </c>
      <c r="C2815">
        <v>63.34</v>
      </c>
      <c r="D2815">
        <v>18</v>
      </c>
      <c r="E2815">
        <v>2280.2399999999998</v>
      </c>
      <c r="F2815" t="s">
        <v>469</v>
      </c>
      <c r="G2815" t="s">
        <v>93</v>
      </c>
      <c r="H2815">
        <v>1</v>
      </c>
      <c r="I2815">
        <v>2</v>
      </c>
      <c r="J2815">
        <v>2004</v>
      </c>
      <c r="K2815" t="s">
        <v>775</v>
      </c>
      <c r="L2815">
        <v>54</v>
      </c>
      <c r="M2815" t="s">
        <v>869</v>
      </c>
      <c r="N2815" t="s">
        <v>470</v>
      </c>
      <c r="O2815">
        <v>7605558146</v>
      </c>
      <c r="P2815" t="s">
        <v>471</v>
      </c>
      <c r="R2815" t="s">
        <v>472</v>
      </c>
      <c r="S2815" t="s">
        <v>124</v>
      </c>
      <c r="T2815">
        <v>91217</v>
      </c>
      <c r="U2815" t="s">
        <v>100</v>
      </c>
      <c r="V2815" t="s">
        <v>101</v>
      </c>
      <c r="W2815" t="s">
        <v>6</v>
      </c>
      <c r="X2815" t="s">
        <v>371</v>
      </c>
      <c r="Y2815" t="s">
        <v>104</v>
      </c>
    </row>
    <row r="2816" spans="1:25">
      <c r="A2816">
        <v>10232</v>
      </c>
      <c r="B2816">
        <v>24</v>
      </c>
      <c r="C2816">
        <v>49.69</v>
      </c>
      <c r="D2816">
        <v>3</v>
      </c>
      <c r="E2816">
        <v>1192.56</v>
      </c>
      <c r="F2816" t="s">
        <v>782</v>
      </c>
      <c r="G2816" t="s">
        <v>93</v>
      </c>
      <c r="H2816">
        <v>1</v>
      </c>
      <c r="I2816">
        <v>3</v>
      </c>
      <c r="J2816">
        <v>2004</v>
      </c>
      <c r="K2816" t="s">
        <v>775</v>
      </c>
      <c r="L2816">
        <v>54</v>
      </c>
      <c r="M2816" t="s">
        <v>869</v>
      </c>
      <c r="N2816" t="s">
        <v>495</v>
      </c>
      <c r="O2816" t="s">
        <v>496</v>
      </c>
      <c r="P2816" t="s">
        <v>497</v>
      </c>
      <c r="R2816" t="s">
        <v>498</v>
      </c>
      <c r="S2816" t="s">
        <v>499</v>
      </c>
      <c r="T2816" t="s">
        <v>500</v>
      </c>
      <c r="U2816" t="s">
        <v>252</v>
      </c>
      <c r="V2816" t="s">
        <v>110</v>
      </c>
      <c r="W2816" t="s">
        <v>501</v>
      </c>
      <c r="X2816" t="s">
        <v>502</v>
      </c>
      <c r="Y2816" t="s">
        <v>104</v>
      </c>
    </row>
    <row r="2817" spans="1:25">
      <c r="A2817">
        <v>10248</v>
      </c>
      <c r="B2817">
        <v>23</v>
      </c>
      <c r="C2817">
        <v>65.52</v>
      </c>
      <c r="D2817">
        <v>9</v>
      </c>
      <c r="E2817">
        <v>1506.96</v>
      </c>
      <c r="F2817" s="4">
        <v>38173</v>
      </c>
      <c r="G2817" t="s">
        <v>444</v>
      </c>
      <c r="H2817">
        <v>2</v>
      </c>
      <c r="I2817">
        <v>5</v>
      </c>
      <c r="J2817">
        <v>2004</v>
      </c>
      <c r="K2817" t="s">
        <v>775</v>
      </c>
      <c r="L2817">
        <v>54</v>
      </c>
      <c r="M2817" t="s">
        <v>869</v>
      </c>
      <c r="N2817" t="s">
        <v>96</v>
      </c>
      <c r="O2817">
        <v>2125557818</v>
      </c>
      <c r="P2817" t="s">
        <v>97</v>
      </c>
      <c r="R2817" t="s">
        <v>98</v>
      </c>
      <c r="S2817" t="s">
        <v>99</v>
      </c>
      <c r="T2817">
        <v>10022</v>
      </c>
      <c r="U2817" t="s">
        <v>100</v>
      </c>
      <c r="V2817" t="s">
        <v>101</v>
      </c>
      <c r="W2817" t="s">
        <v>102</v>
      </c>
      <c r="X2817" t="s">
        <v>103</v>
      </c>
      <c r="Y2817" t="s">
        <v>104</v>
      </c>
    </row>
    <row r="2818" spans="1:25">
      <c r="A2818">
        <v>10261</v>
      </c>
      <c r="B2818">
        <v>29</v>
      </c>
      <c r="C2818">
        <v>50.78</v>
      </c>
      <c r="D2818">
        <v>7</v>
      </c>
      <c r="E2818">
        <v>1472.62</v>
      </c>
      <c r="F2818" t="s">
        <v>473</v>
      </c>
      <c r="G2818" t="s">
        <v>93</v>
      </c>
      <c r="H2818">
        <v>2</v>
      </c>
      <c r="I2818">
        <v>6</v>
      </c>
      <c r="J2818">
        <v>2004</v>
      </c>
      <c r="K2818" t="s">
        <v>775</v>
      </c>
      <c r="L2818">
        <v>54</v>
      </c>
      <c r="M2818" t="s">
        <v>869</v>
      </c>
      <c r="N2818" t="s">
        <v>391</v>
      </c>
      <c r="O2818" t="s">
        <v>392</v>
      </c>
      <c r="P2818" t="s">
        <v>393</v>
      </c>
      <c r="R2818" t="s">
        <v>394</v>
      </c>
      <c r="S2818" t="s">
        <v>395</v>
      </c>
      <c r="T2818" t="s">
        <v>396</v>
      </c>
      <c r="U2818" t="s">
        <v>322</v>
      </c>
      <c r="V2818" t="s">
        <v>101</v>
      </c>
      <c r="W2818" t="s">
        <v>397</v>
      </c>
      <c r="X2818" t="s">
        <v>398</v>
      </c>
      <c r="Y2818" t="s">
        <v>104</v>
      </c>
    </row>
    <row r="2819" spans="1:25">
      <c r="A2819">
        <v>10273</v>
      </c>
      <c r="B2819">
        <v>37</v>
      </c>
      <c r="C2819">
        <v>45.86</v>
      </c>
      <c r="D2819">
        <v>10</v>
      </c>
      <c r="E2819">
        <v>1696.82</v>
      </c>
      <c r="F2819" t="s">
        <v>474</v>
      </c>
      <c r="G2819" t="s">
        <v>93</v>
      </c>
      <c r="H2819">
        <v>3</v>
      </c>
      <c r="I2819">
        <v>7</v>
      </c>
      <c r="J2819">
        <v>2004</v>
      </c>
      <c r="K2819" t="s">
        <v>775</v>
      </c>
      <c r="L2819">
        <v>54</v>
      </c>
      <c r="M2819" t="s">
        <v>869</v>
      </c>
      <c r="N2819" t="s">
        <v>475</v>
      </c>
      <c r="O2819" t="s">
        <v>476</v>
      </c>
      <c r="P2819" t="s">
        <v>477</v>
      </c>
      <c r="R2819" t="s">
        <v>478</v>
      </c>
      <c r="T2819" t="s">
        <v>479</v>
      </c>
      <c r="U2819" t="s">
        <v>480</v>
      </c>
      <c r="V2819" t="s">
        <v>110</v>
      </c>
      <c r="W2819" t="s">
        <v>481</v>
      </c>
      <c r="X2819" t="s">
        <v>482</v>
      </c>
      <c r="Y2819" t="s">
        <v>104</v>
      </c>
    </row>
    <row r="2820" spans="1:25">
      <c r="A2820">
        <v>10283</v>
      </c>
      <c r="B2820">
        <v>33</v>
      </c>
      <c r="C2820">
        <v>51.32</v>
      </c>
      <c r="D2820">
        <v>12</v>
      </c>
      <c r="E2820">
        <v>1693.56</v>
      </c>
      <c r="F2820" t="s">
        <v>483</v>
      </c>
      <c r="G2820" t="s">
        <v>93</v>
      </c>
      <c r="H2820">
        <v>3</v>
      </c>
      <c r="I2820">
        <v>8</v>
      </c>
      <c r="J2820">
        <v>2004</v>
      </c>
      <c r="K2820" t="s">
        <v>775</v>
      </c>
      <c r="L2820">
        <v>54</v>
      </c>
      <c r="M2820" t="s">
        <v>869</v>
      </c>
      <c r="N2820" t="s">
        <v>484</v>
      </c>
      <c r="O2820" t="s">
        <v>485</v>
      </c>
      <c r="P2820" t="s">
        <v>486</v>
      </c>
      <c r="R2820" t="s">
        <v>487</v>
      </c>
      <c r="S2820" t="s">
        <v>320</v>
      </c>
      <c r="T2820" t="s">
        <v>488</v>
      </c>
      <c r="U2820" t="s">
        <v>322</v>
      </c>
      <c r="V2820" t="s">
        <v>101</v>
      </c>
      <c r="W2820" t="s">
        <v>489</v>
      </c>
      <c r="X2820" t="s">
        <v>254</v>
      </c>
      <c r="Y2820" t="s">
        <v>104</v>
      </c>
    </row>
    <row r="2821" spans="1:25">
      <c r="A2821">
        <v>10293</v>
      </c>
      <c r="B2821">
        <v>32</v>
      </c>
      <c r="C2821">
        <v>60.06</v>
      </c>
      <c r="D2821">
        <v>1</v>
      </c>
      <c r="E2821">
        <v>1921.92</v>
      </c>
      <c r="F2821" s="4">
        <v>38239</v>
      </c>
      <c r="G2821" t="s">
        <v>93</v>
      </c>
      <c r="H2821">
        <v>3</v>
      </c>
      <c r="I2821">
        <v>9</v>
      </c>
      <c r="J2821">
        <v>2004</v>
      </c>
      <c r="K2821" t="s">
        <v>775</v>
      </c>
      <c r="L2821">
        <v>54</v>
      </c>
      <c r="M2821" t="s">
        <v>869</v>
      </c>
      <c r="N2821" t="s">
        <v>348</v>
      </c>
      <c r="O2821" t="s">
        <v>349</v>
      </c>
      <c r="P2821" t="s">
        <v>350</v>
      </c>
      <c r="R2821" t="s">
        <v>351</v>
      </c>
      <c r="T2821">
        <v>10100</v>
      </c>
      <c r="U2821" t="s">
        <v>352</v>
      </c>
      <c r="V2821" t="s">
        <v>110</v>
      </c>
      <c r="W2821" t="s">
        <v>353</v>
      </c>
      <c r="X2821" t="s">
        <v>354</v>
      </c>
      <c r="Y2821" t="s">
        <v>104</v>
      </c>
    </row>
    <row r="2822" spans="1:25">
      <c r="A2822">
        <v>10306</v>
      </c>
      <c r="B2822">
        <v>35</v>
      </c>
      <c r="C2822">
        <v>59.51</v>
      </c>
      <c r="D2822">
        <v>6</v>
      </c>
      <c r="E2822">
        <v>2082.85</v>
      </c>
      <c r="F2822" t="s">
        <v>494</v>
      </c>
      <c r="G2822" t="s">
        <v>93</v>
      </c>
      <c r="H2822">
        <v>4</v>
      </c>
      <c r="I2822">
        <v>10</v>
      </c>
      <c r="J2822">
        <v>2004</v>
      </c>
      <c r="K2822" t="s">
        <v>775</v>
      </c>
      <c r="L2822">
        <v>54</v>
      </c>
      <c r="M2822" t="s">
        <v>869</v>
      </c>
      <c r="N2822" t="s">
        <v>624</v>
      </c>
      <c r="O2822" t="s">
        <v>625</v>
      </c>
      <c r="P2822" t="s">
        <v>626</v>
      </c>
      <c r="R2822" t="s">
        <v>627</v>
      </c>
      <c r="T2822" t="s">
        <v>628</v>
      </c>
      <c r="U2822" t="s">
        <v>252</v>
      </c>
      <c r="V2822" t="s">
        <v>110</v>
      </c>
      <c r="W2822" t="s">
        <v>629</v>
      </c>
      <c r="X2822" t="s">
        <v>167</v>
      </c>
      <c r="Y2822" t="s">
        <v>104</v>
      </c>
    </row>
    <row r="2823" spans="1:25">
      <c r="A2823">
        <v>10315</v>
      </c>
      <c r="B2823">
        <v>40</v>
      </c>
      <c r="C2823">
        <v>55.69</v>
      </c>
      <c r="D2823">
        <v>5</v>
      </c>
      <c r="E2823">
        <v>2227.6</v>
      </c>
      <c r="F2823" t="s">
        <v>802</v>
      </c>
      <c r="G2823" t="s">
        <v>93</v>
      </c>
      <c r="H2823">
        <v>4</v>
      </c>
      <c r="I2823">
        <v>10</v>
      </c>
      <c r="J2823">
        <v>2004</v>
      </c>
      <c r="K2823" t="s">
        <v>775</v>
      </c>
      <c r="L2823">
        <v>54</v>
      </c>
      <c r="M2823" t="s">
        <v>869</v>
      </c>
      <c r="N2823" t="s">
        <v>190</v>
      </c>
      <c r="O2823" t="s">
        <v>191</v>
      </c>
      <c r="P2823" t="s">
        <v>192</v>
      </c>
      <c r="R2823" t="s">
        <v>193</v>
      </c>
      <c r="T2823">
        <v>44000</v>
      </c>
      <c r="U2823" t="s">
        <v>109</v>
      </c>
      <c r="V2823" t="s">
        <v>110</v>
      </c>
      <c r="W2823" t="s">
        <v>194</v>
      </c>
      <c r="X2823" t="s">
        <v>195</v>
      </c>
      <c r="Y2823" t="s">
        <v>104</v>
      </c>
    </row>
    <row r="2824" spans="1:25">
      <c r="A2824">
        <v>10327</v>
      </c>
      <c r="B2824">
        <v>37</v>
      </c>
      <c r="C2824">
        <v>86.74</v>
      </c>
      <c r="D2824">
        <v>4</v>
      </c>
      <c r="E2824">
        <v>3209.38</v>
      </c>
      <c r="F2824" s="4">
        <v>38271</v>
      </c>
      <c r="G2824" t="s">
        <v>526</v>
      </c>
      <c r="H2824">
        <v>4</v>
      </c>
      <c r="I2824">
        <v>11</v>
      </c>
      <c r="J2824">
        <v>2004</v>
      </c>
      <c r="K2824" t="s">
        <v>775</v>
      </c>
      <c r="L2824">
        <v>54</v>
      </c>
      <c r="M2824" t="s">
        <v>869</v>
      </c>
      <c r="N2824" t="s">
        <v>425</v>
      </c>
      <c r="O2824" t="s">
        <v>426</v>
      </c>
      <c r="P2824" t="s">
        <v>427</v>
      </c>
      <c r="R2824" t="s">
        <v>428</v>
      </c>
      <c r="T2824">
        <v>1734</v>
      </c>
      <c r="U2824" t="s">
        <v>429</v>
      </c>
      <c r="V2824" t="s">
        <v>110</v>
      </c>
      <c r="W2824" t="s">
        <v>430</v>
      </c>
      <c r="X2824" t="s">
        <v>431</v>
      </c>
      <c r="Y2824" t="s">
        <v>119</v>
      </c>
    </row>
    <row r="2825" spans="1:25">
      <c r="A2825">
        <v>10337</v>
      </c>
      <c r="B2825">
        <v>42</v>
      </c>
      <c r="C2825">
        <v>97.16</v>
      </c>
      <c r="D2825">
        <v>5</v>
      </c>
      <c r="E2825">
        <v>4080.72</v>
      </c>
      <c r="F2825" t="s">
        <v>503</v>
      </c>
      <c r="G2825" t="s">
        <v>93</v>
      </c>
      <c r="H2825">
        <v>4</v>
      </c>
      <c r="I2825">
        <v>11</v>
      </c>
      <c r="J2825">
        <v>2004</v>
      </c>
      <c r="K2825" t="s">
        <v>775</v>
      </c>
      <c r="L2825">
        <v>54</v>
      </c>
      <c r="M2825" t="s">
        <v>869</v>
      </c>
      <c r="N2825" t="s">
        <v>292</v>
      </c>
      <c r="O2825">
        <v>2125558493</v>
      </c>
      <c r="P2825" t="s">
        <v>293</v>
      </c>
      <c r="Q2825" t="s">
        <v>294</v>
      </c>
      <c r="R2825" t="s">
        <v>98</v>
      </c>
      <c r="S2825" t="s">
        <v>99</v>
      </c>
      <c r="T2825">
        <v>10022</v>
      </c>
      <c r="U2825" t="s">
        <v>100</v>
      </c>
      <c r="V2825" t="s">
        <v>101</v>
      </c>
      <c r="W2825" t="s">
        <v>201</v>
      </c>
      <c r="X2825" t="s">
        <v>295</v>
      </c>
      <c r="Y2825" t="s">
        <v>119</v>
      </c>
    </row>
    <row r="2826" spans="1:25">
      <c r="A2826">
        <v>10350</v>
      </c>
      <c r="B2826">
        <v>20</v>
      </c>
      <c r="C2826">
        <v>100</v>
      </c>
      <c r="D2826">
        <v>15</v>
      </c>
      <c r="E2826">
        <v>2244.4</v>
      </c>
      <c r="F2826" s="4">
        <v>38029</v>
      </c>
      <c r="G2826" t="s">
        <v>93</v>
      </c>
      <c r="H2826">
        <v>4</v>
      </c>
      <c r="I2826">
        <v>12</v>
      </c>
      <c r="J2826">
        <v>2004</v>
      </c>
      <c r="K2826" t="s">
        <v>775</v>
      </c>
      <c r="L2826">
        <v>54</v>
      </c>
      <c r="M2826" t="s">
        <v>869</v>
      </c>
      <c r="N2826" t="s">
        <v>257</v>
      </c>
      <c r="O2826" t="s">
        <v>258</v>
      </c>
      <c r="P2826" t="s">
        <v>259</v>
      </c>
      <c r="R2826" t="s">
        <v>260</v>
      </c>
      <c r="T2826">
        <v>28034</v>
      </c>
      <c r="U2826" t="s">
        <v>261</v>
      </c>
      <c r="V2826" t="s">
        <v>110</v>
      </c>
      <c r="W2826" t="s">
        <v>262</v>
      </c>
      <c r="X2826" t="s">
        <v>263</v>
      </c>
      <c r="Y2826" t="s">
        <v>104</v>
      </c>
    </row>
    <row r="2827" spans="1:25">
      <c r="A2827">
        <v>10373</v>
      </c>
      <c r="B2827">
        <v>29</v>
      </c>
      <c r="C2827">
        <v>100</v>
      </c>
      <c r="D2827">
        <v>1</v>
      </c>
      <c r="E2827">
        <v>3978.51</v>
      </c>
      <c r="F2827" t="s">
        <v>505</v>
      </c>
      <c r="G2827" t="s">
        <v>93</v>
      </c>
      <c r="H2827">
        <v>1</v>
      </c>
      <c r="I2827">
        <v>1</v>
      </c>
      <c r="J2827">
        <v>2005</v>
      </c>
      <c r="K2827" t="s">
        <v>775</v>
      </c>
      <c r="L2827">
        <v>54</v>
      </c>
      <c r="M2827" t="s">
        <v>869</v>
      </c>
      <c r="N2827" t="s">
        <v>506</v>
      </c>
      <c r="O2827" t="s">
        <v>507</v>
      </c>
      <c r="P2827" t="s">
        <v>508</v>
      </c>
      <c r="R2827" t="s">
        <v>509</v>
      </c>
      <c r="T2827">
        <v>90110</v>
      </c>
      <c r="U2827" t="s">
        <v>208</v>
      </c>
      <c r="V2827" t="s">
        <v>110</v>
      </c>
      <c r="W2827" t="s">
        <v>510</v>
      </c>
      <c r="X2827" t="s">
        <v>511</v>
      </c>
      <c r="Y2827" t="s">
        <v>119</v>
      </c>
    </row>
    <row r="2828" spans="1:25">
      <c r="A2828">
        <v>10386</v>
      </c>
      <c r="B2828">
        <v>43</v>
      </c>
      <c r="C2828">
        <v>100</v>
      </c>
      <c r="D2828">
        <v>4</v>
      </c>
      <c r="E2828">
        <v>5417.57</v>
      </c>
      <c r="F2828" s="4">
        <v>38355</v>
      </c>
      <c r="G2828" t="s">
        <v>526</v>
      </c>
      <c r="H2828">
        <v>1</v>
      </c>
      <c r="I2828">
        <v>3</v>
      </c>
      <c r="J2828">
        <v>2005</v>
      </c>
      <c r="K2828" t="s">
        <v>775</v>
      </c>
      <c r="L2828">
        <v>54</v>
      </c>
      <c r="M2828" t="s">
        <v>869</v>
      </c>
      <c r="N2828" t="s">
        <v>257</v>
      </c>
      <c r="O2828" t="s">
        <v>258</v>
      </c>
      <c r="P2828" t="s">
        <v>259</v>
      </c>
      <c r="R2828" t="s">
        <v>260</v>
      </c>
      <c r="T2828">
        <v>28034</v>
      </c>
      <c r="U2828" t="s">
        <v>261</v>
      </c>
      <c r="V2828" t="s">
        <v>110</v>
      </c>
      <c r="W2828" t="s">
        <v>262</v>
      </c>
      <c r="X2828" t="s">
        <v>263</v>
      </c>
      <c r="Y2828" t="s">
        <v>119</v>
      </c>
    </row>
    <row r="2829" spans="1:25">
      <c r="A2829">
        <v>10397</v>
      </c>
      <c r="B2829">
        <v>34</v>
      </c>
      <c r="C2829">
        <v>62.24</v>
      </c>
      <c r="D2829">
        <v>1</v>
      </c>
      <c r="E2829">
        <v>2116.16</v>
      </c>
      <c r="F2829" t="s">
        <v>857</v>
      </c>
      <c r="G2829" t="s">
        <v>93</v>
      </c>
      <c r="H2829">
        <v>1</v>
      </c>
      <c r="I2829">
        <v>3</v>
      </c>
      <c r="J2829">
        <v>2005</v>
      </c>
      <c r="K2829" t="s">
        <v>775</v>
      </c>
      <c r="L2829">
        <v>54</v>
      </c>
      <c r="M2829" t="s">
        <v>869</v>
      </c>
      <c r="N2829" t="s">
        <v>445</v>
      </c>
      <c r="O2829" t="s">
        <v>446</v>
      </c>
      <c r="P2829" t="s">
        <v>447</v>
      </c>
      <c r="R2829" t="s">
        <v>448</v>
      </c>
      <c r="T2829">
        <v>31000</v>
      </c>
      <c r="U2829" t="s">
        <v>109</v>
      </c>
      <c r="V2829" t="s">
        <v>110</v>
      </c>
      <c r="W2829" t="s">
        <v>449</v>
      </c>
      <c r="X2829" t="s">
        <v>450</v>
      </c>
      <c r="Y2829" t="s">
        <v>104</v>
      </c>
    </row>
    <row r="2830" spans="1:25">
      <c r="A2830">
        <v>10414</v>
      </c>
      <c r="B2830">
        <v>47</v>
      </c>
      <c r="C2830">
        <v>65.52</v>
      </c>
      <c r="D2830">
        <v>9</v>
      </c>
      <c r="E2830">
        <v>3079.44</v>
      </c>
      <c r="F2830" s="4">
        <v>38508</v>
      </c>
      <c r="G2830" t="s">
        <v>518</v>
      </c>
      <c r="H2830">
        <v>2</v>
      </c>
      <c r="I2830">
        <v>5</v>
      </c>
      <c r="J2830">
        <v>2005</v>
      </c>
      <c r="K2830" t="s">
        <v>775</v>
      </c>
      <c r="L2830">
        <v>54</v>
      </c>
      <c r="M2830" t="s">
        <v>869</v>
      </c>
      <c r="N2830" t="s">
        <v>490</v>
      </c>
      <c r="O2830">
        <v>6175559555</v>
      </c>
      <c r="P2830" t="s">
        <v>491</v>
      </c>
      <c r="R2830" t="s">
        <v>492</v>
      </c>
      <c r="S2830" t="s">
        <v>200</v>
      </c>
      <c r="T2830">
        <v>51003</v>
      </c>
      <c r="U2830" t="s">
        <v>100</v>
      </c>
      <c r="V2830" t="s">
        <v>101</v>
      </c>
      <c r="W2830" t="s">
        <v>493</v>
      </c>
      <c r="X2830" t="s">
        <v>136</v>
      </c>
      <c r="Y283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00B050"/>
  </sheetPr>
  <dimension ref="A1:F74"/>
  <sheetViews>
    <sheetView workbookViewId="0">
      <pane ySplit="1" topLeftCell="A50" activePane="bottomLeft" state="frozen"/>
      <selection pane="bottomLeft" activeCell="D64" sqref="D64"/>
    </sheetView>
  </sheetViews>
  <sheetFormatPr defaultRowHeight="14.4"/>
  <cols>
    <col min="1" max="1" width="14.109375" customWidth="1"/>
    <col min="2" max="2" width="75" customWidth="1"/>
    <col min="3" max="3" width="3.5546875" customWidth="1"/>
    <col min="4" max="4" width="72" customWidth="1"/>
    <col min="5" max="5" width="3.33203125" customWidth="1"/>
    <col min="6" max="6" width="70.109375" customWidth="1"/>
  </cols>
  <sheetData>
    <row r="1" spans="1:6" ht="31.2">
      <c r="B1" s="3" t="s">
        <v>48</v>
      </c>
      <c r="D1" s="3" t="s">
        <v>55</v>
      </c>
      <c r="F1" s="3" t="s">
        <v>56</v>
      </c>
    </row>
    <row r="2" spans="1:6" ht="15" thickBot="1">
      <c r="A2" s="1" t="s">
        <v>9</v>
      </c>
    </row>
    <row r="3" spans="1:6" ht="15" thickBot="1">
      <c r="A3" t="s">
        <v>37</v>
      </c>
      <c r="B3" s="2" t="s">
        <v>27</v>
      </c>
    </row>
    <row r="4" spans="1:6" ht="15" thickBot="1">
      <c r="B4" s="2" t="s">
        <v>10</v>
      </c>
    </row>
    <row r="5" spans="1:6" ht="15" thickBot="1">
      <c r="B5" s="2"/>
    </row>
    <row r="6" spans="1:6" ht="15" thickBot="1">
      <c r="B6" s="2"/>
    </row>
    <row r="8" spans="1:6" ht="15" thickBot="1">
      <c r="A8" s="1" t="s">
        <v>11</v>
      </c>
    </row>
    <row r="9" spans="1:6" ht="15" thickBot="1">
      <c r="A9" t="s">
        <v>38</v>
      </c>
      <c r="B9" s="2" t="s">
        <v>29</v>
      </c>
    </row>
    <row r="10" spans="1:6" ht="15" thickBot="1">
      <c r="B10" s="2" t="s">
        <v>870</v>
      </c>
    </row>
    <row r="11" spans="1:6" ht="15" thickBot="1">
      <c r="B11" s="2" t="s">
        <v>28</v>
      </c>
    </row>
    <row r="12" spans="1:6" ht="15" thickBot="1">
      <c r="B12" s="2"/>
    </row>
    <row r="14" spans="1:6" ht="15" thickBot="1">
      <c r="A14" s="1" t="s">
        <v>15</v>
      </c>
    </row>
    <row r="15" spans="1:6" ht="15" thickBot="1">
      <c r="A15" t="s">
        <v>39</v>
      </c>
      <c r="B15" s="2" t="s">
        <v>31</v>
      </c>
    </row>
    <row r="16" spans="1:6" ht="15" thickBot="1">
      <c r="B16" s="2" t="s">
        <v>12</v>
      </c>
    </row>
    <row r="17" spans="1:2" ht="15" thickBot="1">
      <c r="B17" s="2" t="s">
        <v>32</v>
      </c>
    </row>
    <row r="18" spans="1:2" ht="15" thickBot="1">
      <c r="B18" s="2" t="s">
        <v>33</v>
      </c>
    </row>
    <row r="19" spans="1:2" ht="15" thickBot="1"/>
    <row r="20" spans="1:2" ht="15" thickBot="1">
      <c r="A20" t="s">
        <v>40</v>
      </c>
      <c r="B20" s="2" t="s">
        <v>30</v>
      </c>
    </row>
    <row r="21" spans="1:2" ht="15" thickBot="1">
      <c r="B21" s="2" t="s">
        <v>34</v>
      </c>
    </row>
    <row r="22" spans="1:2" ht="15" thickBot="1">
      <c r="B22" s="2" t="s">
        <v>13</v>
      </c>
    </row>
    <row r="23" spans="1:2" ht="15" thickBot="1">
      <c r="B23" s="2" t="s">
        <v>871</v>
      </c>
    </row>
    <row r="24" spans="1:2" ht="15" thickBot="1"/>
    <row r="25" spans="1:2" ht="15" thickBot="1">
      <c r="A25" t="s">
        <v>41</v>
      </c>
      <c r="B25" s="2" t="s">
        <v>14</v>
      </c>
    </row>
    <row r="26" spans="1:2" ht="15" thickBot="1">
      <c r="B26" s="2" t="s">
        <v>35</v>
      </c>
    </row>
    <row r="27" spans="1:2" ht="15" thickBot="1">
      <c r="B27" s="2" t="s">
        <v>872</v>
      </c>
    </row>
    <row r="28" spans="1:2" ht="15" thickBot="1">
      <c r="B28" s="2" t="s">
        <v>36</v>
      </c>
    </row>
    <row r="30" spans="1:2" ht="15" thickBot="1">
      <c r="A30" s="1" t="s">
        <v>16</v>
      </c>
    </row>
    <row r="31" spans="1:2" ht="15" thickBot="1">
      <c r="A31" t="s">
        <v>45</v>
      </c>
      <c r="B31" s="2" t="s">
        <v>42</v>
      </c>
    </row>
    <row r="32" spans="1:2" ht="15" thickBot="1">
      <c r="B32" s="2" t="s">
        <v>43</v>
      </c>
    </row>
    <row r="33" spans="1:2" ht="15" thickBot="1">
      <c r="B33" s="2" t="s">
        <v>44</v>
      </c>
    </row>
    <row r="34" spans="1:2" ht="15" thickBot="1">
      <c r="B34" s="2" t="s">
        <v>24</v>
      </c>
    </row>
    <row r="36" spans="1:2" ht="15" thickBot="1">
      <c r="A36" s="1" t="s">
        <v>17</v>
      </c>
    </row>
    <row r="37" spans="1:2" ht="15" thickBot="1">
      <c r="A37" t="s">
        <v>46</v>
      </c>
      <c r="B37" s="2" t="s">
        <v>47</v>
      </c>
    </row>
    <row r="38" spans="1:2" ht="15" thickBot="1">
      <c r="B38" s="2" t="s">
        <v>878</v>
      </c>
    </row>
    <row r="39" spans="1:2" ht="15" thickBot="1">
      <c r="B39" s="2" t="s">
        <v>879</v>
      </c>
    </row>
    <row r="40" spans="1:2" ht="15" thickBot="1">
      <c r="B40" s="2" t="s">
        <v>873</v>
      </c>
    </row>
    <row r="42" spans="1:2" ht="15" thickBot="1">
      <c r="A42" s="1" t="s">
        <v>18</v>
      </c>
    </row>
    <row r="43" spans="1:2" ht="15" thickBot="1">
      <c r="A43" t="s">
        <v>49</v>
      </c>
      <c r="B43" s="2" t="s">
        <v>874</v>
      </c>
    </row>
    <row r="44" spans="1:2" ht="15" thickBot="1">
      <c r="B44" s="2" t="s">
        <v>875</v>
      </c>
    </row>
    <row r="45" spans="1:2" ht="15" thickBot="1">
      <c r="B45" s="2" t="s">
        <v>876</v>
      </c>
    </row>
    <row r="46" spans="1:2" ht="15" thickBot="1">
      <c r="B46" s="2" t="s">
        <v>877</v>
      </c>
    </row>
    <row r="48" spans="1:2" ht="15" thickBot="1">
      <c r="A48" s="1" t="s">
        <v>19</v>
      </c>
    </row>
    <row r="49" spans="1:6" ht="15" thickBot="1">
      <c r="A49" t="s">
        <v>53</v>
      </c>
      <c r="B49" s="2" t="s">
        <v>51</v>
      </c>
    </row>
    <row r="50" spans="1:6" ht="15" thickBot="1">
      <c r="B50" s="2" t="s">
        <v>50</v>
      </c>
    </row>
    <row r="51" spans="1:6" ht="15" thickBot="1">
      <c r="B51" s="2" t="s">
        <v>52</v>
      </c>
    </row>
    <row r="52" spans="1:6" ht="15" thickBot="1">
      <c r="B52" s="2"/>
    </row>
    <row r="54" spans="1:6" ht="15" thickBot="1">
      <c r="A54" s="1" t="s">
        <v>20</v>
      </c>
      <c r="D54" t="b">
        <f>ISERROR(Data!H111+Data!M5)</f>
        <v>0</v>
      </c>
    </row>
    <row r="55" spans="1:6" ht="15" thickBot="1">
      <c r="A55" t="s">
        <v>54</v>
      </c>
      <c r="B55" s="2" t="str">
        <f>IF($D$54,D55,F55)</f>
        <v>Highlight the range H2:U22 now, right click and select Format cells. Select Protection and Lock selected range.</v>
      </c>
      <c r="D55" s="2" t="s">
        <v>57</v>
      </c>
      <c r="F55" s="2" t="s">
        <v>880</v>
      </c>
    </row>
    <row r="56" spans="1:6" ht="15" thickBot="1">
      <c r="B56" s="2" t="str">
        <f t="shared" ref="B56:B58" si="0">IF($D$54,D56,F56)</f>
        <v>Right click on tab sheet name and select protect worksheet (Optionally supply an UNFORGETTABLE password).</v>
      </c>
      <c r="D56" s="2" t="s">
        <v>58</v>
      </c>
      <c r="F56" s="2" t="s">
        <v>23</v>
      </c>
    </row>
    <row r="57" spans="1:6" ht="15" thickBot="1">
      <c r="B57" s="2" t="str">
        <f t="shared" si="0"/>
        <v>Highlight the working range e.g. A1:G2826, right click and select Format cells. Select Protection and Unlock selected range.</v>
      </c>
      <c r="D57" s="2" t="s">
        <v>58</v>
      </c>
      <c r="F57" s="2" t="s">
        <v>881</v>
      </c>
    </row>
    <row r="58" spans="1:6" ht="15" thickBot="1">
      <c r="B58" s="2" t="str">
        <f t="shared" si="0"/>
        <v xml:space="preserve"> </v>
      </c>
      <c r="D58" s="2" t="s">
        <v>58</v>
      </c>
      <c r="F58" s="2" t="s">
        <v>58</v>
      </c>
    </row>
    <row r="59" spans="1:6" ht="15" thickBot="1">
      <c r="D59" t="b">
        <f>ISERROR(Data!U9+Data!M9)</f>
        <v>0</v>
      </c>
    </row>
    <row r="60" spans="1:6" ht="15" thickBot="1">
      <c r="A60" t="s">
        <v>59</v>
      </c>
      <c r="B60" s="2" t="str">
        <f>IF($D$59,D60,F60)</f>
        <v>Highlight the range K2:M17 now, right click and select Format cells. Select Protection and Lock selected range.</v>
      </c>
      <c r="D60" s="2" t="s">
        <v>57</v>
      </c>
      <c r="F60" s="2" t="s">
        <v>22</v>
      </c>
    </row>
    <row r="61" spans="1:6" ht="15" thickBot="1">
      <c r="B61" s="2" t="str">
        <f t="shared" ref="B61:B62" si="1">IF($D$59,D61,F61)</f>
        <v>Right click on tab sheet name and select protect worksheet (Optionally supply an UNFORGETTABLE password).</v>
      </c>
      <c r="D61" s="2" t="s">
        <v>58</v>
      </c>
      <c r="F61" s="2" t="s">
        <v>23</v>
      </c>
    </row>
    <row r="62" spans="1:6" ht="15" thickBot="1">
      <c r="B62" s="2" t="str">
        <f t="shared" si="1"/>
        <v>Highlight the working range e.g. A1:M46, right click and select Format cells. Select Protection and Unlock selected range.</v>
      </c>
      <c r="D62" s="2" t="s">
        <v>58</v>
      </c>
      <c r="F62" s="2" t="s">
        <v>21</v>
      </c>
    </row>
    <row r="63" spans="1:6" ht="15" thickBot="1">
      <c r="B63" s="2" t="s">
        <v>65</v>
      </c>
      <c r="D63" s="2" t="s">
        <v>58</v>
      </c>
      <c r="F63" s="2" t="s">
        <v>58</v>
      </c>
    </row>
    <row r="64" spans="1:6" ht="15" thickBot="1">
      <c r="D64" t="b">
        <f>IFERROR(NOT(AND(Data!U2=Data!Q2,Data!H2=Data!Q2)),TRUE)</f>
        <v>1</v>
      </c>
    </row>
    <row r="65" spans="1:6" ht="15" thickBot="1">
      <c r="A65" t="s">
        <v>60</v>
      </c>
      <c r="B65" s="2" t="str">
        <f>IF($D$64,D65,F65)</f>
        <v>Go back and correct errors before proceeding with this question.</v>
      </c>
      <c r="D65" s="2" t="s">
        <v>57</v>
      </c>
      <c r="F65" s="2" t="s">
        <v>22</v>
      </c>
    </row>
    <row r="66" spans="1:6" ht="15" thickBot="1">
      <c r="B66" s="2" t="str">
        <f t="shared" ref="B66:B68" si="2">IF($D$64,D66,F66)</f>
        <v xml:space="preserve"> </v>
      </c>
      <c r="D66" s="2" t="s">
        <v>58</v>
      </c>
      <c r="F66" s="2" t="s">
        <v>23</v>
      </c>
    </row>
    <row r="67" spans="1:6" ht="15" thickBot="1">
      <c r="B67" s="2" t="str">
        <f t="shared" si="2"/>
        <v xml:space="preserve"> </v>
      </c>
      <c r="D67" s="2" t="s">
        <v>58</v>
      </c>
      <c r="F67" s="2" t="s">
        <v>21</v>
      </c>
    </row>
    <row r="68" spans="1:6" ht="15" thickBot="1">
      <c r="B68" s="2" t="str">
        <f t="shared" si="2"/>
        <v xml:space="preserve"> </v>
      </c>
      <c r="D68" s="2" t="s">
        <v>58</v>
      </c>
      <c r="F68" s="2" t="s">
        <v>58</v>
      </c>
    </row>
    <row r="70" spans="1:6" ht="15" thickBot="1">
      <c r="A70" s="1" t="s">
        <v>25</v>
      </c>
    </row>
    <row r="71" spans="1:6" ht="15" thickBot="1">
      <c r="A71" t="s">
        <v>64</v>
      </c>
      <c r="B71" s="2" t="s">
        <v>26</v>
      </c>
    </row>
    <row r="72" spans="1:6" ht="15" thickBot="1">
      <c r="B72" s="2" t="s">
        <v>61</v>
      </c>
    </row>
    <row r="73" spans="1:6" ht="15" thickBot="1">
      <c r="B73" s="2" t="s">
        <v>62</v>
      </c>
    </row>
    <row r="74" spans="1:6" ht="15" thickBot="1">
      <c r="B7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Cover</vt:lpstr>
      <vt:lpstr>Data</vt:lpstr>
      <vt:lpstr>MCQno1</vt:lpstr>
      <vt:lpstr>MCQno10</vt:lpstr>
      <vt:lpstr>MCQno11</vt:lpstr>
      <vt:lpstr>MCQno12</vt:lpstr>
      <vt:lpstr>MCQno13</vt:lpstr>
      <vt:lpstr>MCQno2</vt:lpstr>
      <vt:lpstr>MCQno3</vt:lpstr>
      <vt:lpstr>MCQno4</vt:lpstr>
      <vt:lpstr>MCQno5</vt:lpstr>
      <vt:lpstr>MCQno6</vt:lpstr>
      <vt:lpstr>MCQno7</vt:lpstr>
      <vt:lpstr>MCQno8</vt:lpstr>
      <vt:lpstr>MCQno9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Harshil Chawla</cp:lastModifiedBy>
  <dcterms:created xsi:type="dcterms:W3CDTF">2017-08-19T09:21:06Z</dcterms:created>
  <dcterms:modified xsi:type="dcterms:W3CDTF">2026-05-31T14:57:27Z</dcterms:modified>
</cp:coreProperties>
</file>